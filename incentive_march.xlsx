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am\Downloads\"/>
    </mc:Choice>
  </mc:AlternateContent>
  <xr:revisionPtr revIDLastSave="0" documentId="8_{E90FBB5A-F7B5-488D-A41B-395D93FB0BE8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INCENTIVE DETAILS MAR'26" sheetId="2" state="hidden" r:id="rId1"/>
    <sheet name="CEMENT REGISTER MAR'26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7" i="2" l="1"/>
  <c r="F91" i="2"/>
  <c r="F90" i="2"/>
  <c r="S43" i="2" s="1"/>
  <c r="F89" i="2"/>
  <c r="F88" i="2"/>
  <c r="F87" i="2"/>
  <c r="F86" i="2"/>
  <c r="S46" i="2" s="1"/>
  <c r="F85" i="2"/>
  <c r="F84" i="2"/>
  <c r="F92" i="2" s="1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P47" i="2"/>
  <c r="O47" i="2"/>
  <c r="M47" i="2"/>
  <c r="L47" i="2"/>
  <c r="G47" i="2"/>
  <c r="Q46" i="2"/>
  <c r="N46" i="2"/>
  <c r="R46" i="2" s="1"/>
  <c r="T46" i="2" s="1"/>
  <c r="G46" i="2"/>
  <c r="R45" i="2"/>
  <c r="T45" i="2" s="1"/>
  <c r="Q45" i="2"/>
  <c r="N45" i="2"/>
  <c r="G45" i="2"/>
  <c r="S44" i="2"/>
  <c r="Q44" i="2"/>
  <c r="N44" i="2"/>
  <c r="R44" i="2" s="1"/>
  <c r="T44" i="2" s="1"/>
  <c r="G44" i="2"/>
  <c r="R43" i="2"/>
  <c r="T43" i="2" s="1"/>
  <c r="Q43" i="2"/>
  <c r="N43" i="2"/>
  <c r="G43" i="2"/>
  <c r="S42" i="2"/>
  <c r="Q42" i="2"/>
  <c r="N42" i="2"/>
  <c r="R42" i="2" s="1"/>
  <c r="T42" i="2" s="1"/>
  <c r="G42" i="2"/>
  <c r="R41" i="2"/>
  <c r="Q41" i="2"/>
  <c r="N41" i="2"/>
  <c r="G41" i="2"/>
  <c r="Q40" i="2"/>
  <c r="N40" i="2"/>
  <c r="R40" i="2" s="1"/>
  <c r="G40" i="2"/>
  <c r="S39" i="2"/>
  <c r="R39" i="2"/>
  <c r="T39" i="2" s="1"/>
  <c r="Q39" i="2"/>
  <c r="N39" i="2"/>
  <c r="G39" i="2"/>
  <c r="G79" i="2" s="1"/>
  <c r="T38" i="2"/>
  <c r="R38" i="2"/>
  <c r="Q38" i="2"/>
  <c r="N38" i="2"/>
  <c r="T37" i="2"/>
  <c r="R37" i="2"/>
  <c r="Q37" i="2"/>
  <c r="N37" i="2"/>
  <c r="T36" i="2"/>
  <c r="R36" i="2"/>
  <c r="Q36" i="2"/>
  <c r="N36" i="2"/>
  <c r="T35" i="2"/>
  <c r="R35" i="2"/>
  <c r="Q35" i="2"/>
  <c r="N35" i="2"/>
  <c r="T34" i="2"/>
  <c r="R34" i="2"/>
  <c r="Q34" i="2"/>
  <c r="N34" i="2"/>
  <c r="F34" i="2"/>
  <c r="Q33" i="2"/>
  <c r="N33" i="2"/>
  <c r="R33" i="2" s="1"/>
  <c r="T33" i="2" s="1"/>
  <c r="F33" i="2"/>
  <c r="S41" i="2" s="1"/>
  <c r="Q32" i="2"/>
  <c r="N32" i="2"/>
  <c r="R32" i="2" s="1"/>
  <c r="T32" i="2" s="1"/>
  <c r="F32" i="2"/>
  <c r="S40" i="2" s="1"/>
  <c r="R31" i="2"/>
  <c r="T31" i="2" s="1"/>
  <c r="Q31" i="2"/>
  <c r="N31" i="2"/>
  <c r="R30" i="2"/>
  <c r="T30" i="2" s="1"/>
  <c r="Q30" i="2"/>
  <c r="N30" i="2"/>
  <c r="R29" i="2"/>
  <c r="T29" i="2" s="1"/>
  <c r="Q29" i="2"/>
  <c r="N29" i="2"/>
  <c r="R28" i="2"/>
  <c r="T28" i="2" s="1"/>
  <c r="Q28" i="2"/>
  <c r="N28" i="2"/>
  <c r="R27" i="2"/>
  <c r="T27" i="2" s="1"/>
  <c r="Q27" i="2"/>
  <c r="N27" i="2"/>
  <c r="T26" i="2"/>
  <c r="R26" i="2"/>
  <c r="Q26" i="2"/>
  <c r="N26" i="2"/>
  <c r="G26" i="2"/>
  <c r="Q25" i="2"/>
  <c r="N25" i="2"/>
  <c r="R25" i="2" s="1"/>
  <c r="T25" i="2" s="1"/>
  <c r="G25" i="2"/>
  <c r="Q24" i="2"/>
  <c r="N24" i="2"/>
  <c r="R24" i="2" s="1"/>
  <c r="T24" i="2" s="1"/>
  <c r="G24" i="2"/>
  <c r="R23" i="2"/>
  <c r="T23" i="2" s="1"/>
  <c r="Q23" i="2"/>
  <c r="N23" i="2"/>
  <c r="G23" i="2"/>
  <c r="T22" i="2"/>
  <c r="R22" i="2"/>
  <c r="Q22" i="2"/>
  <c r="N22" i="2"/>
  <c r="G22" i="2"/>
  <c r="Q21" i="2"/>
  <c r="N21" i="2"/>
  <c r="R21" i="2" s="1"/>
  <c r="T21" i="2" s="1"/>
  <c r="G21" i="2"/>
  <c r="Q20" i="2"/>
  <c r="N20" i="2"/>
  <c r="R20" i="2" s="1"/>
  <c r="T20" i="2" s="1"/>
  <c r="G20" i="2"/>
  <c r="R19" i="2"/>
  <c r="T19" i="2" s="1"/>
  <c r="Q19" i="2"/>
  <c r="N19" i="2"/>
  <c r="G19" i="2"/>
  <c r="T18" i="2"/>
  <c r="R18" i="2"/>
  <c r="Q18" i="2"/>
  <c r="N18" i="2"/>
  <c r="G18" i="2"/>
  <c r="Q17" i="2"/>
  <c r="N17" i="2"/>
  <c r="R17" i="2" s="1"/>
  <c r="T17" i="2" s="1"/>
  <c r="G17" i="2"/>
  <c r="Q16" i="2"/>
  <c r="N16" i="2"/>
  <c r="R16" i="2" s="1"/>
  <c r="T16" i="2" s="1"/>
  <c r="G16" i="2"/>
  <c r="R15" i="2"/>
  <c r="T15" i="2" s="1"/>
  <c r="Q15" i="2"/>
  <c r="N15" i="2"/>
  <c r="G15" i="2"/>
  <c r="T14" i="2"/>
  <c r="R14" i="2"/>
  <c r="Q14" i="2"/>
  <c r="N14" i="2"/>
  <c r="G14" i="2"/>
  <c r="Q13" i="2"/>
  <c r="N13" i="2"/>
  <c r="R13" i="2" s="1"/>
  <c r="T13" i="2" s="1"/>
  <c r="G13" i="2"/>
  <c r="Q12" i="2"/>
  <c r="N12" i="2"/>
  <c r="R12" i="2" s="1"/>
  <c r="T12" i="2" s="1"/>
  <c r="G12" i="2"/>
  <c r="R11" i="2"/>
  <c r="T11" i="2" s="1"/>
  <c r="Q11" i="2"/>
  <c r="N11" i="2"/>
  <c r="G11" i="2"/>
  <c r="T10" i="2"/>
  <c r="R10" i="2"/>
  <c r="Q10" i="2"/>
  <c r="N10" i="2"/>
  <c r="G10" i="2"/>
  <c r="Q9" i="2"/>
  <c r="N9" i="2"/>
  <c r="R9" i="2" s="1"/>
  <c r="T9" i="2" s="1"/>
  <c r="G9" i="2"/>
  <c r="Q8" i="2"/>
  <c r="N8" i="2"/>
  <c r="R8" i="2" s="1"/>
  <c r="T8" i="2" s="1"/>
  <c r="G8" i="2"/>
  <c r="R7" i="2"/>
  <c r="T7" i="2" s="1"/>
  <c r="Q7" i="2"/>
  <c r="N7" i="2"/>
  <c r="G7" i="2"/>
  <c r="S6" i="2"/>
  <c r="Q6" i="2"/>
  <c r="N6" i="2"/>
  <c r="R6" i="2" s="1"/>
  <c r="T6" i="2" s="1"/>
  <c r="G6" i="2"/>
  <c r="Q5" i="2"/>
  <c r="N5" i="2"/>
  <c r="R5" i="2" s="1"/>
  <c r="T5" i="2" s="1"/>
  <c r="G5" i="2"/>
  <c r="R4" i="2"/>
  <c r="Q4" i="2"/>
  <c r="Q47" i="2" s="1"/>
  <c r="N4" i="2"/>
  <c r="N47" i="2" s="1"/>
  <c r="G4" i="2"/>
  <c r="G27" i="2" s="1"/>
  <c r="S47" i="2" l="1"/>
  <c r="T40" i="2"/>
  <c r="R47" i="2"/>
  <c r="T41" i="2"/>
  <c r="T4" i="2"/>
  <c r="T47" i="2" l="1"/>
  <c r="BC526" i="1" l="1"/>
  <c r="AE524" i="1"/>
  <c r="AC524" i="1"/>
  <c r="Y524" i="1"/>
  <c r="X524" i="1"/>
  <c r="Z523" i="1"/>
  <c r="AD523" i="1" s="1"/>
  <c r="AD522" i="1"/>
  <c r="Z522" i="1"/>
  <c r="AD521" i="1"/>
  <c r="Z521" i="1"/>
  <c r="AD520" i="1"/>
  <c r="Z520" i="1"/>
  <c r="Z519" i="1"/>
  <c r="AD519" i="1" s="1"/>
  <c r="Z518" i="1"/>
  <c r="AD518" i="1" s="1"/>
  <c r="AB517" i="1"/>
  <c r="AB524" i="1" s="1"/>
  <c r="AD516" i="1"/>
  <c r="Z516" i="1"/>
  <c r="Z515" i="1"/>
  <c r="AD515" i="1" s="1"/>
  <c r="AA514" i="1"/>
  <c r="AA524" i="1" s="1"/>
  <c r="Z514" i="1"/>
  <c r="Z524" i="1" s="1"/>
  <c r="S511" i="1"/>
  <c r="BM499" i="1"/>
  <c r="BI499" i="1"/>
  <c r="BF499" i="1"/>
  <c r="BA499" i="1"/>
  <c r="AZ499" i="1"/>
  <c r="S514" i="1" s="1"/>
  <c r="AY499" i="1"/>
  <c r="S513" i="1" s="1"/>
  <c r="AV499" i="1"/>
  <c r="AT499" i="1"/>
  <c r="AO499" i="1"/>
  <c r="AN499" i="1"/>
  <c r="AM499" i="1"/>
  <c r="AL499" i="1"/>
  <c r="AK499" i="1"/>
  <c r="AJ499" i="1"/>
  <c r="AI499" i="1"/>
  <c r="AH499" i="1"/>
  <c r="S516" i="1" s="1"/>
  <c r="AG499" i="1"/>
  <c r="Z499" i="1"/>
  <c r="S508" i="1" s="1"/>
  <c r="BM498" i="1"/>
  <c r="BB498" i="1"/>
  <c r="AW498" i="1"/>
  <c r="AX498" i="1" s="1"/>
  <c r="AS498" i="1"/>
  <c r="AU498" i="1" s="1"/>
  <c r="AQ498" i="1"/>
  <c r="AD498" i="1"/>
  <c r="AB498" i="1"/>
  <c r="AC498" i="1" s="1"/>
  <c r="AA498" i="1"/>
  <c r="K498" i="1"/>
  <c r="BM497" i="1"/>
  <c r="BG497" i="1"/>
  <c r="BJ497" i="1" s="1"/>
  <c r="BB497" i="1"/>
  <c r="AW497" i="1"/>
  <c r="AX497" i="1" s="1"/>
  <c r="AS497" i="1"/>
  <c r="AU497" i="1" s="1"/>
  <c r="AQ497" i="1"/>
  <c r="AF497" i="1"/>
  <c r="AD497" i="1"/>
  <c r="BC497" i="1" s="1"/>
  <c r="AB497" i="1"/>
  <c r="AA497" i="1"/>
  <c r="K497" i="1"/>
  <c r="BM496" i="1"/>
  <c r="BB496" i="1"/>
  <c r="AW496" i="1"/>
  <c r="AS496" i="1"/>
  <c r="AU496" i="1" s="1"/>
  <c r="AQ496" i="1"/>
  <c r="AD496" i="1"/>
  <c r="AB496" i="1"/>
  <c r="AC496" i="1" s="1"/>
  <c r="AA496" i="1"/>
  <c r="K496" i="1"/>
  <c r="BM495" i="1"/>
  <c r="BB495" i="1"/>
  <c r="AW495" i="1"/>
  <c r="AX495" i="1" s="1"/>
  <c r="AS495" i="1"/>
  <c r="AU495" i="1" s="1"/>
  <c r="AQ495" i="1"/>
  <c r="AF495" i="1"/>
  <c r="AD495" i="1"/>
  <c r="AB495" i="1"/>
  <c r="AA495" i="1"/>
  <c r="K495" i="1"/>
  <c r="BM494" i="1"/>
  <c r="BG494" i="1"/>
  <c r="BJ494" i="1" s="1"/>
  <c r="BB494" i="1"/>
  <c r="AW494" i="1"/>
  <c r="AX494" i="1" s="1"/>
  <c r="AS494" i="1"/>
  <c r="AU494" i="1" s="1"/>
  <c r="AP494" i="1"/>
  <c r="AQ494" i="1" s="1"/>
  <c r="AE494" i="1"/>
  <c r="AC494" i="1"/>
  <c r="AB494" i="1"/>
  <c r="AA494" i="1"/>
  <c r="AD494" i="1" s="1"/>
  <c r="K494" i="1"/>
  <c r="BM493" i="1"/>
  <c r="BJ493" i="1"/>
  <c r="BB493" i="1"/>
  <c r="AW493" i="1"/>
  <c r="AQ493" i="1"/>
  <c r="AS493" i="1" s="1"/>
  <c r="AU493" i="1" s="1"/>
  <c r="AP493" i="1"/>
  <c r="AC493" i="1"/>
  <c r="AB493" i="1"/>
  <c r="BG493" i="1" s="1"/>
  <c r="AA493" i="1"/>
  <c r="AD493" i="1" s="1"/>
  <c r="K493" i="1"/>
  <c r="BM492" i="1"/>
  <c r="BB492" i="1"/>
  <c r="AW492" i="1"/>
  <c r="AU492" i="1"/>
  <c r="AQ492" i="1"/>
  <c r="AS492" i="1" s="1"/>
  <c r="AP492" i="1"/>
  <c r="AC492" i="1"/>
  <c r="AB492" i="1"/>
  <c r="BG492" i="1" s="1"/>
  <c r="BJ492" i="1" s="1"/>
  <c r="AA492" i="1"/>
  <c r="AD492" i="1" s="1"/>
  <c r="K492" i="1"/>
  <c r="BM491" i="1"/>
  <c r="BB491" i="1"/>
  <c r="AW491" i="1"/>
  <c r="AQ491" i="1"/>
  <c r="AS491" i="1" s="1"/>
  <c r="AU491" i="1" s="1"/>
  <c r="AP491" i="1"/>
  <c r="AD491" i="1"/>
  <c r="AB491" i="1"/>
  <c r="BG491" i="1" s="1"/>
  <c r="BJ491" i="1" s="1"/>
  <c r="AA491" i="1"/>
  <c r="K491" i="1"/>
  <c r="BM490" i="1"/>
  <c r="BG490" i="1"/>
  <c r="BJ490" i="1" s="1"/>
  <c r="BB490" i="1"/>
  <c r="AW490" i="1"/>
  <c r="AX490" i="1" s="1"/>
  <c r="AS490" i="1"/>
  <c r="AU490" i="1" s="1"/>
  <c r="AQ490" i="1"/>
  <c r="AF490" i="1"/>
  <c r="AD490" i="1"/>
  <c r="BC490" i="1" s="1"/>
  <c r="BK490" i="1" s="1"/>
  <c r="AB490" i="1"/>
  <c r="AA490" i="1"/>
  <c r="K490" i="1"/>
  <c r="BM489" i="1"/>
  <c r="BB489" i="1"/>
  <c r="AW489" i="1"/>
  <c r="AX489" i="1" s="1"/>
  <c r="AS489" i="1"/>
  <c r="AU489" i="1" s="1"/>
  <c r="AP489" i="1"/>
  <c r="AQ489" i="1" s="1"/>
  <c r="AE489" i="1"/>
  <c r="AC489" i="1"/>
  <c r="AB489" i="1"/>
  <c r="AA489" i="1"/>
  <c r="AD489" i="1" s="1"/>
  <c r="K489" i="1"/>
  <c r="BM488" i="1"/>
  <c r="BJ488" i="1"/>
  <c r="BB488" i="1"/>
  <c r="AW488" i="1"/>
  <c r="AQ488" i="1"/>
  <c r="AS488" i="1" s="1"/>
  <c r="AU488" i="1" s="1"/>
  <c r="AP488" i="1"/>
  <c r="AC488" i="1"/>
  <c r="AB488" i="1"/>
  <c r="BG488" i="1" s="1"/>
  <c r="AA488" i="1"/>
  <c r="AD488" i="1" s="1"/>
  <c r="K488" i="1"/>
  <c r="BM487" i="1"/>
  <c r="BB487" i="1"/>
  <c r="AW487" i="1"/>
  <c r="AU487" i="1"/>
  <c r="AQ487" i="1"/>
  <c r="AS487" i="1" s="1"/>
  <c r="AP487" i="1"/>
  <c r="AC487" i="1"/>
  <c r="AB487" i="1"/>
  <c r="BG487" i="1" s="1"/>
  <c r="BJ487" i="1" s="1"/>
  <c r="AA487" i="1"/>
  <c r="AD487" i="1" s="1"/>
  <c r="K487" i="1"/>
  <c r="BM486" i="1"/>
  <c r="BB486" i="1"/>
  <c r="AW486" i="1"/>
  <c r="AQ486" i="1"/>
  <c r="AS486" i="1" s="1"/>
  <c r="AU486" i="1" s="1"/>
  <c r="AP486" i="1"/>
  <c r="AC486" i="1"/>
  <c r="AB486" i="1"/>
  <c r="BG486" i="1" s="1"/>
  <c r="BJ486" i="1" s="1"/>
  <c r="AA486" i="1"/>
  <c r="AD486" i="1" s="1"/>
  <c r="K486" i="1"/>
  <c r="BM485" i="1"/>
  <c r="BC485" i="1"/>
  <c r="BB485" i="1"/>
  <c r="AW485" i="1"/>
  <c r="AQ485" i="1"/>
  <c r="AS485" i="1" s="1"/>
  <c r="AU485" i="1" s="1"/>
  <c r="AP485" i="1"/>
  <c r="AE485" i="1"/>
  <c r="AC485" i="1"/>
  <c r="AB485" i="1"/>
  <c r="BG485" i="1" s="1"/>
  <c r="BJ485" i="1" s="1"/>
  <c r="AA485" i="1"/>
  <c r="AD485" i="1" s="1"/>
  <c r="AX485" i="1" s="1"/>
  <c r="K485" i="1"/>
  <c r="BM484" i="1"/>
  <c r="BJ484" i="1"/>
  <c r="BB484" i="1"/>
  <c r="AW484" i="1"/>
  <c r="AQ484" i="1"/>
  <c r="AS484" i="1" s="1"/>
  <c r="AU484" i="1" s="1"/>
  <c r="AP484" i="1"/>
  <c r="AD484" i="1"/>
  <c r="AB484" i="1"/>
  <c r="BG484" i="1" s="1"/>
  <c r="AA484" i="1"/>
  <c r="K484" i="1"/>
  <c r="BM483" i="1"/>
  <c r="BB483" i="1"/>
  <c r="AW483" i="1"/>
  <c r="AX483" i="1" s="1"/>
  <c r="AP483" i="1"/>
  <c r="AQ483" i="1" s="1"/>
  <c r="AS483" i="1" s="1"/>
  <c r="AU483" i="1" s="1"/>
  <c r="AD483" i="1"/>
  <c r="AB483" i="1"/>
  <c r="AA483" i="1"/>
  <c r="K483" i="1"/>
  <c r="BM482" i="1"/>
  <c r="BB482" i="1"/>
  <c r="AW482" i="1"/>
  <c r="AX482" i="1" s="1"/>
  <c r="AP482" i="1"/>
  <c r="AQ482" i="1" s="1"/>
  <c r="AS482" i="1" s="1"/>
  <c r="AU482" i="1" s="1"/>
  <c r="AD482" i="1"/>
  <c r="BC482" i="1" s="1"/>
  <c r="AB482" i="1"/>
  <c r="AC482" i="1" s="1"/>
  <c r="AA482" i="1"/>
  <c r="K482" i="1"/>
  <c r="BM481" i="1"/>
  <c r="BG481" i="1"/>
  <c r="BJ481" i="1" s="1"/>
  <c r="BB481" i="1"/>
  <c r="AW481" i="1"/>
  <c r="AP481" i="1"/>
  <c r="AQ481" i="1" s="1"/>
  <c r="AS481" i="1" s="1"/>
  <c r="AU481" i="1" s="1"/>
  <c r="AC481" i="1"/>
  <c r="AB481" i="1"/>
  <c r="AA481" i="1"/>
  <c r="AD481" i="1" s="1"/>
  <c r="K481" i="1"/>
  <c r="BM480" i="1"/>
  <c r="BB480" i="1"/>
  <c r="AW480" i="1"/>
  <c r="AU480" i="1"/>
  <c r="AQ480" i="1"/>
  <c r="AS480" i="1" s="1"/>
  <c r="AP480" i="1"/>
  <c r="AF480" i="1"/>
  <c r="BC480" i="1" s="1"/>
  <c r="AD480" i="1"/>
  <c r="AX480" i="1" s="1"/>
  <c r="AB480" i="1"/>
  <c r="AA480" i="1"/>
  <c r="K480" i="1"/>
  <c r="BM479" i="1"/>
  <c r="BH479" i="1"/>
  <c r="BC479" i="1"/>
  <c r="BK479" i="1" s="1"/>
  <c r="BB479" i="1"/>
  <c r="AW479" i="1"/>
  <c r="AQ479" i="1"/>
  <c r="AS479" i="1" s="1"/>
  <c r="AU479" i="1" s="1"/>
  <c r="AP479" i="1"/>
  <c r="AE479" i="1"/>
  <c r="AC479" i="1"/>
  <c r="AB479" i="1"/>
  <c r="BG479" i="1" s="1"/>
  <c r="BJ479" i="1" s="1"/>
  <c r="AA479" i="1"/>
  <c r="AD479" i="1" s="1"/>
  <c r="AX479" i="1" s="1"/>
  <c r="K479" i="1"/>
  <c r="BM478" i="1"/>
  <c r="BJ478" i="1"/>
  <c r="BB478" i="1"/>
  <c r="AX478" i="1"/>
  <c r="AW478" i="1"/>
  <c r="AQ478" i="1"/>
  <c r="AS478" i="1" s="1"/>
  <c r="AU478" i="1" s="1"/>
  <c r="AP478" i="1"/>
  <c r="AF478" i="1"/>
  <c r="AD478" i="1"/>
  <c r="BG478" i="1" s="1"/>
  <c r="AB478" i="1"/>
  <c r="AA478" i="1"/>
  <c r="K478" i="1"/>
  <c r="BM477" i="1"/>
  <c r="BG477" i="1"/>
  <c r="BJ477" i="1" s="1"/>
  <c r="BB477" i="1"/>
  <c r="AW477" i="1"/>
  <c r="AS477" i="1"/>
  <c r="AU477" i="1" s="1"/>
  <c r="AP477" i="1"/>
  <c r="AQ477" i="1" s="1"/>
  <c r="AD477" i="1"/>
  <c r="BC477" i="1" s="1"/>
  <c r="BK477" i="1" s="1"/>
  <c r="AB477" i="1"/>
  <c r="AA477" i="1"/>
  <c r="K477" i="1"/>
  <c r="BM476" i="1"/>
  <c r="BB476" i="1"/>
  <c r="AW476" i="1"/>
  <c r="AX476" i="1" s="1"/>
  <c r="AP476" i="1"/>
  <c r="AQ476" i="1" s="1"/>
  <c r="AS476" i="1" s="1"/>
  <c r="AU476" i="1" s="1"/>
  <c r="AC476" i="1"/>
  <c r="AB476" i="1"/>
  <c r="AA476" i="1"/>
  <c r="AD476" i="1" s="1"/>
  <c r="AE476" i="1" s="1"/>
  <c r="K476" i="1"/>
  <c r="BM475" i="1"/>
  <c r="BB475" i="1"/>
  <c r="AX475" i="1"/>
  <c r="AW475" i="1"/>
  <c r="AU475" i="1"/>
  <c r="AQ475" i="1"/>
  <c r="AS475" i="1" s="1"/>
  <c r="AP475" i="1"/>
  <c r="AD475" i="1"/>
  <c r="BG475" i="1" s="1"/>
  <c r="BJ475" i="1" s="1"/>
  <c r="AB475" i="1"/>
  <c r="AA475" i="1"/>
  <c r="K475" i="1"/>
  <c r="BM474" i="1"/>
  <c r="BG474" i="1"/>
  <c r="BJ474" i="1" s="1"/>
  <c r="BB474" i="1"/>
  <c r="AW474" i="1"/>
  <c r="AX474" i="1" s="1"/>
  <c r="AP474" i="1"/>
  <c r="AQ474" i="1" s="1"/>
  <c r="AS474" i="1" s="1"/>
  <c r="AU474" i="1" s="1"/>
  <c r="AD474" i="1"/>
  <c r="AB474" i="1"/>
  <c r="AA474" i="1"/>
  <c r="K474" i="1"/>
  <c r="BM473" i="1"/>
  <c r="BB473" i="1"/>
  <c r="AW473" i="1"/>
  <c r="AS473" i="1"/>
  <c r="AU473" i="1" s="1"/>
  <c r="AP473" i="1"/>
  <c r="AQ473" i="1" s="1"/>
  <c r="AE473" i="1"/>
  <c r="AC473" i="1"/>
  <c r="AB473" i="1"/>
  <c r="AA473" i="1"/>
  <c r="AD473" i="1" s="1"/>
  <c r="K473" i="1"/>
  <c r="BM472" i="1"/>
  <c r="BG472" i="1"/>
  <c r="BJ472" i="1" s="1"/>
  <c r="BB472" i="1"/>
  <c r="AW472" i="1"/>
  <c r="AP472" i="1"/>
  <c r="AQ472" i="1" s="1"/>
  <c r="AS472" i="1" s="1"/>
  <c r="AU472" i="1" s="1"/>
  <c r="AC472" i="1"/>
  <c r="AB472" i="1"/>
  <c r="AA472" i="1"/>
  <c r="AD472" i="1" s="1"/>
  <c r="K472" i="1"/>
  <c r="BM471" i="1"/>
  <c r="BC471" i="1"/>
  <c r="BB471" i="1"/>
  <c r="AW471" i="1"/>
  <c r="AQ471" i="1"/>
  <c r="AS471" i="1" s="1"/>
  <c r="AU471" i="1" s="1"/>
  <c r="AP471" i="1"/>
  <c r="AF471" i="1"/>
  <c r="AD471" i="1"/>
  <c r="AX471" i="1" s="1"/>
  <c r="AB471" i="1"/>
  <c r="AA471" i="1"/>
  <c r="K471" i="1"/>
  <c r="BM470" i="1"/>
  <c r="BB470" i="1"/>
  <c r="AW470" i="1"/>
  <c r="AP470" i="1"/>
  <c r="AQ470" i="1" s="1"/>
  <c r="AS470" i="1" s="1"/>
  <c r="AU470" i="1" s="1"/>
  <c r="AD470" i="1"/>
  <c r="BC470" i="1" s="1"/>
  <c r="AB470" i="1"/>
  <c r="AC470" i="1" s="1"/>
  <c r="AA470" i="1"/>
  <c r="K470" i="1"/>
  <c r="BM469" i="1"/>
  <c r="BB469" i="1"/>
  <c r="AW469" i="1"/>
  <c r="AX469" i="1" s="1"/>
  <c r="AP469" i="1"/>
  <c r="AQ469" i="1" s="1"/>
  <c r="AS469" i="1" s="1"/>
  <c r="AU469" i="1" s="1"/>
  <c r="AD469" i="1"/>
  <c r="AB469" i="1"/>
  <c r="AA469" i="1"/>
  <c r="K469" i="1"/>
  <c r="BM468" i="1"/>
  <c r="BB468" i="1"/>
  <c r="AW468" i="1"/>
  <c r="AP468" i="1"/>
  <c r="AQ468" i="1" s="1"/>
  <c r="AS468" i="1" s="1"/>
  <c r="AU468" i="1" s="1"/>
  <c r="AD468" i="1"/>
  <c r="BC468" i="1" s="1"/>
  <c r="AB468" i="1"/>
  <c r="AC468" i="1" s="1"/>
  <c r="AA468" i="1"/>
  <c r="K468" i="1"/>
  <c r="BM467" i="1"/>
  <c r="BB467" i="1"/>
  <c r="AW467" i="1"/>
  <c r="AQ467" i="1"/>
  <c r="AS467" i="1" s="1"/>
  <c r="AU467" i="1" s="1"/>
  <c r="AC467" i="1"/>
  <c r="AB467" i="1"/>
  <c r="AA467" i="1"/>
  <c r="AD467" i="1" s="1"/>
  <c r="K467" i="1"/>
  <c r="BM466" i="1"/>
  <c r="BB466" i="1"/>
  <c r="AW466" i="1"/>
  <c r="AP466" i="1"/>
  <c r="AQ466" i="1" s="1"/>
  <c r="AS466" i="1" s="1"/>
  <c r="AU466" i="1" s="1"/>
  <c r="AC466" i="1"/>
  <c r="AB466" i="1"/>
  <c r="AA466" i="1"/>
  <c r="AD466" i="1" s="1"/>
  <c r="BG466" i="1" s="1"/>
  <c r="K466" i="1"/>
  <c r="BM465" i="1"/>
  <c r="BC465" i="1"/>
  <c r="BK465" i="1" s="1"/>
  <c r="BB465" i="1"/>
  <c r="AW465" i="1"/>
  <c r="AQ465" i="1"/>
  <c r="AS465" i="1" s="1"/>
  <c r="AU465" i="1" s="1"/>
  <c r="AP465" i="1"/>
  <c r="AC465" i="1"/>
  <c r="AB465" i="1"/>
  <c r="BG465" i="1" s="1"/>
  <c r="BJ465" i="1" s="1"/>
  <c r="AA465" i="1"/>
  <c r="AD465" i="1" s="1"/>
  <c r="AX465" i="1" s="1"/>
  <c r="K465" i="1"/>
  <c r="BM464" i="1"/>
  <c r="BB464" i="1"/>
  <c r="AW464" i="1"/>
  <c r="AP464" i="1"/>
  <c r="AQ464" i="1" s="1"/>
  <c r="AS464" i="1" s="1"/>
  <c r="AU464" i="1" s="1"/>
  <c r="AC464" i="1"/>
  <c r="AB464" i="1"/>
  <c r="AA464" i="1"/>
  <c r="AD464" i="1" s="1"/>
  <c r="K464" i="1"/>
  <c r="BM463" i="1"/>
  <c r="BJ463" i="1"/>
  <c r="BB463" i="1"/>
  <c r="AW463" i="1"/>
  <c r="AQ463" i="1"/>
  <c r="AS463" i="1" s="1"/>
  <c r="AU463" i="1" s="1"/>
  <c r="AP463" i="1"/>
  <c r="AC463" i="1"/>
  <c r="AB463" i="1"/>
  <c r="BG463" i="1" s="1"/>
  <c r="AA463" i="1"/>
  <c r="AD463" i="1" s="1"/>
  <c r="K463" i="1"/>
  <c r="BM462" i="1"/>
  <c r="BB462" i="1"/>
  <c r="AW462" i="1"/>
  <c r="AU462" i="1"/>
  <c r="AQ462" i="1"/>
  <c r="AS462" i="1" s="1"/>
  <c r="AP462" i="1"/>
  <c r="AE462" i="1"/>
  <c r="AC462" i="1"/>
  <c r="AB462" i="1"/>
  <c r="AA462" i="1"/>
  <c r="AD462" i="1" s="1"/>
  <c r="K462" i="1"/>
  <c r="BM461" i="1"/>
  <c r="BB461" i="1"/>
  <c r="AX461" i="1"/>
  <c r="AW461" i="1"/>
  <c r="AQ461" i="1"/>
  <c r="AS461" i="1" s="1"/>
  <c r="AU461" i="1" s="1"/>
  <c r="AP461" i="1"/>
  <c r="AE461" i="1"/>
  <c r="AC461" i="1"/>
  <c r="AB461" i="1"/>
  <c r="BG461" i="1" s="1"/>
  <c r="BJ461" i="1" s="1"/>
  <c r="AA461" i="1"/>
  <c r="AD461" i="1" s="1"/>
  <c r="BC461" i="1" s="1"/>
  <c r="K461" i="1"/>
  <c r="BM460" i="1"/>
  <c r="BB460" i="1"/>
  <c r="AW460" i="1"/>
  <c r="AQ460" i="1"/>
  <c r="AS460" i="1" s="1"/>
  <c r="AU460" i="1" s="1"/>
  <c r="AP460" i="1"/>
  <c r="AD460" i="1"/>
  <c r="BG460" i="1" s="1"/>
  <c r="BJ460" i="1" s="1"/>
  <c r="AB460" i="1"/>
  <c r="AA460" i="1"/>
  <c r="K460" i="1"/>
  <c r="BM459" i="1"/>
  <c r="BG459" i="1"/>
  <c r="BJ459" i="1" s="1"/>
  <c r="BB459" i="1"/>
  <c r="AW459" i="1"/>
  <c r="AX459" i="1" s="1"/>
  <c r="AS459" i="1"/>
  <c r="AU459" i="1" s="1"/>
  <c r="AP459" i="1"/>
  <c r="AQ459" i="1" s="1"/>
  <c r="AC459" i="1"/>
  <c r="AB459" i="1"/>
  <c r="AA459" i="1"/>
  <c r="AD459" i="1" s="1"/>
  <c r="AE459" i="1" s="1"/>
  <c r="K459" i="1"/>
  <c r="BM458" i="1"/>
  <c r="BJ458" i="1"/>
  <c r="BB458" i="1"/>
  <c r="AW458" i="1"/>
  <c r="AU458" i="1"/>
  <c r="AQ458" i="1"/>
  <c r="AS458" i="1" s="1"/>
  <c r="AP458" i="1"/>
  <c r="AE458" i="1"/>
  <c r="AC458" i="1"/>
  <c r="AB458" i="1"/>
  <c r="BG458" i="1" s="1"/>
  <c r="AA458" i="1"/>
  <c r="AD458" i="1" s="1"/>
  <c r="BC458" i="1" s="1"/>
  <c r="K458" i="1"/>
  <c r="BM457" i="1"/>
  <c r="BB457" i="1"/>
  <c r="AW457" i="1"/>
  <c r="AQ457" i="1"/>
  <c r="AS457" i="1" s="1"/>
  <c r="AU457" i="1" s="1"/>
  <c r="AP457" i="1"/>
  <c r="AC457" i="1"/>
  <c r="AB457" i="1"/>
  <c r="BG457" i="1" s="1"/>
  <c r="BJ457" i="1" s="1"/>
  <c r="AA457" i="1"/>
  <c r="AD457" i="1" s="1"/>
  <c r="AX457" i="1" s="1"/>
  <c r="K457" i="1"/>
  <c r="BM456" i="1"/>
  <c r="BJ456" i="1"/>
  <c r="BB456" i="1"/>
  <c r="AW456" i="1"/>
  <c r="AU456" i="1"/>
  <c r="AQ456" i="1"/>
  <c r="AS456" i="1" s="1"/>
  <c r="AP456" i="1"/>
  <c r="AE456" i="1"/>
  <c r="AC456" i="1"/>
  <c r="AB456" i="1"/>
  <c r="BG456" i="1" s="1"/>
  <c r="AA456" i="1"/>
  <c r="AD456" i="1" s="1"/>
  <c r="BC456" i="1" s="1"/>
  <c r="K456" i="1"/>
  <c r="BM455" i="1"/>
  <c r="BB455" i="1"/>
  <c r="AW455" i="1"/>
  <c r="AQ455" i="1"/>
  <c r="AS455" i="1" s="1"/>
  <c r="AU455" i="1" s="1"/>
  <c r="AP455" i="1"/>
  <c r="AC455" i="1"/>
  <c r="AB455" i="1"/>
  <c r="BG455" i="1" s="1"/>
  <c r="BJ455" i="1" s="1"/>
  <c r="AA455" i="1"/>
  <c r="AD455" i="1" s="1"/>
  <c r="AX455" i="1" s="1"/>
  <c r="K455" i="1"/>
  <c r="BM454" i="1"/>
  <c r="BJ454" i="1"/>
  <c r="BB454" i="1"/>
  <c r="AX454" i="1"/>
  <c r="AW454" i="1"/>
  <c r="AU454" i="1"/>
  <c r="AQ454" i="1"/>
  <c r="AS454" i="1" s="1"/>
  <c r="AP454" i="1"/>
  <c r="AF454" i="1"/>
  <c r="AD454" i="1"/>
  <c r="BG454" i="1" s="1"/>
  <c r="AB454" i="1"/>
  <c r="AA454" i="1"/>
  <c r="K454" i="1"/>
  <c r="BM453" i="1"/>
  <c r="BB453" i="1"/>
  <c r="AW453" i="1"/>
  <c r="AP453" i="1"/>
  <c r="AQ453" i="1" s="1"/>
  <c r="AS453" i="1" s="1"/>
  <c r="AU453" i="1" s="1"/>
  <c r="AD453" i="1"/>
  <c r="BC453" i="1" s="1"/>
  <c r="BK453" i="1" s="1"/>
  <c r="AB453" i="1"/>
  <c r="BG453" i="1" s="1"/>
  <c r="BJ453" i="1" s="1"/>
  <c r="AA453" i="1"/>
  <c r="K453" i="1"/>
  <c r="BM452" i="1"/>
  <c r="BB452" i="1"/>
  <c r="AW452" i="1"/>
  <c r="AX452" i="1" s="1"/>
  <c r="AS452" i="1"/>
  <c r="AU452" i="1" s="1"/>
  <c r="AP452" i="1"/>
  <c r="AQ452" i="1" s="1"/>
  <c r="AD452" i="1"/>
  <c r="AB452" i="1"/>
  <c r="AA452" i="1"/>
  <c r="K452" i="1"/>
  <c r="BM451" i="1"/>
  <c r="BK451" i="1"/>
  <c r="BG451" i="1"/>
  <c r="BJ451" i="1" s="1"/>
  <c r="BB451" i="1"/>
  <c r="AW451" i="1"/>
  <c r="AX451" i="1" s="1"/>
  <c r="AS451" i="1"/>
  <c r="AU451" i="1" s="1"/>
  <c r="AQ451" i="1"/>
  <c r="AC451" i="1"/>
  <c r="AB451" i="1"/>
  <c r="AA451" i="1"/>
  <c r="AD451" i="1" s="1"/>
  <c r="BC451" i="1" s="1"/>
  <c r="K451" i="1"/>
  <c r="BM450" i="1"/>
  <c r="BJ450" i="1"/>
  <c r="BB450" i="1"/>
  <c r="AW450" i="1"/>
  <c r="AU450" i="1"/>
  <c r="AQ450" i="1"/>
  <c r="AS450" i="1" s="1"/>
  <c r="AP450" i="1"/>
  <c r="AE450" i="1"/>
  <c r="AC450" i="1"/>
  <c r="AB450" i="1"/>
  <c r="BG450" i="1" s="1"/>
  <c r="AA450" i="1"/>
  <c r="AD450" i="1" s="1"/>
  <c r="BC450" i="1" s="1"/>
  <c r="BK450" i="1" s="1"/>
  <c r="K450" i="1"/>
  <c r="BM449" i="1"/>
  <c r="BB449" i="1"/>
  <c r="AX449" i="1"/>
  <c r="AW449" i="1"/>
  <c r="AQ449" i="1"/>
  <c r="AS449" i="1" s="1"/>
  <c r="AU449" i="1" s="1"/>
  <c r="AP449" i="1"/>
  <c r="AD449" i="1"/>
  <c r="BG449" i="1" s="1"/>
  <c r="BJ449" i="1" s="1"/>
  <c r="AB449" i="1"/>
  <c r="AA449" i="1"/>
  <c r="K449" i="1"/>
  <c r="BM448" i="1"/>
  <c r="BB448" i="1"/>
  <c r="AW448" i="1"/>
  <c r="AS448" i="1"/>
  <c r="AU448" i="1" s="1"/>
  <c r="AP448" i="1"/>
  <c r="AQ448" i="1" s="1"/>
  <c r="AC448" i="1"/>
  <c r="AB448" i="1"/>
  <c r="AA448" i="1"/>
  <c r="AD448" i="1" s="1"/>
  <c r="AE448" i="1" s="1"/>
  <c r="K448" i="1"/>
  <c r="BM447" i="1"/>
  <c r="BJ447" i="1"/>
  <c r="BG447" i="1"/>
  <c r="BB447" i="1"/>
  <c r="AW447" i="1"/>
  <c r="AS447" i="1"/>
  <c r="AU447" i="1" s="1"/>
  <c r="AQ447" i="1"/>
  <c r="AP447" i="1"/>
  <c r="AD447" i="1"/>
  <c r="AC447" i="1"/>
  <c r="AB447" i="1"/>
  <c r="BH447" i="1" s="1"/>
  <c r="AA447" i="1"/>
  <c r="K447" i="1"/>
  <c r="BM446" i="1"/>
  <c r="BG446" i="1"/>
  <c r="BJ446" i="1" s="1"/>
  <c r="BB446" i="1"/>
  <c r="AW446" i="1"/>
  <c r="AQ446" i="1"/>
  <c r="AS446" i="1" s="1"/>
  <c r="AU446" i="1" s="1"/>
  <c r="AE446" i="1"/>
  <c r="AB446" i="1"/>
  <c r="AC446" i="1" s="1"/>
  <c r="AA446" i="1"/>
  <c r="AD446" i="1" s="1"/>
  <c r="BC446" i="1" s="1"/>
  <c r="K446" i="1"/>
  <c r="BM445" i="1"/>
  <c r="BB445" i="1"/>
  <c r="AX445" i="1"/>
  <c r="AW445" i="1"/>
  <c r="AQ445" i="1"/>
  <c r="AS445" i="1" s="1"/>
  <c r="AU445" i="1" s="1"/>
  <c r="AP445" i="1"/>
  <c r="AD445" i="1"/>
  <c r="BC445" i="1" s="1"/>
  <c r="AC445" i="1"/>
  <c r="AB445" i="1"/>
  <c r="BG445" i="1" s="1"/>
  <c r="BJ445" i="1" s="1"/>
  <c r="AA445" i="1"/>
  <c r="K445" i="1"/>
  <c r="BM444" i="1"/>
  <c r="BG444" i="1"/>
  <c r="BB444" i="1"/>
  <c r="AW444" i="1"/>
  <c r="AQ444" i="1"/>
  <c r="AS444" i="1" s="1"/>
  <c r="AU444" i="1" s="1"/>
  <c r="AF444" i="1"/>
  <c r="AB444" i="1"/>
  <c r="AA444" i="1"/>
  <c r="AD444" i="1" s="1"/>
  <c r="K444" i="1"/>
  <c r="BM443" i="1"/>
  <c r="BB443" i="1"/>
  <c r="AW443" i="1"/>
  <c r="AX443" i="1" s="1"/>
  <c r="AU443" i="1"/>
  <c r="AP443" i="1"/>
  <c r="AQ443" i="1" s="1"/>
  <c r="AS443" i="1" s="1"/>
  <c r="AF443" i="1"/>
  <c r="AB443" i="1"/>
  <c r="AA443" i="1"/>
  <c r="AD443" i="1" s="1"/>
  <c r="BC443" i="1" s="1"/>
  <c r="K443" i="1"/>
  <c r="BM442" i="1"/>
  <c r="BB442" i="1"/>
  <c r="AW442" i="1"/>
  <c r="AS442" i="1"/>
  <c r="AU442" i="1" s="1"/>
  <c r="AQ442" i="1"/>
  <c r="AP442" i="1"/>
  <c r="AD442" i="1"/>
  <c r="AC442" i="1"/>
  <c r="AB442" i="1"/>
  <c r="BG442" i="1" s="1"/>
  <c r="BJ442" i="1" s="1"/>
  <c r="AA442" i="1"/>
  <c r="K442" i="1"/>
  <c r="BM441" i="1"/>
  <c r="BB441" i="1"/>
  <c r="AW441" i="1"/>
  <c r="AP441" i="1"/>
  <c r="AQ441" i="1" s="1"/>
  <c r="AS441" i="1" s="1"/>
  <c r="AU441" i="1" s="1"/>
  <c r="AB441" i="1"/>
  <c r="AA441" i="1"/>
  <c r="AD441" i="1" s="1"/>
  <c r="BC441" i="1" s="1"/>
  <c r="K441" i="1"/>
  <c r="BM440" i="1"/>
  <c r="BB440" i="1"/>
  <c r="AW440" i="1"/>
  <c r="AX440" i="1" s="1"/>
  <c r="AU440" i="1"/>
  <c r="AP440" i="1"/>
  <c r="AQ440" i="1" s="1"/>
  <c r="AS440" i="1" s="1"/>
  <c r="AB440" i="1"/>
  <c r="AA440" i="1"/>
  <c r="AD440" i="1" s="1"/>
  <c r="K440" i="1"/>
  <c r="BM439" i="1"/>
  <c r="BB439" i="1"/>
  <c r="AW439" i="1"/>
  <c r="AS439" i="1"/>
  <c r="AU439" i="1" s="1"/>
  <c r="AQ439" i="1"/>
  <c r="AP439" i="1"/>
  <c r="AD439" i="1"/>
  <c r="AC439" i="1"/>
  <c r="AB439" i="1"/>
  <c r="BG439" i="1" s="1"/>
  <c r="BJ439" i="1" s="1"/>
  <c r="AA439" i="1"/>
  <c r="K439" i="1"/>
  <c r="BM438" i="1"/>
  <c r="BG438" i="1"/>
  <c r="BJ438" i="1" s="1"/>
  <c r="BB438" i="1"/>
  <c r="AW438" i="1"/>
  <c r="AX438" i="1" s="1"/>
  <c r="AP438" i="1"/>
  <c r="AQ438" i="1" s="1"/>
  <c r="AS438" i="1" s="1"/>
  <c r="AU438" i="1" s="1"/>
  <c r="AF438" i="1"/>
  <c r="BC438" i="1" s="1"/>
  <c r="BK438" i="1" s="1"/>
  <c r="AD438" i="1"/>
  <c r="AC438" i="1"/>
  <c r="AB438" i="1"/>
  <c r="AE438" i="1" s="1"/>
  <c r="AA438" i="1"/>
  <c r="K438" i="1"/>
  <c r="BM437" i="1"/>
  <c r="BB437" i="1"/>
  <c r="AW437" i="1"/>
  <c r="AS437" i="1"/>
  <c r="AU437" i="1" s="1"/>
  <c r="AP437" i="1"/>
  <c r="AQ437" i="1" s="1"/>
  <c r="AB437" i="1"/>
  <c r="AA437" i="1"/>
  <c r="AD437" i="1" s="1"/>
  <c r="BG437" i="1" s="1"/>
  <c r="BJ437" i="1" s="1"/>
  <c r="K437" i="1"/>
  <c r="BM436" i="1"/>
  <c r="BB436" i="1"/>
  <c r="AW436" i="1"/>
  <c r="AS436" i="1"/>
  <c r="AU436" i="1" s="1"/>
  <c r="AQ436" i="1"/>
  <c r="AP436" i="1"/>
  <c r="AE436" i="1"/>
  <c r="AD436" i="1"/>
  <c r="AX436" i="1" s="1"/>
  <c r="AB436" i="1"/>
  <c r="AA436" i="1"/>
  <c r="K436" i="1"/>
  <c r="BM435" i="1"/>
  <c r="BB435" i="1"/>
  <c r="AW435" i="1"/>
  <c r="AU435" i="1"/>
  <c r="AS435" i="1"/>
  <c r="AQ435" i="1"/>
  <c r="AP435" i="1"/>
  <c r="AB435" i="1"/>
  <c r="AA435" i="1"/>
  <c r="AD435" i="1" s="1"/>
  <c r="K435" i="1"/>
  <c r="BM434" i="1"/>
  <c r="BB434" i="1"/>
  <c r="AW434" i="1"/>
  <c r="AS434" i="1"/>
  <c r="AU434" i="1" s="1"/>
  <c r="AQ434" i="1"/>
  <c r="AC434" i="1"/>
  <c r="AB434" i="1"/>
  <c r="AA434" i="1"/>
  <c r="AD434" i="1" s="1"/>
  <c r="K434" i="1"/>
  <c r="BM433" i="1"/>
  <c r="BB433" i="1"/>
  <c r="AW433" i="1"/>
  <c r="AQ433" i="1"/>
  <c r="AS433" i="1" s="1"/>
  <c r="AU433" i="1" s="1"/>
  <c r="AP433" i="1"/>
  <c r="AC433" i="1"/>
  <c r="AB433" i="1"/>
  <c r="AA433" i="1"/>
  <c r="AD433" i="1" s="1"/>
  <c r="K433" i="1"/>
  <c r="BM432" i="1"/>
  <c r="BH432" i="1"/>
  <c r="BB432" i="1"/>
  <c r="AW432" i="1"/>
  <c r="AQ432" i="1"/>
  <c r="AS432" i="1" s="1"/>
  <c r="AU432" i="1" s="1"/>
  <c r="AC432" i="1"/>
  <c r="AB432" i="1"/>
  <c r="BG432" i="1" s="1"/>
  <c r="BJ432" i="1" s="1"/>
  <c r="AA432" i="1"/>
  <c r="AD432" i="1" s="1"/>
  <c r="K432" i="1"/>
  <c r="BM431" i="1"/>
  <c r="BG431" i="1"/>
  <c r="BB431" i="1"/>
  <c r="AW431" i="1"/>
  <c r="AX431" i="1" s="1"/>
  <c r="AU431" i="1"/>
  <c r="AS431" i="1"/>
  <c r="AP431" i="1"/>
  <c r="AQ431" i="1" s="1"/>
  <c r="AE431" i="1"/>
  <c r="AD431" i="1"/>
  <c r="BC431" i="1" s="1"/>
  <c r="AB431" i="1"/>
  <c r="AA431" i="1"/>
  <c r="K431" i="1"/>
  <c r="BM430" i="1"/>
  <c r="BG430" i="1"/>
  <c r="BJ430" i="1" s="1"/>
  <c r="BB430" i="1"/>
  <c r="AX430" i="1"/>
  <c r="AW430" i="1"/>
  <c r="AS430" i="1"/>
  <c r="AU430" i="1" s="1"/>
  <c r="AQ430" i="1"/>
  <c r="AP430" i="1"/>
  <c r="AD430" i="1"/>
  <c r="AC430" i="1"/>
  <c r="AB430" i="1"/>
  <c r="AE430" i="1" s="1"/>
  <c r="AA430" i="1"/>
  <c r="K430" i="1"/>
  <c r="BM429" i="1"/>
  <c r="BB429" i="1"/>
  <c r="AW429" i="1"/>
  <c r="AP429" i="1"/>
  <c r="AQ429" i="1" s="1"/>
  <c r="AS429" i="1" s="1"/>
  <c r="AU429" i="1" s="1"/>
  <c r="AB429" i="1"/>
  <c r="AC429" i="1" s="1"/>
  <c r="AA429" i="1"/>
  <c r="AD429" i="1" s="1"/>
  <c r="K429" i="1"/>
  <c r="BM428" i="1"/>
  <c r="BJ428" i="1"/>
  <c r="BG428" i="1"/>
  <c r="BB428" i="1"/>
  <c r="AW428" i="1"/>
  <c r="AX428" i="1" s="1"/>
  <c r="AS428" i="1"/>
  <c r="AU428" i="1" s="1"/>
  <c r="AQ428" i="1"/>
  <c r="AP428" i="1"/>
  <c r="AE428" i="1"/>
  <c r="AC428" i="1"/>
  <c r="AB428" i="1"/>
  <c r="AA428" i="1"/>
  <c r="AD428" i="1" s="1"/>
  <c r="K428" i="1"/>
  <c r="BM427" i="1"/>
  <c r="BG427" i="1"/>
  <c r="BJ427" i="1" s="1"/>
  <c r="BB427" i="1"/>
  <c r="AW427" i="1"/>
  <c r="AX427" i="1" s="1"/>
  <c r="AU427" i="1"/>
  <c r="AQ427" i="1"/>
  <c r="AS427" i="1" s="1"/>
  <c r="AP427" i="1"/>
  <c r="AF427" i="1"/>
  <c r="AC427" i="1"/>
  <c r="AB427" i="1"/>
  <c r="AA427" i="1"/>
  <c r="AD427" i="1" s="1"/>
  <c r="K427" i="1"/>
  <c r="BM426" i="1"/>
  <c r="BB426" i="1"/>
  <c r="AW426" i="1"/>
  <c r="AS426" i="1"/>
  <c r="AU426" i="1" s="1"/>
  <c r="AQ426" i="1"/>
  <c r="AP426" i="1"/>
  <c r="AE426" i="1"/>
  <c r="AC426" i="1"/>
  <c r="AB426" i="1"/>
  <c r="AA426" i="1"/>
  <c r="AD426" i="1" s="1"/>
  <c r="K426" i="1"/>
  <c r="BM425" i="1"/>
  <c r="BB425" i="1"/>
  <c r="AW425" i="1"/>
  <c r="AS425" i="1"/>
  <c r="AU425" i="1" s="1"/>
  <c r="AQ425" i="1"/>
  <c r="AP425" i="1"/>
  <c r="AE425" i="1"/>
  <c r="AC425" i="1"/>
  <c r="AB425" i="1"/>
  <c r="AA425" i="1"/>
  <c r="AD425" i="1" s="1"/>
  <c r="K425" i="1"/>
  <c r="BM424" i="1"/>
  <c r="BB424" i="1"/>
  <c r="AX424" i="1"/>
  <c r="AW424" i="1"/>
  <c r="AQ424" i="1"/>
  <c r="AS424" i="1" s="1"/>
  <c r="AU424" i="1" s="1"/>
  <c r="AP424" i="1"/>
  <c r="AC424" i="1"/>
  <c r="AB424" i="1"/>
  <c r="BG424" i="1" s="1"/>
  <c r="BJ424" i="1" s="1"/>
  <c r="AA424" i="1"/>
  <c r="AD424" i="1" s="1"/>
  <c r="BC424" i="1" s="1"/>
  <c r="K424" i="1"/>
  <c r="BM423" i="1"/>
  <c r="BB423" i="1"/>
  <c r="AW423" i="1"/>
  <c r="AU423" i="1"/>
  <c r="AS423" i="1"/>
  <c r="AQ423" i="1"/>
  <c r="AP423" i="1"/>
  <c r="AF423" i="1"/>
  <c r="BC423" i="1" s="1"/>
  <c r="AB423" i="1"/>
  <c r="AA423" i="1"/>
  <c r="AD423" i="1" s="1"/>
  <c r="AX423" i="1" s="1"/>
  <c r="K423" i="1"/>
  <c r="BM422" i="1"/>
  <c r="BJ422" i="1"/>
  <c r="BG422" i="1"/>
  <c r="BB422" i="1"/>
  <c r="AW422" i="1"/>
  <c r="AS422" i="1"/>
  <c r="AU422" i="1" s="1"/>
  <c r="AQ422" i="1"/>
  <c r="AP422" i="1"/>
  <c r="AC422" i="1"/>
  <c r="AB422" i="1"/>
  <c r="AA422" i="1"/>
  <c r="AD422" i="1" s="1"/>
  <c r="K422" i="1"/>
  <c r="BM421" i="1"/>
  <c r="BJ421" i="1"/>
  <c r="BG421" i="1"/>
  <c r="BB421" i="1"/>
  <c r="AW421" i="1"/>
  <c r="AQ421" i="1"/>
  <c r="AS421" i="1" s="1"/>
  <c r="AU421" i="1" s="1"/>
  <c r="AP421" i="1"/>
  <c r="AD421" i="1"/>
  <c r="AC421" i="1"/>
  <c r="AB421" i="1"/>
  <c r="AE421" i="1" s="1"/>
  <c r="AA421" i="1"/>
  <c r="K421" i="1"/>
  <c r="BM420" i="1"/>
  <c r="BB420" i="1"/>
  <c r="AW420" i="1"/>
  <c r="AX420" i="1" s="1"/>
  <c r="AP420" i="1"/>
  <c r="AQ420" i="1" s="1"/>
  <c r="AS420" i="1" s="1"/>
  <c r="AU420" i="1" s="1"/>
  <c r="AB420" i="1"/>
  <c r="AA420" i="1"/>
  <c r="AD420" i="1" s="1"/>
  <c r="K420" i="1"/>
  <c r="BM419" i="1"/>
  <c r="BB419" i="1"/>
  <c r="AW419" i="1"/>
  <c r="AS419" i="1"/>
  <c r="AU419" i="1" s="1"/>
  <c r="AQ419" i="1"/>
  <c r="AD419" i="1"/>
  <c r="AC419" i="1"/>
  <c r="AB419" i="1"/>
  <c r="AA419" i="1"/>
  <c r="K419" i="1"/>
  <c r="BM418" i="1"/>
  <c r="BB418" i="1"/>
  <c r="AW418" i="1"/>
  <c r="AP418" i="1"/>
  <c r="AQ418" i="1" s="1"/>
  <c r="AS418" i="1" s="1"/>
  <c r="AU418" i="1" s="1"/>
  <c r="AC418" i="1"/>
  <c r="AB418" i="1"/>
  <c r="AE418" i="1" s="1"/>
  <c r="AA418" i="1"/>
  <c r="AD418" i="1" s="1"/>
  <c r="BG418" i="1" s="1"/>
  <c r="BJ418" i="1" s="1"/>
  <c r="K418" i="1"/>
  <c r="BM417" i="1"/>
  <c r="BB417" i="1"/>
  <c r="AW417" i="1"/>
  <c r="AU417" i="1"/>
  <c r="AS417" i="1"/>
  <c r="AQ417" i="1"/>
  <c r="AP417" i="1"/>
  <c r="AB417" i="1"/>
  <c r="AA417" i="1"/>
  <c r="AD417" i="1" s="1"/>
  <c r="AF417" i="1" s="1"/>
  <c r="BC417" i="1" s="1"/>
  <c r="K417" i="1"/>
  <c r="BM416" i="1"/>
  <c r="BB416" i="1"/>
  <c r="AW416" i="1"/>
  <c r="AS416" i="1"/>
  <c r="AU416" i="1" s="1"/>
  <c r="AQ416" i="1"/>
  <c r="AP416" i="1"/>
  <c r="AD416" i="1"/>
  <c r="AC416" i="1"/>
  <c r="AB416" i="1"/>
  <c r="BG416" i="1" s="1"/>
  <c r="BJ416" i="1" s="1"/>
  <c r="AA416" i="1"/>
  <c r="K416" i="1"/>
  <c r="BM415" i="1"/>
  <c r="BG415" i="1"/>
  <c r="BJ415" i="1" s="1"/>
  <c r="BB415" i="1"/>
  <c r="AW415" i="1"/>
  <c r="AU415" i="1"/>
  <c r="AS415" i="1"/>
  <c r="AQ415" i="1"/>
  <c r="AC415" i="1"/>
  <c r="AB415" i="1"/>
  <c r="AA415" i="1"/>
  <c r="AD415" i="1" s="1"/>
  <c r="BC415" i="1" s="1"/>
  <c r="K415" i="1"/>
  <c r="BM414" i="1"/>
  <c r="BJ414" i="1"/>
  <c r="BB414" i="1"/>
  <c r="AW414" i="1"/>
  <c r="AQ414" i="1"/>
  <c r="AS414" i="1" s="1"/>
  <c r="AU414" i="1" s="1"/>
  <c r="AP414" i="1"/>
  <c r="AC414" i="1"/>
  <c r="AB414" i="1"/>
  <c r="BG414" i="1" s="1"/>
  <c r="AA414" i="1"/>
  <c r="AD414" i="1" s="1"/>
  <c r="K414" i="1"/>
  <c r="BM413" i="1"/>
  <c r="BB413" i="1"/>
  <c r="AW413" i="1"/>
  <c r="AP413" i="1"/>
  <c r="AQ413" i="1" s="1"/>
  <c r="AS413" i="1" s="1"/>
  <c r="AU413" i="1" s="1"/>
  <c r="AC413" i="1"/>
  <c r="AB413" i="1"/>
  <c r="AE413" i="1" s="1"/>
  <c r="AA413" i="1"/>
  <c r="AD413" i="1" s="1"/>
  <c r="BG413" i="1" s="1"/>
  <c r="K413" i="1"/>
  <c r="BM412" i="1"/>
  <c r="BC412" i="1"/>
  <c r="BK412" i="1" s="1"/>
  <c r="BB412" i="1"/>
  <c r="AW412" i="1"/>
  <c r="AU412" i="1"/>
  <c r="AS412" i="1"/>
  <c r="AQ412" i="1"/>
  <c r="AP412" i="1"/>
  <c r="AC412" i="1"/>
  <c r="AB412" i="1"/>
  <c r="BG412" i="1" s="1"/>
  <c r="BJ412" i="1" s="1"/>
  <c r="AA412" i="1"/>
  <c r="AD412" i="1" s="1"/>
  <c r="AX412" i="1" s="1"/>
  <c r="K412" i="1"/>
  <c r="BM411" i="1"/>
  <c r="BB411" i="1"/>
  <c r="AW411" i="1"/>
  <c r="AS411" i="1"/>
  <c r="AU411" i="1" s="1"/>
  <c r="AQ411" i="1"/>
  <c r="AP411" i="1"/>
  <c r="AC411" i="1"/>
  <c r="AB411" i="1"/>
  <c r="AA411" i="1"/>
  <c r="AD411" i="1" s="1"/>
  <c r="AE411" i="1" s="1"/>
  <c r="K411" i="1"/>
  <c r="BM410" i="1"/>
  <c r="BB410" i="1"/>
  <c r="AW410" i="1"/>
  <c r="AS410" i="1"/>
  <c r="AU410" i="1" s="1"/>
  <c r="AQ410" i="1"/>
  <c r="AP410" i="1"/>
  <c r="AC410" i="1"/>
  <c r="AB410" i="1"/>
  <c r="AA410" i="1"/>
  <c r="AD410" i="1" s="1"/>
  <c r="AE410" i="1" s="1"/>
  <c r="K410" i="1"/>
  <c r="BM409" i="1"/>
  <c r="BB409" i="1"/>
  <c r="AW409" i="1"/>
  <c r="AS409" i="1"/>
  <c r="AU409" i="1" s="1"/>
  <c r="AQ409" i="1"/>
  <c r="AP409" i="1"/>
  <c r="AC409" i="1"/>
  <c r="AB409" i="1"/>
  <c r="AA409" i="1"/>
  <c r="AD409" i="1" s="1"/>
  <c r="AE409" i="1" s="1"/>
  <c r="K409" i="1"/>
  <c r="BM408" i="1"/>
  <c r="BB408" i="1"/>
  <c r="AW408" i="1"/>
  <c r="AQ408" i="1"/>
  <c r="AS408" i="1" s="1"/>
  <c r="AU408" i="1" s="1"/>
  <c r="AP408" i="1"/>
  <c r="AC408" i="1"/>
  <c r="AB408" i="1"/>
  <c r="BG408" i="1" s="1"/>
  <c r="BJ408" i="1" s="1"/>
  <c r="AA408" i="1"/>
  <c r="AD408" i="1" s="1"/>
  <c r="BC408" i="1" s="1"/>
  <c r="K408" i="1"/>
  <c r="BM407" i="1"/>
  <c r="BC407" i="1"/>
  <c r="BB407" i="1"/>
  <c r="AW407" i="1"/>
  <c r="AX407" i="1" s="1"/>
  <c r="AP407" i="1"/>
  <c r="AQ407" i="1" s="1"/>
  <c r="AS407" i="1" s="1"/>
  <c r="AU407" i="1" s="1"/>
  <c r="AE407" i="1"/>
  <c r="AB407" i="1"/>
  <c r="AC407" i="1" s="1"/>
  <c r="AA407" i="1"/>
  <c r="AD407" i="1" s="1"/>
  <c r="K407" i="1"/>
  <c r="BM406" i="1"/>
  <c r="BE406" i="1"/>
  <c r="BE499" i="1" s="1"/>
  <c r="BD406" i="1"/>
  <c r="BD499" i="1" s="1"/>
  <c r="BB406" i="1"/>
  <c r="AW406" i="1"/>
  <c r="AU406" i="1"/>
  <c r="AS406" i="1"/>
  <c r="AQ406" i="1"/>
  <c r="AP406" i="1"/>
  <c r="AF406" i="1"/>
  <c r="BC406" i="1" s="1"/>
  <c r="AB406" i="1"/>
  <c r="AA406" i="1"/>
  <c r="AD406" i="1" s="1"/>
  <c r="K406" i="1"/>
  <c r="BM405" i="1"/>
  <c r="BB405" i="1"/>
  <c r="AW405" i="1"/>
  <c r="AS405" i="1"/>
  <c r="AU405" i="1" s="1"/>
  <c r="AQ405" i="1"/>
  <c r="AP405" i="1"/>
  <c r="AD405" i="1"/>
  <c r="AC405" i="1"/>
  <c r="AB405" i="1"/>
  <c r="BG405" i="1" s="1"/>
  <c r="BJ405" i="1" s="1"/>
  <c r="AA405" i="1"/>
  <c r="K405" i="1"/>
  <c r="BM404" i="1"/>
  <c r="BB404" i="1"/>
  <c r="AW404" i="1"/>
  <c r="AP404" i="1"/>
  <c r="AQ404" i="1" s="1"/>
  <c r="AS404" i="1" s="1"/>
  <c r="AU404" i="1" s="1"/>
  <c r="AB404" i="1"/>
  <c r="AA404" i="1"/>
  <c r="AD404" i="1" s="1"/>
  <c r="BC404" i="1" s="1"/>
  <c r="K404" i="1"/>
  <c r="BM403" i="1"/>
  <c r="BB403" i="1"/>
  <c r="AW403" i="1"/>
  <c r="AS403" i="1"/>
  <c r="AU403" i="1" s="1"/>
  <c r="AQ403" i="1"/>
  <c r="AP403" i="1"/>
  <c r="AC403" i="1"/>
  <c r="AB403" i="1"/>
  <c r="AA403" i="1"/>
  <c r="AD403" i="1" s="1"/>
  <c r="AE403" i="1" s="1"/>
  <c r="K403" i="1"/>
  <c r="BM402" i="1"/>
  <c r="BJ402" i="1"/>
  <c r="BG402" i="1"/>
  <c r="BB402" i="1"/>
  <c r="AW402" i="1"/>
  <c r="AQ402" i="1"/>
  <c r="AS402" i="1" s="1"/>
  <c r="AU402" i="1" s="1"/>
  <c r="AP402" i="1"/>
  <c r="AD402" i="1"/>
  <c r="AC402" i="1"/>
  <c r="AB402" i="1"/>
  <c r="AA402" i="1"/>
  <c r="K402" i="1"/>
  <c r="BM401" i="1"/>
  <c r="BB401" i="1"/>
  <c r="AW401" i="1"/>
  <c r="AP401" i="1"/>
  <c r="AQ401" i="1" s="1"/>
  <c r="AS401" i="1" s="1"/>
  <c r="AU401" i="1" s="1"/>
  <c r="AC401" i="1"/>
  <c r="AB401" i="1"/>
  <c r="AA401" i="1"/>
  <c r="AD401" i="1" s="1"/>
  <c r="K401" i="1"/>
  <c r="BM400" i="1"/>
  <c r="BB400" i="1"/>
  <c r="AW400" i="1"/>
  <c r="AU400" i="1"/>
  <c r="AP400" i="1"/>
  <c r="AQ400" i="1" s="1"/>
  <c r="AS400" i="1" s="1"/>
  <c r="AE400" i="1"/>
  <c r="AB400" i="1"/>
  <c r="AC400" i="1" s="1"/>
  <c r="AA400" i="1"/>
  <c r="AD400" i="1" s="1"/>
  <c r="BC400" i="1" s="1"/>
  <c r="K400" i="1"/>
  <c r="BM399" i="1"/>
  <c r="BB399" i="1"/>
  <c r="AW399" i="1"/>
  <c r="AQ399" i="1"/>
  <c r="AS399" i="1" s="1"/>
  <c r="AU399" i="1" s="1"/>
  <c r="AC399" i="1"/>
  <c r="AB399" i="1"/>
  <c r="AA399" i="1"/>
  <c r="AD399" i="1" s="1"/>
  <c r="K399" i="1"/>
  <c r="BM398" i="1"/>
  <c r="BB398" i="1"/>
  <c r="AW398" i="1"/>
  <c r="AX398" i="1" s="1"/>
  <c r="AU398" i="1"/>
  <c r="AP398" i="1"/>
  <c r="AQ398" i="1" s="1"/>
  <c r="AS398" i="1" s="1"/>
  <c r="AF398" i="1"/>
  <c r="AB398" i="1"/>
  <c r="AA398" i="1"/>
  <c r="AD398" i="1" s="1"/>
  <c r="BG398" i="1" s="1"/>
  <c r="BJ398" i="1" s="1"/>
  <c r="K398" i="1"/>
  <c r="BM397" i="1"/>
  <c r="BB397" i="1"/>
  <c r="AW397" i="1"/>
  <c r="AS397" i="1"/>
  <c r="AU397" i="1" s="1"/>
  <c r="AQ397" i="1"/>
  <c r="AP397" i="1"/>
  <c r="AD397" i="1"/>
  <c r="AC397" i="1"/>
  <c r="AB397" i="1"/>
  <c r="BG397" i="1" s="1"/>
  <c r="BJ397" i="1" s="1"/>
  <c r="AA397" i="1"/>
  <c r="K397" i="1"/>
  <c r="BM396" i="1"/>
  <c r="BG396" i="1"/>
  <c r="BJ396" i="1" s="1"/>
  <c r="BB396" i="1"/>
  <c r="AW396" i="1"/>
  <c r="AX396" i="1" s="1"/>
  <c r="AP396" i="1"/>
  <c r="AQ396" i="1" s="1"/>
  <c r="AS396" i="1" s="1"/>
  <c r="AU396" i="1" s="1"/>
  <c r="AF396" i="1"/>
  <c r="BC396" i="1" s="1"/>
  <c r="BK396" i="1" s="1"/>
  <c r="AD396" i="1"/>
  <c r="AC396" i="1"/>
  <c r="AB396" i="1"/>
  <c r="AE396" i="1" s="1"/>
  <c r="AA396" i="1"/>
  <c r="K396" i="1"/>
  <c r="BM395" i="1"/>
  <c r="BG395" i="1"/>
  <c r="BJ395" i="1" s="1"/>
  <c r="BC395" i="1"/>
  <c r="BB395" i="1"/>
  <c r="AW395" i="1"/>
  <c r="AU395" i="1"/>
  <c r="AS395" i="1"/>
  <c r="AQ395" i="1"/>
  <c r="AD395" i="1"/>
  <c r="AE395" i="1" s="1"/>
  <c r="AC395" i="1"/>
  <c r="AB395" i="1"/>
  <c r="AA395" i="1"/>
  <c r="K395" i="1"/>
  <c r="BM394" i="1"/>
  <c r="BB394" i="1"/>
  <c r="AW394" i="1"/>
  <c r="AP394" i="1"/>
  <c r="AQ394" i="1" s="1"/>
  <c r="AS394" i="1" s="1"/>
  <c r="AU394" i="1" s="1"/>
  <c r="AB394" i="1"/>
  <c r="AA394" i="1"/>
  <c r="AD394" i="1" s="1"/>
  <c r="BC394" i="1" s="1"/>
  <c r="K394" i="1"/>
  <c r="BM393" i="1"/>
  <c r="BB393" i="1"/>
  <c r="AW393" i="1"/>
  <c r="AS393" i="1"/>
  <c r="AU393" i="1" s="1"/>
  <c r="AQ393" i="1"/>
  <c r="AP393" i="1"/>
  <c r="AB393" i="1"/>
  <c r="BG393" i="1" s="1"/>
  <c r="BJ393" i="1" s="1"/>
  <c r="AA393" i="1"/>
  <c r="AD393" i="1" s="1"/>
  <c r="AE393" i="1" s="1"/>
  <c r="K393" i="1"/>
  <c r="BM392" i="1"/>
  <c r="BJ392" i="1"/>
  <c r="BG392" i="1"/>
  <c r="BB392" i="1"/>
  <c r="AW392" i="1"/>
  <c r="AQ392" i="1"/>
  <c r="AS392" i="1" s="1"/>
  <c r="AU392" i="1" s="1"/>
  <c r="AP392" i="1"/>
  <c r="AD392" i="1"/>
  <c r="AC392" i="1"/>
  <c r="AB392" i="1"/>
  <c r="AE392" i="1" s="1"/>
  <c r="AA392" i="1"/>
  <c r="K392" i="1"/>
  <c r="BM391" i="1"/>
  <c r="BB391" i="1"/>
  <c r="AW391" i="1"/>
  <c r="AP391" i="1"/>
  <c r="AQ391" i="1" s="1"/>
  <c r="AS391" i="1" s="1"/>
  <c r="AU391" i="1" s="1"/>
  <c r="AB391" i="1"/>
  <c r="AA391" i="1"/>
  <c r="AD391" i="1" s="1"/>
  <c r="BC391" i="1" s="1"/>
  <c r="K391" i="1"/>
  <c r="BM390" i="1"/>
  <c r="BB390" i="1"/>
  <c r="AW390" i="1"/>
  <c r="AS390" i="1"/>
  <c r="AU390" i="1" s="1"/>
  <c r="AQ390" i="1"/>
  <c r="AP390" i="1"/>
  <c r="AD390" i="1"/>
  <c r="AC390" i="1"/>
  <c r="AB390" i="1"/>
  <c r="BG390" i="1" s="1"/>
  <c r="BJ390" i="1" s="1"/>
  <c r="AA390" i="1"/>
  <c r="K390" i="1"/>
  <c r="BM389" i="1"/>
  <c r="BH389" i="1"/>
  <c r="BB389" i="1"/>
  <c r="AW389" i="1"/>
  <c r="AQ389" i="1"/>
  <c r="AS389" i="1" s="1"/>
  <c r="AU389" i="1" s="1"/>
  <c r="AP389" i="1"/>
  <c r="AD389" i="1"/>
  <c r="AC389" i="1"/>
  <c r="AB389" i="1"/>
  <c r="AE389" i="1" s="1"/>
  <c r="AA389" i="1"/>
  <c r="K389" i="1"/>
  <c r="BM388" i="1"/>
  <c r="BH388" i="1"/>
  <c r="BB388" i="1"/>
  <c r="AW388" i="1"/>
  <c r="AQ388" i="1"/>
  <c r="AS388" i="1" s="1"/>
  <c r="AU388" i="1" s="1"/>
  <c r="AP388" i="1"/>
  <c r="AC388" i="1"/>
  <c r="AB388" i="1"/>
  <c r="BG388" i="1" s="1"/>
  <c r="BJ388" i="1" s="1"/>
  <c r="AA388" i="1"/>
  <c r="AD388" i="1" s="1"/>
  <c r="BC388" i="1" s="1"/>
  <c r="K388" i="1"/>
  <c r="BM387" i="1"/>
  <c r="BC387" i="1"/>
  <c r="BK387" i="1" s="1"/>
  <c r="BB387" i="1"/>
  <c r="AW387" i="1"/>
  <c r="AX387" i="1" s="1"/>
  <c r="AP387" i="1"/>
  <c r="AQ387" i="1" s="1"/>
  <c r="AS387" i="1" s="1"/>
  <c r="AU387" i="1" s="1"/>
  <c r="AF387" i="1"/>
  <c r="AB387" i="1"/>
  <c r="AA387" i="1"/>
  <c r="AD387" i="1" s="1"/>
  <c r="BG387" i="1" s="1"/>
  <c r="BJ387" i="1" s="1"/>
  <c r="K387" i="1"/>
  <c r="BM386" i="1"/>
  <c r="BB386" i="1"/>
  <c r="AW386" i="1"/>
  <c r="AX386" i="1" s="1"/>
  <c r="AU386" i="1"/>
  <c r="AP386" i="1"/>
  <c r="AQ386" i="1" s="1"/>
  <c r="AS386" i="1" s="1"/>
  <c r="AF386" i="1"/>
  <c r="AB386" i="1"/>
  <c r="AA386" i="1"/>
  <c r="AD386" i="1" s="1"/>
  <c r="K386" i="1"/>
  <c r="BM385" i="1"/>
  <c r="BB385" i="1"/>
  <c r="AW385" i="1"/>
  <c r="AS385" i="1"/>
  <c r="AU385" i="1" s="1"/>
  <c r="AQ385" i="1"/>
  <c r="AP385" i="1"/>
  <c r="AD385" i="1"/>
  <c r="AC385" i="1"/>
  <c r="AB385" i="1"/>
  <c r="BG385" i="1" s="1"/>
  <c r="BJ385" i="1" s="1"/>
  <c r="AA385" i="1"/>
  <c r="K385" i="1"/>
  <c r="BM384" i="1"/>
  <c r="BB384" i="1"/>
  <c r="AW384" i="1"/>
  <c r="AQ384" i="1"/>
  <c r="AS384" i="1" s="1"/>
  <c r="AU384" i="1" s="1"/>
  <c r="AC384" i="1"/>
  <c r="AB384" i="1"/>
  <c r="AA384" i="1"/>
  <c r="AD384" i="1" s="1"/>
  <c r="K384" i="1"/>
  <c r="BM383" i="1"/>
  <c r="BG383" i="1"/>
  <c r="BB383" i="1"/>
  <c r="AW383" i="1"/>
  <c r="AX383" i="1" s="1"/>
  <c r="AP383" i="1"/>
  <c r="AQ383" i="1" s="1"/>
  <c r="AS383" i="1" s="1"/>
  <c r="AU383" i="1" s="1"/>
  <c r="AF383" i="1"/>
  <c r="AD383" i="1"/>
  <c r="BH383" i="1" s="1"/>
  <c r="AC383" i="1"/>
  <c r="AB383" i="1"/>
  <c r="AE383" i="1" s="1"/>
  <c r="AA383" i="1"/>
  <c r="K383" i="1"/>
  <c r="BM382" i="1"/>
  <c r="BB382" i="1"/>
  <c r="AW382" i="1"/>
  <c r="AX382" i="1" s="1"/>
  <c r="AU382" i="1"/>
  <c r="AP382" i="1"/>
  <c r="AQ382" i="1" s="1"/>
  <c r="AS382" i="1" s="1"/>
  <c r="AB382" i="1"/>
  <c r="AA382" i="1"/>
  <c r="AD382" i="1" s="1"/>
  <c r="K382" i="1"/>
  <c r="BM381" i="1"/>
  <c r="BB381" i="1"/>
  <c r="AX381" i="1"/>
  <c r="AW381" i="1"/>
  <c r="AS381" i="1"/>
  <c r="AU381" i="1" s="1"/>
  <c r="AQ381" i="1"/>
  <c r="AD381" i="1"/>
  <c r="AB381" i="1"/>
  <c r="AA381" i="1"/>
  <c r="K381" i="1"/>
  <c r="BM380" i="1"/>
  <c r="BG380" i="1"/>
  <c r="BB380" i="1"/>
  <c r="AW380" i="1"/>
  <c r="AU380" i="1"/>
  <c r="AP380" i="1"/>
  <c r="AQ380" i="1" s="1"/>
  <c r="AS380" i="1" s="1"/>
  <c r="AF380" i="1"/>
  <c r="AD380" i="1"/>
  <c r="BH380" i="1" s="1"/>
  <c r="AC380" i="1"/>
  <c r="AB380" i="1"/>
  <c r="AE380" i="1" s="1"/>
  <c r="AA380" i="1"/>
  <c r="K380" i="1"/>
  <c r="BM379" i="1"/>
  <c r="BB379" i="1"/>
  <c r="AW379" i="1"/>
  <c r="AP379" i="1"/>
  <c r="AQ379" i="1" s="1"/>
  <c r="AS379" i="1" s="1"/>
  <c r="AU379" i="1" s="1"/>
  <c r="AB379" i="1"/>
  <c r="AC379" i="1" s="1"/>
  <c r="AA379" i="1"/>
  <c r="AD379" i="1" s="1"/>
  <c r="K379" i="1"/>
  <c r="BM378" i="1"/>
  <c r="BG378" i="1"/>
  <c r="BJ378" i="1" s="1"/>
  <c r="BB378" i="1"/>
  <c r="AW378" i="1"/>
  <c r="AQ378" i="1"/>
  <c r="AS378" i="1" s="1"/>
  <c r="AU378" i="1" s="1"/>
  <c r="AP378" i="1"/>
  <c r="AC378" i="1"/>
  <c r="AB378" i="1"/>
  <c r="AA378" i="1"/>
  <c r="AD378" i="1" s="1"/>
  <c r="K378" i="1"/>
  <c r="BM377" i="1"/>
  <c r="BB377" i="1"/>
  <c r="AW377" i="1"/>
  <c r="AQ377" i="1"/>
  <c r="AS377" i="1" s="1"/>
  <c r="AU377" i="1" s="1"/>
  <c r="AP377" i="1"/>
  <c r="AB377" i="1"/>
  <c r="AA377" i="1"/>
  <c r="AD377" i="1" s="1"/>
  <c r="AX377" i="1" s="1"/>
  <c r="K377" i="1"/>
  <c r="BM376" i="1"/>
  <c r="BJ376" i="1"/>
  <c r="BG376" i="1"/>
  <c r="BB376" i="1"/>
  <c r="AW376" i="1"/>
  <c r="AS376" i="1"/>
  <c r="AU376" i="1" s="1"/>
  <c r="AQ376" i="1"/>
  <c r="AP376" i="1"/>
  <c r="AE376" i="1"/>
  <c r="AC376" i="1"/>
  <c r="AB376" i="1"/>
  <c r="AA376" i="1"/>
  <c r="AD376" i="1" s="1"/>
  <c r="K376" i="1"/>
  <c r="BM375" i="1"/>
  <c r="BB375" i="1"/>
  <c r="AW375" i="1"/>
  <c r="AQ375" i="1"/>
  <c r="AS375" i="1" s="1"/>
  <c r="AU375" i="1" s="1"/>
  <c r="AB375" i="1"/>
  <c r="AA375" i="1"/>
  <c r="AD375" i="1" s="1"/>
  <c r="BC375" i="1" s="1"/>
  <c r="K375" i="1"/>
  <c r="BM374" i="1"/>
  <c r="BB374" i="1"/>
  <c r="AW374" i="1"/>
  <c r="AS374" i="1"/>
  <c r="AU374" i="1" s="1"/>
  <c r="AQ374" i="1"/>
  <c r="AP374" i="1"/>
  <c r="AD374" i="1"/>
  <c r="AC374" i="1"/>
  <c r="AB374" i="1"/>
  <c r="BG374" i="1" s="1"/>
  <c r="BJ374" i="1" s="1"/>
  <c r="AA374" i="1"/>
  <c r="K374" i="1"/>
  <c r="BM373" i="1"/>
  <c r="BB373" i="1"/>
  <c r="AW373" i="1"/>
  <c r="AP373" i="1"/>
  <c r="AQ373" i="1" s="1"/>
  <c r="AS373" i="1" s="1"/>
  <c r="AU373" i="1" s="1"/>
  <c r="AC373" i="1"/>
  <c r="AB373" i="1"/>
  <c r="AE373" i="1" s="1"/>
  <c r="AA373" i="1"/>
  <c r="AD373" i="1" s="1"/>
  <c r="BG373" i="1" s="1"/>
  <c r="BJ373" i="1" s="1"/>
  <c r="K373" i="1"/>
  <c r="BM372" i="1"/>
  <c r="BB372" i="1"/>
  <c r="AW372" i="1"/>
  <c r="AU372" i="1"/>
  <c r="AS372" i="1"/>
  <c r="AQ372" i="1"/>
  <c r="AC372" i="1"/>
  <c r="AB372" i="1"/>
  <c r="AA372" i="1"/>
  <c r="AD372" i="1" s="1"/>
  <c r="AE372" i="1" s="1"/>
  <c r="K372" i="1"/>
  <c r="BM371" i="1"/>
  <c r="BB371" i="1"/>
  <c r="AW371" i="1"/>
  <c r="AQ371" i="1"/>
  <c r="AS371" i="1" s="1"/>
  <c r="AU371" i="1" s="1"/>
  <c r="AP371" i="1"/>
  <c r="AD371" i="1"/>
  <c r="AC371" i="1"/>
  <c r="AB371" i="1"/>
  <c r="AE371" i="1" s="1"/>
  <c r="AA371" i="1"/>
  <c r="K371" i="1"/>
  <c r="BM370" i="1"/>
  <c r="BB370" i="1"/>
  <c r="AW370" i="1"/>
  <c r="AP370" i="1"/>
  <c r="AQ370" i="1" s="1"/>
  <c r="AS370" i="1" s="1"/>
  <c r="AU370" i="1" s="1"/>
  <c r="AB370" i="1"/>
  <c r="AA370" i="1"/>
  <c r="AD370" i="1" s="1"/>
  <c r="BC370" i="1" s="1"/>
  <c r="K370" i="1"/>
  <c r="BM369" i="1"/>
  <c r="BB369" i="1"/>
  <c r="AW369" i="1"/>
  <c r="AS369" i="1"/>
  <c r="AU369" i="1" s="1"/>
  <c r="AQ369" i="1"/>
  <c r="AP369" i="1"/>
  <c r="AD369" i="1"/>
  <c r="AC369" i="1"/>
  <c r="AB369" i="1"/>
  <c r="BG369" i="1" s="1"/>
  <c r="BJ369" i="1" s="1"/>
  <c r="AA369" i="1"/>
  <c r="K369" i="1"/>
  <c r="BM368" i="1"/>
  <c r="BB368" i="1"/>
  <c r="AW368" i="1"/>
  <c r="AP368" i="1"/>
  <c r="AQ368" i="1" s="1"/>
  <c r="AS368" i="1" s="1"/>
  <c r="AU368" i="1" s="1"/>
  <c r="AB368" i="1"/>
  <c r="AA368" i="1"/>
  <c r="AD368" i="1" s="1"/>
  <c r="BC368" i="1" s="1"/>
  <c r="K368" i="1"/>
  <c r="BM367" i="1"/>
  <c r="BB367" i="1"/>
  <c r="AW367" i="1"/>
  <c r="AS367" i="1"/>
  <c r="AU367" i="1" s="1"/>
  <c r="AQ367" i="1"/>
  <c r="AP367" i="1"/>
  <c r="AD367" i="1"/>
  <c r="AC367" i="1"/>
  <c r="AB367" i="1"/>
  <c r="BG367" i="1" s="1"/>
  <c r="BJ367" i="1" s="1"/>
  <c r="AA367" i="1"/>
  <c r="K367" i="1"/>
  <c r="BM366" i="1"/>
  <c r="BH366" i="1"/>
  <c r="BB366" i="1"/>
  <c r="AW366" i="1"/>
  <c r="AQ366" i="1"/>
  <c r="AS366" i="1" s="1"/>
  <c r="AU366" i="1" s="1"/>
  <c r="AP366" i="1"/>
  <c r="AD366" i="1"/>
  <c r="AC366" i="1"/>
  <c r="AB366" i="1"/>
  <c r="AE366" i="1" s="1"/>
  <c r="AA366" i="1"/>
  <c r="K366" i="1"/>
  <c r="BM365" i="1"/>
  <c r="BG365" i="1"/>
  <c r="BJ365" i="1" s="1"/>
  <c r="BB365" i="1"/>
  <c r="AW365" i="1"/>
  <c r="AP365" i="1"/>
  <c r="AQ365" i="1" s="1"/>
  <c r="AS365" i="1" s="1"/>
  <c r="AU365" i="1" s="1"/>
  <c r="AC365" i="1"/>
  <c r="AB365" i="1"/>
  <c r="AE365" i="1" s="1"/>
  <c r="AA365" i="1"/>
  <c r="AD365" i="1" s="1"/>
  <c r="K365" i="1"/>
  <c r="BM364" i="1"/>
  <c r="BG364" i="1"/>
  <c r="BB364" i="1"/>
  <c r="AW364" i="1"/>
  <c r="AP364" i="1"/>
  <c r="AQ364" i="1" s="1"/>
  <c r="AS364" i="1" s="1"/>
  <c r="AU364" i="1" s="1"/>
  <c r="AC364" i="1"/>
  <c r="AB364" i="1"/>
  <c r="AE364" i="1" s="1"/>
  <c r="AA364" i="1"/>
  <c r="AD364" i="1" s="1"/>
  <c r="K364" i="1"/>
  <c r="BM363" i="1"/>
  <c r="BB363" i="1"/>
  <c r="AW363" i="1"/>
  <c r="AU363" i="1"/>
  <c r="AS363" i="1"/>
  <c r="AQ363" i="1"/>
  <c r="AP363" i="1"/>
  <c r="AF363" i="1"/>
  <c r="BC363" i="1" s="1"/>
  <c r="AB363" i="1"/>
  <c r="AA363" i="1"/>
  <c r="AD363" i="1" s="1"/>
  <c r="K363" i="1"/>
  <c r="BM362" i="1"/>
  <c r="BJ362" i="1"/>
  <c r="BG362" i="1"/>
  <c r="BB362" i="1"/>
  <c r="AW362" i="1"/>
  <c r="AS362" i="1"/>
  <c r="AU362" i="1" s="1"/>
  <c r="AQ362" i="1"/>
  <c r="AP362" i="1"/>
  <c r="AC362" i="1"/>
  <c r="AB362" i="1"/>
  <c r="AA362" i="1"/>
  <c r="AD362" i="1" s="1"/>
  <c r="AE362" i="1" s="1"/>
  <c r="K362" i="1"/>
  <c r="BM361" i="1"/>
  <c r="BJ361" i="1"/>
  <c r="BB361" i="1"/>
  <c r="AW361" i="1"/>
  <c r="AQ361" i="1"/>
  <c r="AS361" i="1" s="1"/>
  <c r="AU361" i="1" s="1"/>
  <c r="AP361" i="1"/>
  <c r="AC361" i="1"/>
  <c r="AB361" i="1"/>
  <c r="BG361" i="1" s="1"/>
  <c r="AA361" i="1"/>
  <c r="AD361" i="1" s="1"/>
  <c r="K361" i="1"/>
  <c r="BM360" i="1"/>
  <c r="BB360" i="1"/>
  <c r="AW360" i="1"/>
  <c r="AP360" i="1"/>
  <c r="AQ360" i="1" s="1"/>
  <c r="AS360" i="1" s="1"/>
  <c r="AU360" i="1" s="1"/>
  <c r="AC360" i="1"/>
  <c r="AB360" i="1"/>
  <c r="AE360" i="1" s="1"/>
  <c r="AA360" i="1"/>
  <c r="AD360" i="1" s="1"/>
  <c r="BG360" i="1" s="1"/>
  <c r="K360" i="1"/>
  <c r="BM359" i="1"/>
  <c r="BB359" i="1"/>
  <c r="AW359" i="1"/>
  <c r="AU359" i="1"/>
  <c r="AS359" i="1"/>
  <c r="AQ359" i="1"/>
  <c r="AP359" i="1"/>
  <c r="AB359" i="1"/>
  <c r="AA359" i="1"/>
  <c r="AD359" i="1" s="1"/>
  <c r="AX359" i="1" s="1"/>
  <c r="K359" i="1"/>
  <c r="BM358" i="1"/>
  <c r="BJ358" i="1"/>
  <c r="BG358" i="1"/>
  <c r="BB358" i="1"/>
  <c r="AW358" i="1"/>
  <c r="AS358" i="1"/>
  <c r="AU358" i="1" s="1"/>
  <c r="AQ358" i="1"/>
  <c r="AP358" i="1"/>
  <c r="AE358" i="1"/>
  <c r="AC358" i="1"/>
  <c r="AB358" i="1"/>
  <c r="AA358" i="1"/>
  <c r="AD358" i="1" s="1"/>
  <c r="K358" i="1"/>
  <c r="BM357" i="1"/>
  <c r="BB357" i="1"/>
  <c r="AW357" i="1"/>
  <c r="AQ357" i="1"/>
  <c r="AS357" i="1" s="1"/>
  <c r="AU357" i="1" s="1"/>
  <c r="AP357" i="1"/>
  <c r="AD357" i="1"/>
  <c r="AC357" i="1"/>
  <c r="AB357" i="1"/>
  <c r="AA357" i="1"/>
  <c r="K357" i="1"/>
  <c r="BM356" i="1"/>
  <c r="BH356" i="1"/>
  <c r="BB356" i="1"/>
  <c r="AX356" i="1"/>
  <c r="AW356" i="1"/>
  <c r="AQ356" i="1"/>
  <c r="AS356" i="1" s="1"/>
  <c r="AU356" i="1" s="1"/>
  <c r="AP356" i="1"/>
  <c r="AC356" i="1"/>
  <c r="AB356" i="1"/>
  <c r="BG356" i="1" s="1"/>
  <c r="BJ356" i="1" s="1"/>
  <c r="AA356" i="1"/>
  <c r="AD356" i="1" s="1"/>
  <c r="BC356" i="1" s="1"/>
  <c r="K356" i="1"/>
  <c r="BM355" i="1"/>
  <c r="BC355" i="1"/>
  <c r="BK355" i="1" s="1"/>
  <c r="BB355" i="1"/>
  <c r="AW355" i="1"/>
  <c r="AU355" i="1"/>
  <c r="AS355" i="1"/>
  <c r="AQ355" i="1"/>
  <c r="AP355" i="1"/>
  <c r="AE355" i="1"/>
  <c r="AC355" i="1"/>
  <c r="AB355" i="1"/>
  <c r="BG355" i="1" s="1"/>
  <c r="BJ355" i="1" s="1"/>
  <c r="AA355" i="1"/>
  <c r="AD355" i="1" s="1"/>
  <c r="AX355" i="1" s="1"/>
  <c r="K355" i="1"/>
  <c r="BM354" i="1"/>
  <c r="BB354" i="1"/>
  <c r="AW354" i="1"/>
  <c r="AQ354" i="1"/>
  <c r="AS354" i="1" s="1"/>
  <c r="AU354" i="1" s="1"/>
  <c r="AP354" i="1"/>
  <c r="AD354" i="1"/>
  <c r="AC354" i="1"/>
  <c r="AB354" i="1"/>
  <c r="AA354" i="1"/>
  <c r="K354" i="1"/>
  <c r="BM353" i="1"/>
  <c r="BB353" i="1"/>
  <c r="AW353" i="1"/>
  <c r="AX353" i="1" s="1"/>
  <c r="AP353" i="1"/>
  <c r="AQ353" i="1" s="1"/>
  <c r="AS353" i="1" s="1"/>
  <c r="AU353" i="1" s="1"/>
  <c r="AB353" i="1"/>
  <c r="AA353" i="1"/>
  <c r="AD353" i="1" s="1"/>
  <c r="K353" i="1"/>
  <c r="BM352" i="1"/>
  <c r="BB352" i="1"/>
  <c r="AW352" i="1"/>
  <c r="AU352" i="1"/>
  <c r="AS352" i="1"/>
  <c r="AQ352" i="1"/>
  <c r="AP352" i="1"/>
  <c r="AB352" i="1"/>
  <c r="AA352" i="1"/>
  <c r="AD352" i="1" s="1"/>
  <c r="K352" i="1"/>
  <c r="BM351" i="1"/>
  <c r="BB351" i="1"/>
  <c r="AW351" i="1"/>
  <c r="AU351" i="1"/>
  <c r="AS351" i="1"/>
  <c r="AQ351" i="1"/>
  <c r="AP351" i="1"/>
  <c r="AB351" i="1"/>
  <c r="AA351" i="1"/>
  <c r="AD351" i="1" s="1"/>
  <c r="AF351" i="1" s="1"/>
  <c r="BC351" i="1" s="1"/>
  <c r="K351" i="1"/>
  <c r="BM350" i="1"/>
  <c r="BB350" i="1"/>
  <c r="AW350" i="1"/>
  <c r="AU350" i="1"/>
  <c r="AS350" i="1"/>
  <c r="AQ350" i="1"/>
  <c r="AC350" i="1"/>
  <c r="AB350" i="1"/>
  <c r="AA350" i="1"/>
  <c r="AD350" i="1" s="1"/>
  <c r="AE350" i="1" s="1"/>
  <c r="K350" i="1"/>
  <c r="BM349" i="1"/>
  <c r="BB349" i="1"/>
  <c r="AW349" i="1"/>
  <c r="AS349" i="1"/>
  <c r="AU349" i="1" s="1"/>
  <c r="AQ349" i="1"/>
  <c r="AP349" i="1"/>
  <c r="AC349" i="1"/>
  <c r="AB349" i="1"/>
  <c r="AA349" i="1"/>
  <c r="AD349" i="1" s="1"/>
  <c r="AE349" i="1" s="1"/>
  <c r="K349" i="1"/>
  <c r="BM348" i="1"/>
  <c r="BB348" i="1"/>
  <c r="AW348" i="1"/>
  <c r="AQ348" i="1"/>
  <c r="AS348" i="1" s="1"/>
  <c r="AU348" i="1" s="1"/>
  <c r="AB348" i="1"/>
  <c r="AA348" i="1"/>
  <c r="AD348" i="1" s="1"/>
  <c r="BC348" i="1" s="1"/>
  <c r="K348" i="1"/>
  <c r="BM347" i="1"/>
  <c r="BB347" i="1"/>
  <c r="AW347" i="1"/>
  <c r="AS347" i="1"/>
  <c r="AU347" i="1" s="1"/>
  <c r="AQ347" i="1"/>
  <c r="AP347" i="1"/>
  <c r="AD347" i="1"/>
  <c r="AC347" i="1"/>
  <c r="AB347" i="1"/>
  <c r="BG347" i="1" s="1"/>
  <c r="BJ347" i="1" s="1"/>
  <c r="AA347" i="1"/>
  <c r="K347" i="1"/>
  <c r="BM346" i="1"/>
  <c r="BG346" i="1"/>
  <c r="BJ346" i="1" s="1"/>
  <c r="BB346" i="1"/>
  <c r="AW346" i="1"/>
  <c r="AP346" i="1"/>
  <c r="AQ346" i="1" s="1"/>
  <c r="AS346" i="1" s="1"/>
  <c r="AU346" i="1" s="1"/>
  <c r="AC346" i="1"/>
  <c r="AB346" i="1"/>
  <c r="AA346" i="1"/>
  <c r="AD346" i="1" s="1"/>
  <c r="K346" i="1"/>
  <c r="BM345" i="1"/>
  <c r="BB345" i="1"/>
  <c r="AW345" i="1"/>
  <c r="AU345" i="1"/>
  <c r="AS345" i="1"/>
  <c r="AQ345" i="1"/>
  <c r="AP345" i="1"/>
  <c r="AC345" i="1"/>
  <c r="AB345" i="1"/>
  <c r="BG345" i="1" s="1"/>
  <c r="BJ345" i="1" s="1"/>
  <c r="AA345" i="1"/>
  <c r="AD345" i="1" s="1"/>
  <c r="AX345" i="1" s="1"/>
  <c r="K345" i="1"/>
  <c r="BM344" i="1"/>
  <c r="BJ344" i="1"/>
  <c r="BB344" i="1"/>
  <c r="AW344" i="1"/>
  <c r="AQ344" i="1"/>
  <c r="AS344" i="1" s="1"/>
  <c r="AU344" i="1" s="1"/>
  <c r="AP344" i="1"/>
  <c r="AC344" i="1"/>
  <c r="AB344" i="1"/>
  <c r="BG344" i="1" s="1"/>
  <c r="AA344" i="1"/>
  <c r="AD344" i="1" s="1"/>
  <c r="K344" i="1"/>
  <c r="BM343" i="1"/>
  <c r="BB343" i="1"/>
  <c r="AW343" i="1"/>
  <c r="AU343" i="1"/>
  <c r="AS343" i="1"/>
  <c r="AQ343" i="1"/>
  <c r="AD343" i="1"/>
  <c r="AX343" i="1" s="1"/>
  <c r="AC343" i="1"/>
  <c r="AB343" i="1"/>
  <c r="BG343" i="1" s="1"/>
  <c r="BJ343" i="1" s="1"/>
  <c r="AA343" i="1"/>
  <c r="K343" i="1"/>
  <c r="BM342" i="1"/>
  <c r="BB342" i="1"/>
  <c r="AW342" i="1"/>
  <c r="AP342" i="1"/>
  <c r="AQ342" i="1" s="1"/>
  <c r="AS342" i="1" s="1"/>
  <c r="AU342" i="1" s="1"/>
  <c r="AB342" i="1"/>
  <c r="AA342" i="1"/>
  <c r="AD342" i="1" s="1"/>
  <c r="BC342" i="1" s="1"/>
  <c r="K342" i="1"/>
  <c r="BM341" i="1"/>
  <c r="BJ341" i="1"/>
  <c r="BG341" i="1"/>
  <c r="BB341" i="1"/>
  <c r="AW341" i="1"/>
  <c r="AS341" i="1"/>
  <c r="AU341" i="1" s="1"/>
  <c r="AQ341" i="1"/>
  <c r="AP341" i="1"/>
  <c r="AC341" i="1"/>
  <c r="AB341" i="1"/>
  <c r="AA341" i="1"/>
  <c r="AD341" i="1" s="1"/>
  <c r="AE341" i="1" s="1"/>
  <c r="K341" i="1"/>
  <c r="BM340" i="1"/>
  <c r="BB340" i="1"/>
  <c r="AW340" i="1"/>
  <c r="AQ340" i="1"/>
  <c r="AS340" i="1" s="1"/>
  <c r="AU340" i="1" s="1"/>
  <c r="AP340" i="1"/>
  <c r="AD340" i="1"/>
  <c r="AC340" i="1"/>
  <c r="AB340" i="1"/>
  <c r="AE340" i="1" s="1"/>
  <c r="AA340" i="1"/>
  <c r="K340" i="1"/>
  <c r="BM339" i="1"/>
  <c r="BB339" i="1"/>
  <c r="AW339" i="1"/>
  <c r="AP339" i="1"/>
  <c r="AQ339" i="1" s="1"/>
  <c r="AS339" i="1" s="1"/>
  <c r="AU339" i="1" s="1"/>
  <c r="AB339" i="1"/>
  <c r="AA339" i="1"/>
  <c r="AD339" i="1" s="1"/>
  <c r="BC339" i="1" s="1"/>
  <c r="K339" i="1"/>
  <c r="BM338" i="1"/>
  <c r="BB338" i="1"/>
  <c r="AW338" i="1"/>
  <c r="AS338" i="1"/>
  <c r="AU338" i="1" s="1"/>
  <c r="AQ338" i="1"/>
  <c r="AP338" i="1"/>
  <c r="AD338" i="1"/>
  <c r="AC338" i="1"/>
  <c r="AB338" i="1"/>
  <c r="BG338" i="1" s="1"/>
  <c r="BJ338" i="1" s="1"/>
  <c r="AA338" i="1"/>
  <c r="K338" i="1"/>
  <c r="BM337" i="1"/>
  <c r="BG337" i="1"/>
  <c r="BJ337" i="1" s="1"/>
  <c r="BB337" i="1"/>
  <c r="AW337" i="1"/>
  <c r="AP337" i="1"/>
  <c r="AQ337" i="1" s="1"/>
  <c r="AS337" i="1" s="1"/>
  <c r="AU337" i="1" s="1"/>
  <c r="AC337" i="1"/>
  <c r="AB337" i="1"/>
  <c r="AE337" i="1" s="1"/>
  <c r="AA337" i="1"/>
  <c r="AD337" i="1" s="1"/>
  <c r="K337" i="1"/>
  <c r="BM336" i="1"/>
  <c r="BB336" i="1"/>
  <c r="AW336" i="1"/>
  <c r="AU336" i="1"/>
  <c r="AS336" i="1"/>
  <c r="AQ336" i="1"/>
  <c r="AP336" i="1"/>
  <c r="AC336" i="1"/>
  <c r="AB336" i="1"/>
  <c r="BG336" i="1" s="1"/>
  <c r="BJ336" i="1" s="1"/>
  <c r="AA336" i="1"/>
  <c r="AD336" i="1" s="1"/>
  <c r="K336" i="1"/>
  <c r="BM335" i="1"/>
  <c r="BB335" i="1"/>
  <c r="AW335" i="1"/>
  <c r="AQ335" i="1"/>
  <c r="AS335" i="1" s="1"/>
  <c r="AU335" i="1" s="1"/>
  <c r="AP335" i="1"/>
  <c r="AD335" i="1"/>
  <c r="AC335" i="1"/>
  <c r="AB335" i="1"/>
  <c r="AA335" i="1"/>
  <c r="K335" i="1"/>
  <c r="BM334" i="1"/>
  <c r="BC334" i="1"/>
  <c r="BB334" i="1"/>
  <c r="AW334" i="1"/>
  <c r="AX334" i="1" s="1"/>
  <c r="AP334" i="1"/>
  <c r="AQ334" i="1" s="1"/>
  <c r="AS334" i="1" s="1"/>
  <c r="AU334" i="1" s="1"/>
  <c r="AE334" i="1"/>
  <c r="AB334" i="1"/>
  <c r="AC334" i="1" s="1"/>
  <c r="AA334" i="1"/>
  <c r="AD334" i="1" s="1"/>
  <c r="K334" i="1"/>
  <c r="BM333" i="1"/>
  <c r="BB333" i="1"/>
  <c r="AX333" i="1"/>
  <c r="AW333" i="1"/>
  <c r="AQ333" i="1"/>
  <c r="AS333" i="1" s="1"/>
  <c r="AU333" i="1" s="1"/>
  <c r="AC333" i="1"/>
  <c r="AB333" i="1"/>
  <c r="AA333" i="1"/>
  <c r="AD333" i="1" s="1"/>
  <c r="K333" i="1"/>
  <c r="BM332" i="1"/>
  <c r="BB332" i="1"/>
  <c r="AW332" i="1"/>
  <c r="AU332" i="1"/>
  <c r="AS332" i="1"/>
  <c r="AQ332" i="1"/>
  <c r="AP332" i="1"/>
  <c r="AC332" i="1"/>
  <c r="AB332" i="1"/>
  <c r="BG332" i="1" s="1"/>
  <c r="BJ332" i="1" s="1"/>
  <c r="AA332" i="1"/>
  <c r="AD332" i="1" s="1"/>
  <c r="K332" i="1"/>
  <c r="BM331" i="1"/>
  <c r="BJ331" i="1"/>
  <c r="BG331" i="1"/>
  <c r="BB331" i="1"/>
  <c r="AW331" i="1"/>
  <c r="AQ331" i="1"/>
  <c r="AS331" i="1" s="1"/>
  <c r="AU331" i="1" s="1"/>
  <c r="AP331" i="1"/>
  <c r="AD331" i="1"/>
  <c r="AC331" i="1"/>
  <c r="AB331" i="1"/>
  <c r="AA331" i="1"/>
  <c r="K331" i="1"/>
  <c r="BM330" i="1"/>
  <c r="BB330" i="1"/>
  <c r="AW330" i="1"/>
  <c r="AX330" i="1" s="1"/>
  <c r="AU330" i="1"/>
  <c r="AP330" i="1"/>
  <c r="AQ330" i="1" s="1"/>
  <c r="AS330" i="1" s="1"/>
  <c r="AE330" i="1"/>
  <c r="AB330" i="1"/>
  <c r="AC330" i="1" s="1"/>
  <c r="AA330" i="1"/>
  <c r="AD330" i="1" s="1"/>
  <c r="BG330" i="1" s="1"/>
  <c r="BJ330" i="1" s="1"/>
  <c r="K330" i="1"/>
  <c r="BM329" i="1"/>
  <c r="BJ329" i="1"/>
  <c r="BG329" i="1"/>
  <c r="BB329" i="1"/>
  <c r="AW329" i="1"/>
  <c r="AQ329" i="1"/>
  <c r="AS329" i="1" s="1"/>
  <c r="AU329" i="1" s="1"/>
  <c r="AP329" i="1"/>
  <c r="AC329" i="1"/>
  <c r="AB329" i="1"/>
  <c r="AA329" i="1"/>
  <c r="AD329" i="1" s="1"/>
  <c r="K329" i="1"/>
  <c r="BM328" i="1"/>
  <c r="BJ328" i="1"/>
  <c r="BG328" i="1"/>
  <c r="BB328" i="1"/>
  <c r="AW328" i="1"/>
  <c r="AQ328" i="1"/>
  <c r="AS328" i="1" s="1"/>
  <c r="AU328" i="1" s="1"/>
  <c r="AP328" i="1"/>
  <c r="AD328" i="1"/>
  <c r="AC328" i="1"/>
  <c r="AB328" i="1"/>
  <c r="AA328" i="1"/>
  <c r="K328" i="1"/>
  <c r="BM327" i="1"/>
  <c r="BB327" i="1"/>
  <c r="AW327" i="1"/>
  <c r="AX327" i="1" s="1"/>
  <c r="AU327" i="1"/>
  <c r="AP327" i="1"/>
  <c r="AQ327" i="1" s="1"/>
  <c r="AS327" i="1" s="1"/>
  <c r="AF327" i="1"/>
  <c r="AC327" i="1"/>
  <c r="AB327" i="1"/>
  <c r="AE327" i="1" s="1"/>
  <c r="AA327" i="1"/>
  <c r="AD327" i="1" s="1"/>
  <c r="BC327" i="1" s="1"/>
  <c r="K327" i="1"/>
  <c r="BM326" i="1"/>
  <c r="BB326" i="1"/>
  <c r="AW326" i="1"/>
  <c r="AU326" i="1"/>
  <c r="AS326" i="1"/>
  <c r="AQ326" i="1"/>
  <c r="AP326" i="1"/>
  <c r="AC326" i="1"/>
  <c r="AB326" i="1"/>
  <c r="BG326" i="1" s="1"/>
  <c r="BJ326" i="1" s="1"/>
  <c r="AA326" i="1"/>
  <c r="AD326" i="1" s="1"/>
  <c r="K326" i="1"/>
  <c r="BM325" i="1"/>
  <c r="BB325" i="1"/>
  <c r="AX325" i="1"/>
  <c r="AW325" i="1"/>
  <c r="AQ325" i="1"/>
  <c r="AS325" i="1" s="1"/>
  <c r="AU325" i="1" s="1"/>
  <c r="AP325" i="1"/>
  <c r="AC325" i="1"/>
  <c r="AB325" i="1"/>
  <c r="AE325" i="1" s="1"/>
  <c r="AA325" i="1"/>
  <c r="AD325" i="1" s="1"/>
  <c r="K325" i="1"/>
  <c r="BM324" i="1"/>
  <c r="BB324" i="1"/>
  <c r="AW324" i="1"/>
  <c r="AX324" i="1" s="1"/>
  <c r="AU324" i="1"/>
  <c r="AS324" i="1"/>
  <c r="AP324" i="1"/>
  <c r="AQ324" i="1" s="1"/>
  <c r="AE324" i="1"/>
  <c r="AD324" i="1"/>
  <c r="BG324" i="1" s="1"/>
  <c r="BJ324" i="1" s="1"/>
  <c r="AB324" i="1"/>
  <c r="AC324" i="1" s="1"/>
  <c r="AA324" i="1"/>
  <c r="K324" i="1"/>
  <c r="BM323" i="1"/>
  <c r="BB323" i="1"/>
  <c r="AX323" i="1"/>
  <c r="AW323" i="1"/>
  <c r="AP323" i="1"/>
  <c r="AQ323" i="1" s="1"/>
  <c r="AS323" i="1" s="1"/>
  <c r="AU323" i="1" s="1"/>
  <c r="AC323" i="1"/>
  <c r="AB323" i="1"/>
  <c r="AE323" i="1" s="1"/>
  <c r="AA323" i="1"/>
  <c r="AD323" i="1" s="1"/>
  <c r="K323" i="1"/>
  <c r="BM322" i="1"/>
  <c r="BB322" i="1"/>
  <c r="AW322" i="1"/>
  <c r="AP322" i="1"/>
  <c r="AQ322" i="1" s="1"/>
  <c r="AS322" i="1" s="1"/>
  <c r="AU322" i="1" s="1"/>
  <c r="AB322" i="1"/>
  <c r="AC322" i="1" s="1"/>
  <c r="AA322" i="1"/>
  <c r="AD322" i="1" s="1"/>
  <c r="K322" i="1"/>
  <c r="BM321" i="1"/>
  <c r="BG321" i="1"/>
  <c r="BJ321" i="1" s="1"/>
  <c r="BB321" i="1"/>
  <c r="AW321" i="1"/>
  <c r="AQ321" i="1"/>
  <c r="AS321" i="1" s="1"/>
  <c r="AU321" i="1" s="1"/>
  <c r="AP321" i="1"/>
  <c r="AD321" i="1"/>
  <c r="AC321" i="1"/>
  <c r="AB321" i="1"/>
  <c r="AA321" i="1"/>
  <c r="K321" i="1"/>
  <c r="BM320" i="1"/>
  <c r="BG320" i="1"/>
  <c r="BJ320" i="1" s="1"/>
  <c r="BB320" i="1"/>
  <c r="AW320" i="1"/>
  <c r="AU320" i="1"/>
  <c r="AP320" i="1"/>
  <c r="AQ320" i="1" s="1"/>
  <c r="AS320" i="1" s="1"/>
  <c r="AB320" i="1"/>
  <c r="AC320" i="1" s="1"/>
  <c r="AA320" i="1"/>
  <c r="AD320" i="1" s="1"/>
  <c r="K320" i="1"/>
  <c r="BM319" i="1"/>
  <c r="BB319" i="1"/>
  <c r="AW319" i="1"/>
  <c r="AS319" i="1"/>
  <c r="AU319" i="1" s="1"/>
  <c r="AQ319" i="1"/>
  <c r="AP319" i="1"/>
  <c r="AD319" i="1"/>
  <c r="AC319" i="1"/>
  <c r="AB319" i="1"/>
  <c r="AA319" i="1"/>
  <c r="K319" i="1"/>
  <c r="BM318" i="1"/>
  <c r="BB318" i="1"/>
  <c r="AW318" i="1"/>
  <c r="AQ318" i="1"/>
  <c r="AS318" i="1" s="1"/>
  <c r="AU318" i="1" s="1"/>
  <c r="AP318" i="1"/>
  <c r="AB318" i="1"/>
  <c r="AA318" i="1"/>
  <c r="AD318" i="1" s="1"/>
  <c r="BC318" i="1" s="1"/>
  <c r="K318" i="1"/>
  <c r="BM317" i="1"/>
  <c r="BB317" i="1"/>
  <c r="AW317" i="1"/>
  <c r="AS317" i="1"/>
  <c r="AU317" i="1" s="1"/>
  <c r="AQ317" i="1"/>
  <c r="AP317" i="1"/>
  <c r="AD317" i="1"/>
  <c r="AC317" i="1"/>
  <c r="AB317" i="1"/>
  <c r="BG317" i="1" s="1"/>
  <c r="BJ317" i="1" s="1"/>
  <c r="AA317" i="1"/>
  <c r="K317" i="1"/>
  <c r="BM316" i="1"/>
  <c r="BB316" i="1"/>
  <c r="AW316" i="1"/>
  <c r="AP316" i="1"/>
  <c r="AQ316" i="1" s="1"/>
  <c r="AS316" i="1" s="1"/>
  <c r="AU316" i="1" s="1"/>
  <c r="AB316" i="1"/>
  <c r="AA316" i="1"/>
  <c r="AD316" i="1" s="1"/>
  <c r="BC316" i="1" s="1"/>
  <c r="K316" i="1"/>
  <c r="BM315" i="1"/>
  <c r="BJ315" i="1"/>
  <c r="BG315" i="1"/>
  <c r="BB315" i="1"/>
  <c r="AW315" i="1"/>
  <c r="AS315" i="1"/>
  <c r="AU315" i="1" s="1"/>
  <c r="AQ315" i="1"/>
  <c r="AP315" i="1"/>
  <c r="AC315" i="1"/>
  <c r="AB315" i="1"/>
  <c r="AA315" i="1"/>
  <c r="AD315" i="1" s="1"/>
  <c r="K315" i="1"/>
  <c r="BM314" i="1"/>
  <c r="BB314" i="1"/>
  <c r="AW314" i="1"/>
  <c r="AQ314" i="1"/>
  <c r="AS314" i="1" s="1"/>
  <c r="AU314" i="1" s="1"/>
  <c r="AP314" i="1"/>
  <c r="AD314" i="1"/>
  <c r="AC314" i="1"/>
  <c r="AB314" i="1"/>
  <c r="AA314" i="1"/>
  <c r="K314" i="1"/>
  <c r="BM313" i="1"/>
  <c r="BG313" i="1"/>
  <c r="BJ313" i="1" s="1"/>
  <c r="BB313" i="1"/>
  <c r="AW313" i="1"/>
  <c r="AU313" i="1"/>
  <c r="AS313" i="1"/>
  <c r="AQ313" i="1"/>
  <c r="AC313" i="1"/>
  <c r="AB313" i="1"/>
  <c r="AA313" i="1"/>
  <c r="AD313" i="1" s="1"/>
  <c r="K313" i="1"/>
  <c r="BM312" i="1"/>
  <c r="BB312" i="1"/>
  <c r="AX312" i="1"/>
  <c r="AW312" i="1"/>
  <c r="AQ312" i="1"/>
  <c r="AS312" i="1" s="1"/>
  <c r="AU312" i="1" s="1"/>
  <c r="AP312" i="1"/>
  <c r="AC312" i="1"/>
  <c r="AB312" i="1"/>
  <c r="BG312" i="1" s="1"/>
  <c r="BJ312" i="1" s="1"/>
  <c r="AA312" i="1"/>
  <c r="AD312" i="1" s="1"/>
  <c r="BC312" i="1" s="1"/>
  <c r="K312" i="1"/>
  <c r="BM311" i="1"/>
  <c r="BB311" i="1"/>
  <c r="AW311" i="1"/>
  <c r="AU311" i="1"/>
  <c r="AS311" i="1"/>
  <c r="AQ311" i="1"/>
  <c r="AP311" i="1"/>
  <c r="AC311" i="1"/>
  <c r="AB311" i="1"/>
  <c r="BG311" i="1" s="1"/>
  <c r="BJ311" i="1" s="1"/>
  <c r="AA311" i="1"/>
  <c r="AD311" i="1" s="1"/>
  <c r="K311" i="1"/>
  <c r="BM310" i="1"/>
  <c r="BJ310" i="1"/>
  <c r="BG310" i="1"/>
  <c r="BB310" i="1"/>
  <c r="AW310" i="1"/>
  <c r="AQ310" i="1"/>
  <c r="AS310" i="1" s="1"/>
  <c r="AU310" i="1" s="1"/>
  <c r="AP310" i="1"/>
  <c r="AD310" i="1"/>
  <c r="AC310" i="1"/>
  <c r="AB310" i="1"/>
  <c r="AE310" i="1" s="1"/>
  <c r="AA310" i="1"/>
  <c r="K310" i="1"/>
  <c r="BM309" i="1"/>
  <c r="BB309" i="1"/>
  <c r="AW309" i="1"/>
  <c r="AX309" i="1" s="1"/>
  <c r="AP309" i="1"/>
  <c r="AQ309" i="1" s="1"/>
  <c r="AS309" i="1" s="1"/>
  <c r="AU309" i="1" s="1"/>
  <c r="AB309" i="1"/>
  <c r="AA309" i="1"/>
  <c r="AD309" i="1" s="1"/>
  <c r="K309" i="1"/>
  <c r="BM308" i="1"/>
  <c r="BB308" i="1"/>
  <c r="AW308" i="1"/>
  <c r="AS308" i="1"/>
  <c r="AU308" i="1" s="1"/>
  <c r="AQ308" i="1"/>
  <c r="AP308" i="1"/>
  <c r="AD308" i="1"/>
  <c r="AC308" i="1"/>
  <c r="AB308" i="1"/>
  <c r="BG308" i="1" s="1"/>
  <c r="BJ308" i="1" s="1"/>
  <c r="AA308" i="1"/>
  <c r="K308" i="1"/>
  <c r="BM307" i="1"/>
  <c r="BB307" i="1"/>
  <c r="AW307" i="1"/>
  <c r="AX307" i="1" s="1"/>
  <c r="AP307" i="1"/>
  <c r="AQ307" i="1" s="1"/>
  <c r="AS307" i="1" s="1"/>
  <c r="AU307" i="1" s="1"/>
  <c r="AB307" i="1"/>
  <c r="AA307" i="1"/>
  <c r="AD307" i="1" s="1"/>
  <c r="K307" i="1"/>
  <c r="BM306" i="1"/>
  <c r="BB306" i="1"/>
  <c r="AW306" i="1"/>
  <c r="AS306" i="1"/>
  <c r="AU306" i="1" s="1"/>
  <c r="AQ306" i="1"/>
  <c r="AP306" i="1"/>
  <c r="AE306" i="1"/>
  <c r="AC306" i="1"/>
  <c r="AB306" i="1"/>
  <c r="AA306" i="1"/>
  <c r="AD306" i="1" s="1"/>
  <c r="K306" i="1"/>
  <c r="BM305" i="1"/>
  <c r="BJ305" i="1"/>
  <c r="BG305" i="1"/>
  <c r="BB305" i="1"/>
  <c r="AW305" i="1"/>
  <c r="AQ305" i="1"/>
  <c r="AS305" i="1" s="1"/>
  <c r="AU305" i="1" s="1"/>
  <c r="AP305" i="1"/>
  <c r="AD305" i="1"/>
  <c r="AC305" i="1"/>
  <c r="AB305" i="1"/>
  <c r="AE305" i="1" s="1"/>
  <c r="AA305" i="1"/>
  <c r="K305" i="1"/>
  <c r="BM304" i="1"/>
  <c r="BB304" i="1"/>
  <c r="AR304" i="1"/>
  <c r="AQ304" i="1"/>
  <c r="AP304" i="1"/>
  <c r="AC304" i="1"/>
  <c r="AB304" i="1"/>
  <c r="AA304" i="1"/>
  <c r="AD304" i="1" s="1"/>
  <c r="AE304" i="1" s="1"/>
  <c r="K304" i="1"/>
  <c r="BM303" i="1"/>
  <c r="BB303" i="1"/>
  <c r="AW303" i="1"/>
  <c r="AQ303" i="1"/>
  <c r="AS303" i="1" s="1"/>
  <c r="AU303" i="1" s="1"/>
  <c r="AP303" i="1"/>
  <c r="AD303" i="1"/>
  <c r="AC303" i="1"/>
  <c r="AB303" i="1"/>
  <c r="AE303" i="1" s="1"/>
  <c r="AA303" i="1"/>
  <c r="K303" i="1"/>
  <c r="BM302" i="1"/>
  <c r="BH302" i="1"/>
  <c r="BB302" i="1"/>
  <c r="AW302" i="1"/>
  <c r="AQ302" i="1"/>
  <c r="AS302" i="1" s="1"/>
  <c r="AU302" i="1" s="1"/>
  <c r="AP302" i="1"/>
  <c r="AD302" i="1"/>
  <c r="AC302" i="1"/>
  <c r="AB302" i="1"/>
  <c r="AE302" i="1" s="1"/>
  <c r="AA302" i="1"/>
  <c r="K302" i="1"/>
  <c r="BM301" i="1"/>
  <c r="BG301" i="1"/>
  <c r="BJ301" i="1" s="1"/>
  <c r="BB301" i="1"/>
  <c r="AW301" i="1"/>
  <c r="AP301" i="1"/>
  <c r="AQ301" i="1" s="1"/>
  <c r="AS301" i="1" s="1"/>
  <c r="AU301" i="1" s="1"/>
  <c r="AC301" i="1"/>
  <c r="AB301" i="1"/>
  <c r="AE301" i="1" s="1"/>
  <c r="AA301" i="1"/>
  <c r="AD301" i="1" s="1"/>
  <c r="K301" i="1"/>
  <c r="BM300" i="1"/>
  <c r="BG300" i="1"/>
  <c r="BJ300" i="1" s="1"/>
  <c r="BB300" i="1"/>
  <c r="AW300" i="1"/>
  <c r="AX300" i="1" s="1"/>
  <c r="AP300" i="1"/>
  <c r="AQ300" i="1" s="1"/>
  <c r="AS300" i="1" s="1"/>
  <c r="AU300" i="1" s="1"/>
  <c r="AF300" i="1"/>
  <c r="AD300" i="1"/>
  <c r="BH300" i="1" s="1"/>
  <c r="AC300" i="1"/>
  <c r="AB300" i="1"/>
  <c r="AE300" i="1" s="1"/>
  <c r="AA300" i="1"/>
  <c r="K300" i="1"/>
  <c r="BM299" i="1"/>
  <c r="BG299" i="1"/>
  <c r="BJ299" i="1" s="1"/>
  <c r="BB299" i="1"/>
  <c r="AW299" i="1"/>
  <c r="AU299" i="1"/>
  <c r="AS299" i="1"/>
  <c r="AQ299" i="1"/>
  <c r="AD299" i="1"/>
  <c r="AC299" i="1"/>
  <c r="AB299" i="1"/>
  <c r="AA299" i="1"/>
  <c r="K299" i="1"/>
  <c r="BM298" i="1"/>
  <c r="BB298" i="1"/>
  <c r="AW298" i="1"/>
  <c r="AX298" i="1" s="1"/>
  <c r="AP298" i="1"/>
  <c r="AQ298" i="1" s="1"/>
  <c r="AS298" i="1" s="1"/>
  <c r="AU298" i="1" s="1"/>
  <c r="AB298" i="1"/>
  <c r="AA298" i="1"/>
  <c r="AD298" i="1" s="1"/>
  <c r="K298" i="1"/>
  <c r="BM297" i="1"/>
  <c r="BB297" i="1"/>
  <c r="AW297" i="1"/>
  <c r="AS297" i="1"/>
  <c r="AU297" i="1" s="1"/>
  <c r="AQ297" i="1"/>
  <c r="AP297" i="1"/>
  <c r="AD297" i="1"/>
  <c r="AC297" i="1"/>
  <c r="AB297" i="1"/>
  <c r="BG297" i="1" s="1"/>
  <c r="BJ297" i="1" s="1"/>
  <c r="AA297" i="1"/>
  <c r="K297" i="1"/>
  <c r="BM296" i="1"/>
  <c r="BB296" i="1"/>
  <c r="AW296" i="1"/>
  <c r="AP296" i="1"/>
  <c r="AQ296" i="1" s="1"/>
  <c r="AS296" i="1" s="1"/>
  <c r="AU296" i="1" s="1"/>
  <c r="AC296" i="1"/>
  <c r="AB296" i="1"/>
  <c r="AA296" i="1"/>
  <c r="AD296" i="1" s="1"/>
  <c r="K296" i="1"/>
  <c r="BM295" i="1"/>
  <c r="BB295" i="1"/>
  <c r="AW295" i="1"/>
  <c r="AX295" i="1" s="1"/>
  <c r="AU295" i="1"/>
  <c r="AS295" i="1"/>
  <c r="AQ295" i="1"/>
  <c r="AE295" i="1"/>
  <c r="AB295" i="1"/>
  <c r="AC295" i="1" s="1"/>
  <c r="AA295" i="1"/>
  <c r="AD295" i="1" s="1"/>
  <c r="AF295" i="1" s="1"/>
  <c r="K295" i="1"/>
  <c r="BM294" i="1"/>
  <c r="BJ294" i="1"/>
  <c r="BG294" i="1"/>
  <c r="BB294" i="1"/>
  <c r="AW294" i="1"/>
  <c r="AQ294" i="1"/>
  <c r="AS294" i="1" s="1"/>
  <c r="AU294" i="1" s="1"/>
  <c r="AP294" i="1"/>
  <c r="AD294" i="1"/>
  <c r="AC294" i="1"/>
  <c r="AB294" i="1"/>
  <c r="AA294" i="1"/>
  <c r="K294" i="1"/>
  <c r="BM293" i="1"/>
  <c r="BB293" i="1"/>
  <c r="AW293" i="1"/>
  <c r="AP293" i="1"/>
  <c r="AQ293" i="1" s="1"/>
  <c r="AS293" i="1" s="1"/>
  <c r="AU293" i="1" s="1"/>
  <c r="AB293" i="1"/>
  <c r="AA293" i="1"/>
  <c r="AD293" i="1" s="1"/>
  <c r="BC293" i="1" s="1"/>
  <c r="K293" i="1"/>
  <c r="BM292" i="1"/>
  <c r="BB292" i="1"/>
  <c r="AW292" i="1"/>
  <c r="AS292" i="1"/>
  <c r="AU292" i="1" s="1"/>
  <c r="AQ292" i="1"/>
  <c r="AP292" i="1"/>
  <c r="AE292" i="1"/>
  <c r="AB292" i="1"/>
  <c r="BG292" i="1" s="1"/>
  <c r="BJ292" i="1" s="1"/>
  <c r="AA292" i="1"/>
  <c r="AD292" i="1" s="1"/>
  <c r="K292" i="1"/>
  <c r="BM291" i="1"/>
  <c r="BJ291" i="1"/>
  <c r="BB291" i="1"/>
  <c r="AX291" i="1"/>
  <c r="AW291" i="1"/>
  <c r="AQ291" i="1"/>
  <c r="AS291" i="1" s="1"/>
  <c r="AU291" i="1" s="1"/>
  <c r="AP291" i="1"/>
  <c r="AC291" i="1"/>
  <c r="AB291" i="1"/>
  <c r="BG291" i="1" s="1"/>
  <c r="AA291" i="1"/>
  <c r="AD291" i="1" s="1"/>
  <c r="BC291" i="1" s="1"/>
  <c r="BK291" i="1" s="1"/>
  <c r="K291" i="1"/>
  <c r="BM290" i="1"/>
  <c r="BB290" i="1"/>
  <c r="AW290" i="1"/>
  <c r="AU290" i="1"/>
  <c r="AP290" i="1"/>
  <c r="AQ290" i="1" s="1"/>
  <c r="AS290" i="1" s="1"/>
  <c r="AB290" i="1"/>
  <c r="AA290" i="1"/>
  <c r="AD290" i="1" s="1"/>
  <c r="K290" i="1"/>
  <c r="BM289" i="1"/>
  <c r="BB289" i="1"/>
  <c r="AW289" i="1"/>
  <c r="AS289" i="1"/>
  <c r="AU289" i="1" s="1"/>
  <c r="AQ289" i="1"/>
  <c r="AP289" i="1"/>
  <c r="AD289" i="1"/>
  <c r="AC289" i="1"/>
  <c r="AB289" i="1"/>
  <c r="AA289" i="1"/>
  <c r="K289" i="1"/>
  <c r="BM288" i="1"/>
  <c r="BB288" i="1"/>
  <c r="AW288" i="1"/>
  <c r="AP288" i="1"/>
  <c r="AQ288" i="1" s="1"/>
  <c r="AS288" i="1" s="1"/>
  <c r="AU288" i="1" s="1"/>
  <c r="AB288" i="1"/>
  <c r="AA288" i="1"/>
  <c r="AD288" i="1" s="1"/>
  <c r="BC288" i="1" s="1"/>
  <c r="K288" i="1"/>
  <c r="BM287" i="1"/>
  <c r="BB287" i="1"/>
  <c r="AW287" i="1"/>
  <c r="AS287" i="1"/>
  <c r="AU287" i="1" s="1"/>
  <c r="AQ287" i="1"/>
  <c r="AC287" i="1"/>
  <c r="AB287" i="1"/>
  <c r="BG287" i="1" s="1"/>
  <c r="BJ287" i="1" s="1"/>
  <c r="AA287" i="1"/>
  <c r="AD287" i="1" s="1"/>
  <c r="K287" i="1"/>
  <c r="BM286" i="1"/>
  <c r="BB286" i="1"/>
  <c r="AW286" i="1"/>
  <c r="AU286" i="1"/>
  <c r="AP286" i="1"/>
  <c r="AQ286" i="1" s="1"/>
  <c r="AS286" i="1" s="1"/>
  <c r="AB286" i="1"/>
  <c r="AC286" i="1" s="1"/>
  <c r="AA286" i="1"/>
  <c r="AD286" i="1" s="1"/>
  <c r="K286" i="1"/>
  <c r="BM285" i="1"/>
  <c r="BB285" i="1"/>
  <c r="AX285" i="1"/>
  <c r="AW285" i="1"/>
  <c r="AQ285" i="1"/>
  <c r="AS285" i="1" s="1"/>
  <c r="AU285" i="1" s="1"/>
  <c r="AP285" i="1"/>
  <c r="AC285" i="1"/>
  <c r="AB285" i="1"/>
  <c r="BG285" i="1" s="1"/>
  <c r="BJ285" i="1" s="1"/>
  <c r="AA285" i="1"/>
  <c r="AD285" i="1" s="1"/>
  <c r="BC285" i="1" s="1"/>
  <c r="K285" i="1"/>
  <c r="BM284" i="1"/>
  <c r="BC284" i="1"/>
  <c r="BB284" i="1"/>
  <c r="AW284" i="1"/>
  <c r="AX284" i="1" s="1"/>
  <c r="AP284" i="1"/>
  <c r="AQ284" i="1" s="1"/>
  <c r="AS284" i="1" s="1"/>
  <c r="AU284" i="1" s="1"/>
  <c r="AB284" i="1"/>
  <c r="AC284" i="1" s="1"/>
  <c r="AA284" i="1"/>
  <c r="AD284" i="1" s="1"/>
  <c r="AE284" i="1" s="1"/>
  <c r="K284" i="1"/>
  <c r="BM283" i="1"/>
  <c r="BB283" i="1"/>
  <c r="AW283" i="1"/>
  <c r="AS283" i="1"/>
  <c r="AU283" i="1" s="1"/>
  <c r="AQ283" i="1"/>
  <c r="AP283" i="1"/>
  <c r="AB283" i="1"/>
  <c r="AC283" i="1" s="1"/>
  <c r="AA283" i="1"/>
  <c r="AD283" i="1" s="1"/>
  <c r="K283" i="1"/>
  <c r="BM282" i="1"/>
  <c r="BB282" i="1"/>
  <c r="AW282" i="1"/>
  <c r="AQ282" i="1"/>
  <c r="AS282" i="1" s="1"/>
  <c r="AU282" i="1" s="1"/>
  <c r="AP282" i="1"/>
  <c r="AD282" i="1"/>
  <c r="AC282" i="1"/>
  <c r="AB282" i="1"/>
  <c r="AA282" i="1"/>
  <c r="K282" i="1"/>
  <c r="BM281" i="1"/>
  <c r="BG281" i="1"/>
  <c r="BJ281" i="1" s="1"/>
  <c r="BB281" i="1"/>
  <c r="AW281" i="1"/>
  <c r="AP281" i="1"/>
  <c r="AQ281" i="1" s="1"/>
  <c r="AS281" i="1" s="1"/>
  <c r="AU281" i="1" s="1"/>
  <c r="AC281" i="1"/>
  <c r="AB281" i="1"/>
  <c r="AE281" i="1" s="1"/>
  <c r="AA281" i="1"/>
  <c r="AD281" i="1" s="1"/>
  <c r="K281" i="1"/>
  <c r="BM280" i="1"/>
  <c r="BC280" i="1"/>
  <c r="BB280" i="1"/>
  <c r="AW280" i="1"/>
  <c r="AX280" i="1" s="1"/>
  <c r="AP280" i="1"/>
  <c r="AQ280" i="1" s="1"/>
  <c r="AS280" i="1" s="1"/>
  <c r="AU280" i="1" s="1"/>
  <c r="AE280" i="1"/>
  <c r="AB280" i="1"/>
  <c r="AC280" i="1" s="1"/>
  <c r="AA280" i="1"/>
  <c r="AD280" i="1" s="1"/>
  <c r="K280" i="1"/>
  <c r="BM279" i="1"/>
  <c r="BB279" i="1"/>
  <c r="AX279" i="1"/>
  <c r="AW279" i="1"/>
  <c r="AQ279" i="1"/>
  <c r="AS279" i="1" s="1"/>
  <c r="AU279" i="1" s="1"/>
  <c r="AP279" i="1"/>
  <c r="AD279" i="1"/>
  <c r="BC279" i="1" s="1"/>
  <c r="AC279" i="1"/>
  <c r="AB279" i="1"/>
  <c r="BG279" i="1" s="1"/>
  <c r="BJ279" i="1" s="1"/>
  <c r="AA279" i="1"/>
  <c r="K279" i="1"/>
  <c r="BM278" i="1"/>
  <c r="BB278" i="1"/>
  <c r="AW278" i="1"/>
  <c r="AX278" i="1" s="1"/>
  <c r="AP278" i="1"/>
  <c r="AQ278" i="1" s="1"/>
  <c r="AS278" i="1" s="1"/>
  <c r="AU278" i="1" s="1"/>
  <c r="AB278" i="1"/>
  <c r="AA278" i="1"/>
  <c r="AD278" i="1" s="1"/>
  <c r="AF278" i="1" s="1"/>
  <c r="BC278" i="1" s="1"/>
  <c r="K278" i="1"/>
  <c r="BM277" i="1"/>
  <c r="BB277" i="1"/>
  <c r="AW277" i="1"/>
  <c r="AU277" i="1"/>
  <c r="AS277" i="1"/>
  <c r="AQ277" i="1"/>
  <c r="AB277" i="1"/>
  <c r="AC277" i="1" s="1"/>
  <c r="AA277" i="1"/>
  <c r="AD277" i="1" s="1"/>
  <c r="AE277" i="1" s="1"/>
  <c r="K277" i="1"/>
  <c r="BM276" i="1"/>
  <c r="BB276" i="1"/>
  <c r="AW276" i="1"/>
  <c r="AS276" i="1"/>
  <c r="AU276" i="1" s="1"/>
  <c r="AQ276" i="1"/>
  <c r="AP276" i="1"/>
  <c r="AB276" i="1"/>
  <c r="AC276" i="1" s="1"/>
  <c r="AA276" i="1"/>
  <c r="AD276" i="1" s="1"/>
  <c r="K276" i="1"/>
  <c r="BM275" i="1"/>
  <c r="BB275" i="1"/>
  <c r="AX275" i="1"/>
  <c r="AW275" i="1"/>
  <c r="AQ275" i="1"/>
  <c r="AS275" i="1" s="1"/>
  <c r="AU275" i="1" s="1"/>
  <c r="AP275" i="1"/>
  <c r="AD275" i="1"/>
  <c r="BC275" i="1" s="1"/>
  <c r="AC275" i="1"/>
  <c r="AB275" i="1"/>
  <c r="BG275" i="1" s="1"/>
  <c r="BJ275" i="1" s="1"/>
  <c r="AA275" i="1"/>
  <c r="K275" i="1"/>
  <c r="BM274" i="1"/>
  <c r="BB274" i="1"/>
  <c r="AW274" i="1"/>
  <c r="AX274" i="1" s="1"/>
  <c r="AU274" i="1"/>
  <c r="AS274" i="1"/>
  <c r="AQ274" i="1"/>
  <c r="AE274" i="1"/>
  <c r="AB274" i="1"/>
  <c r="AC274" i="1" s="1"/>
  <c r="AA274" i="1"/>
  <c r="AD274" i="1" s="1"/>
  <c r="K274" i="1"/>
  <c r="BM273" i="1"/>
  <c r="BB273" i="1"/>
  <c r="AW273" i="1"/>
  <c r="AQ273" i="1"/>
  <c r="AS273" i="1" s="1"/>
  <c r="AU273" i="1" s="1"/>
  <c r="AP273" i="1"/>
  <c r="AD273" i="1"/>
  <c r="AX273" i="1" s="1"/>
  <c r="AC273" i="1"/>
  <c r="AB273" i="1"/>
  <c r="AA273" i="1"/>
  <c r="K273" i="1"/>
  <c r="BM272" i="1"/>
  <c r="BB272" i="1"/>
  <c r="AW272" i="1"/>
  <c r="AX272" i="1" s="1"/>
  <c r="AQ272" i="1"/>
  <c r="AS272" i="1" s="1"/>
  <c r="AU272" i="1" s="1"/>
  <c r="AB272" i="1"/>
  <c r="AC272" i="1" s="1"/>
  <c r="AA272" i="1"/>
  <c r="AD272" i="1" s="1"/>
  <c r="K272" i="1"/>
  <c r="BM271" i="1"/>
  <c r="BJ271" i="1"/>
  <c r="BG271" i="1"/>
  <c r="BB271" i="1"/>
  <c r="AX271" i="1"/>
  <c r="AW271" i="1"/>
  <c r="AQ271" i="1"/>
  <c r="AS271" i="1" s="1"/>
  <c r="AU271" i="1" s="1"/>
  <c r="AP271" i="1"/>
  <c r="AD271" i="1"/>
  <c r="BC271" i="1" s="1"/>
  <c r="BK271" i="1" s="1"/>
  <c r="AC271" i="1"/>
  <c r="AB271" i="1"/>
  <c r="AE271" i="1" s="1"/>
  <c r="AA271" i="1"/>
  <c r="K271" i="1"/>
  <c r="BM270" i="1"/>
  <c r="BC270" i="1"/>
  <c r="BB270" i="1"/>
  <c r="AW270" i="1"/>
  <c r="AX270" i="1" s="1"/>
  <c r="AP270" i="1"/>
  <c r="AQ270" i="1" s="1"/>
  <c r="AS270" i="1" s="1"/>
  <c r="AU270" i="1" s="1"/>
  <c r="AE270" i="1"/>
  <c r="AB270" i="1"/>
  <c r="AC270" i="1" s="1"/>
  <c r="AA270" i="1"/>
  <c r="AD270" i="1" s="1"/>
  <c r="K270" i="1"/>
  <c r="BM269" i="1"/>
  <c r="BB269" i="1"/>
  <c r="AX269" i="1"/>
  <c r="AW269" i="1"/>
  <c r="AQ269" i="1"/>
  <c r="AS269" i="1" s="1"/>
  <c r="AU269" i="1" s="1"/>
  <c r="AP269" i="1"/>
  <c r="AD269" i="1"/>
  <c r="BC269" i="1" s="1"/>
  <c r="BK269" i="1" s="1"/>
  <c r="AC269" i="1"/>
  <c r="AB269" i="1"/>
  <c r="BG269" i="1" s="1"/>
  <c r="BJ269" i="1" s="1"/>
  <c r="AA269" i="1"/>
  <c r="K269" i="1"/>
  <c r="BM268" i="1"/>
  <c r="BG268" i="1"/>
  <c r="BJ268" i="1" s="1"/>
  <c r="BB268" i="1"/>
  <c r="AW268" i="1"/>
  <c r="AX268" i="1" s="1"/>
  <c r="AP268" i="1"/>
  <c r="AQ268" i="1" s="1"/>
  <c r="AS268" i="1" s="1"/>
  <c r="AU268" i="1" s="1"/>
  <c r="AF268" i="1"/>
  <c r="AD268" i="1"/>
  <c r="BH268" i="1" s="1"/>
  <c r="AC268" i="1"/>
  <c r="AB268" i="1"/>
  <c r="AE268" i="1" s="1"/>
  <c r="AA268" i="1"/>
  <c r="K268" i="1"/>
  <c r="BM267" i="1"/>
  <c r="BB267" i="1"/>
  <c r="AW267" i="1"/>
  <c r="AU267" i="1"/>
  <c r="AS267" i="1"/>
  <c r="AQ267" i="1"/>
  <c r="AB267" i="1"/>
  <c r="AC267" i="1" s="1"/>
  <c r="AA267" i="1"/>
  <c r="AD267" i="1" s="1"/>
  <c r="AF267" i="1" s="1"/>
  <c r="K267" i="1"/>
  <c r="BM266" i="1"/>
  <c r="BJ266" i="1"/>
  <c r="BG266" i="1"/>
  <c r="BB266" i="1"/>
  <c r="AW266" i="1"/>
  <c r="AQ266" i="1"/>
  <c r="AS266" i="1" s="1"/>
  <c r="AU266" i="1" s="1"/>
  <c r="AP266" i="1"/>
  <c r="AD266" i="1"/>
  <c r="AC266" i="1"/>
  <c r="AB266" i="1"/>
  <c r="AA266" i="1"/>
  <c r="K266" i="1"/>
  <c r="BM265" i="1"/>
  <c r="BB265" i="1"/>
  <c r="AW265" i="1"/>
  <c r="AQ265" i="1"/>
  <c r="AS265" i="1" s="1"/>
  <c r="AU265" i="1" s="1"/>
  <c r="AB265" i="1"/>
  <c r="AA265" i="1"/>
  <c r="AD265" i="1" s="1"/>
  <c r="BC265" i="1" s="1"/>
  <c r="K265" i="1"/>
  <c r="BM264" i="1"/>
  <c r="BB264" i="1"/>
  <c r="AW264" i="1"/>
  <c r="AU264" i="1"/>
  <c r="AP264" i="1"/>
  <c r="AQ264" i="1" s="1"/>
  <c r="AS264" i="1" s="1"/>
  <c r="AE264" i="1"/>
  <c r="AB264" i="1"/>
  <c r="BH264" i="1" s="1"/>
  <c r="AA264" i="1"/>
  <c r="AD264" i="1" s="1"/>
  <c r="BC264" i="1" s="1"/>
  <c r="K264" i="1"/>
  <c r="BM263" i="1"/>
  <c r="BB263" i="1"/>
  <c r="AX263" i="1"/>
  <c r="AW263" i="1"/>
  <c r="AQ263" i="1"/>
  <c r="AS263" i="1" s="1"/>
  <c r="AU263" i="1" s="1"/>
  <c r="AP263" i="1"/>
  <c r="AD263" i="1"/>
  <c r="BC263" i="1" s="1"/>
  <c r="AC263" i="1"/>
  <c r="AB263" i="1"/>
  <c r="BG263" i="1" s="1"/>
  <c r="BJ263" i="1" s="1"/>
  <c r="AA263" i="1"/>
  <c r="K263" i="1"/>
  <c r="BM262" i="1"/>
  <c r="BB262" i="1"/>
  <c r="AW262" i="1"/>
  <c r="AU262" i="1"/>
  <c r="AP262" i="1"/>
  <c r="AQ262" i="1" s="1"/>
  <c r="AS262" i="1" s="1"/>
  <c r="AB262" i="1"/>
  <c r="AC262" i="1" s="1"/>
  <c r="AA262" i="1"/>
  <c r="AD262" i="1" s="1"/>
  <c r="K262" i="1"/>
  <c r="BM261" i="1"/>
  <c r="BB261" i="1"/>
  <c r="AX261" i="1"/>
  <c r="AW261" i="1"/>
  <c r="AQ261" i="1"/>
  <c r="AS261" i="1" s="1"/>
  <c r="AU261" i="1" s="1"/>
  <c r="AP261" i="1"/>
  <c r="AD261" i="1"/>
  <c r="BC261" i="1" s="1"/>
  <c r="AC261" i="1"/>
  <c r="AB261" i="1"/>
  <c r="BG261" i="1" s="1"/>
  <c r="BJ261" i="1" s="1"/>
  <c r="AA261" i="1"/>
  <c r="K261" i="1"/>
  <c r="BM260" i="1"/>
  <c r="BB260" i="1"/>
  <c r="AW260" i="1"/>
  <c r="AU260" i="1"/>
  <c r="AP260" i="1"/>
  <c r="AQ260" i="1" s="1"/>
  <c r="AS260" i="1" s="1"/>
  <c r="AF260" i="1"/>
  <c r="AB260" i="1"/>
  <c r="AA260" i="1"/>
  <c r="AD260" i="1" s="1"/>
  <c r="K260" i="1"/>
  <c r="BM259" i="1"/>
  <c r="BJ259" i="1"/>
  <c r="BB259" i="1"/>
  <c r="AX259" i="1"/>
  <c r="AW259" i="1"/>
  <c r="AQ259" i="1"/>
  <c r="AS259" i="1" s="1"/>
  <c r="AU259" i="1" s="1"/>
  <c r="AP259" i="1"/>
  <c r="AD259" i="1"/>
  <c r="BC259" i="1" s="1"/>
  <c r="BK259" i="1" s="1"/>
  <c r="AC259" i="1"/>
  <c r="AB259" i="1"/>
  <c r="AE259" i="1" s="1"/>
  <c r="AA259" i="1"/>
  <c r="K259" i="1"/>
  <c r="BM258" i="1"/>
  <c r="BB258" i="1"/>
  <c r="AW258" i="1"/>
  <c r="AX258" i="1" s="1"/>
  <c r="AP258" i="1"/>
  <c r="AQ258" i="1" s="1"/>
  <c r="AS258" i="1" s="1"/>
  <c r="AU258" i="1" s="1"/>
  <c r="AB258" i="1"/>
  <c r="AA258" i="1"/>
  <c r="AD258" i="1" s="1"/>
  <c r="AF258" i="1" s="1"/>
  <c r="BC258" i="1" s="1"/>
  <c r="K258" i="1"/>
  <c r="BM257" i="1"/>
  <c r="BB257" i="1"/>
  <c r="AW257" i="1"/>
  <c r="AS257" i="1"/>
  <c r="AU257" i="1" s="1"/>
  <c r="AQ257" i="1"/>
  <c r="AP257" i="1"/>
  <c r="AB257" i="1"/>
  <c r="BG257" i="1" s="1"/>
  <c r="BJ257" i="1" s="1"/>
  <c r="AA257" i="1"/>
  <c r="AD257" i="1" s="1"/>
  <c r="K257" i="1"/>
  <c r="BM256" i="1"/>
  <c r="BB256" i="1"/>
  <c r="AX256" i="1"/>
  <c r="AW256" i="1"/>
  <c r="AQ256" i="1"/>
  <c r="AS256" i="1" s="1"/>
  <c r="AU256" i="1" s="1"/>
  <c r="AP256" i="1"/>
  <c r="AD256" i="1"/>
  <c r="BC256" i="1" s="1"/>
  <c r="AC256" i="1"/>
  <c r="AB256" i="1"/>
  <c r="BG256" i="1" s="1"/>
  <c r="BJ256" i="1" s="1"/>
  <c r="AA256" i="1"/>
  <c r="K256" i="1"/>
  <c r="BM255" i="1"/>
  <c r="BB255" i="1"/>
  <c r="AW255" i="1"/>
  <c r="AU255" i="1"/>
  <c r="AP255" i="1"/>
  <c r="AQ255" i="1" s="1"/>
  <c r="AS255" i="1" s="1"/>
  <c r="AF255" i="1"/>
  <c r="AB255" i="1"/>
  <c r="AA255" i="1"/>
  <c r="AD255" i="1" s="1"/>
  <c r="BC255" i="1" s="1"/>
  <c r="K255" i="1"/>
  <c r="BM254" i="1"/>
  <c r="BB254" i="1"/>
  <c r="AW254" i="1"/>
  <c r="AS254" i="1"/>
  <c r="AU254" i="1" s="1"/>
  <c r="AQ254" i="1"/>
  <c r="AP254" i="1"/>
  <c r="AD254" i="1"/>
  <c r="AC254" i="1"/>
  <c r="AB254" i="1"/>
  <c r="BG254" i="1" s="1"/>
  <c r="BJ254" i="1" s="1"/>
  <c r="AA254" i="1"/>
  <c r="K254" i="1"/>
  <c r="BM253" i="1"/>
  <c r="BH253" i="1"/>
  <c r="BB253" i="1"/>
  <c r="AW253" i="1"/>
  <c r="AQ253" i="1"/>
  <c r="AS253" i="1" s="1"/>
  <c r="AU253" i="1" s="1"/>
  <c r="AP253" i="1"/>
  <c r="AD253" i="1"/>
  <c r="AC253" i="1"/>
  <c r="AB253" i="1"/>
  <c r="AA253" i="1"/>
  <c r="K253" i="1"/>
  <c r="BM252" i="1"/>
  <c r="BG252" i="1"/>
  <c r="BJ252" i="1" s="1"/>
  <c r="BB252" i="1"/>
  <c r="AW252" i="1"/>
  <c r="AX252" i="1" s="1"/>
  <c r="AP252" i="1"/>
  <c r="AQ252" i="1" s="1"/>
  <c r="AS252" i="1" s="1"/>
  <c r="AU252" i="1" s="1"/>
  <c r="AF252" i="1"/>
  <c r="BC252" i="1" s="1"/>
  <c r="BK252" i="1" s="1"/>
  <c r="AD252" i="1"/>
  <c r="AC252" i="1"/>
  <c r="AB252" i="1"/>
  <c r="AE252" i="1" s="1"/>
  <c r="AA252" i="1"/>
  <c r="K252" i="1"/>
  <c r="BM251" i="1"/>
  <c r="BC251" i="1"/>
  <c r="BB251" i="1"/>
  <c r="AW251" i="1"/>
  <c r="AS251" i="1"/>
  <c r="AU251" i="1" s="1"/>
  <c r="AP251" i="1"/>
  <c r="AQ251" i="1" s="1"/>
  <c r="AB251" i="1"/>
  <c r="AC251" i="1" s="1"/>
  <c r="AA251" i="1"/>
  <c r="AD251" i="1" s="1"/>
  <c r="AE251" i="1" s="1"/>
  <c r="K251" i="1"/>
  <c r="BM250" i="1"/>
  <c r="BJ250" i="1"/>
  <c r="BG250" i="1"/>
  <c r="BB250" i="1"/>
  <c r="AW250" i="1"/>
  <c r="AX250" i="1" s="1"/>
  <c r="AP250" i="1"/>
  <c r="AQ250" i="1" s="1"/>
  <c r="AS250" i="1" s="1"/>
  <c r="AU250" i="1" s="1"/>
  <c r="AD250" i="1"/>
  <c r="AC250" i="1"/>
  <c r="AB250" i="1"/>
  <c r="AA250" i="1"/>
  <c r="K250" i="1"/>
  <c r="BM249" i="1"/>
  <c r="BB249" i="1"/>
  <c r="AW249" i="1"/>
  <c r="AP249" i="1"/>
  <c r="AQ249" i="1" s="1"/>
  <c r="AS249" i="1" s="1"/>
  <c r="AU249" i="1" s="1"/>
  <c r="AF249" i="1"/>
  <c r="AD249" i="1"/>
  <c r="AB249" i="1"/>
  <c r="AE249" i="1" s="1"/>
  <c r="AA249" i="1"/>
  <c r="K249" i="1"/>
  <c r="BM248" i="1"/>
  <c r="BB248" i="1"/>
  <c r="AW248" i="1"/>
  <c r="AP248" i="1"/>
  <c r="AQ248" i="1" s="1"/>
  <c r="AS248" i="1" s="1"/>
  <c r="AU248" i="1" s="1"/>
  <c r="AB248" i="1"/>
  <c r="AC248" i="1" s="1"/>
  <c r="AA248" i="1"/>
  <c r="AD248" i="1" s="1"/>
  <c r="K248" i="1"/>
  <c r="BM247" i="1"/>
  <c r="BG247" i="1"/>
  <c r="BJ247" i="1" s="1"/>
  <c r="BB247" i="1"/>
  <c r="AX247" i="1"/>
  <c r="AW247" i="1"/>
  <c r="AQ247" i="1"/>
  <c r="AS247" i="1" s="1"/>
  <c r="AU247" i="1" s="1"/>
  <c r="AP247" i="1"/>
  <c r="AD247" i="1"/>
  <c r="BC247" i="1" s="1"/>
  <c r="AB247" i="1"/>
  <c r="AA247" i="1"/>
  <c r="K247" i="1"/>
  <c r="BM246" i="1"/>
  <c r="BB246" i="1"/>
  <c r="AW246" i="1"/>
  <c r="AU246" i="1"/>
  <c r="AP246" i="1"/>
  <c r="AQ246" i="1" s="1"/>
  <c r="AS246" i="1" s="1"/>
  <c r="AD246" i="1"/>
  <c r="AB246" i="1"/>
  <c r="AC246" i="1" s="1"/>
  <c r="AA246" i="1"/>
  <c r="K246" i="1"/>
  <c r="BM245" i="1"/>
  <c r="BB245" i="1"/>
  <c r="AX245" i="1"/>
  <c r="AW245" i="1"/>
  <c r="AQ245" i="1"/>
  <c r="AS245" i="1" s="1"/>
  <c r="AU245" i="1" s="1"/>
  <c r="AB245" i="1"/>
  <c r="AA245" i="1"/>
  <c r="AD245" i="1" s="1"/>
  <c r="BC245" i="1" s="1"/>
  <c r="K245" i="1"/>
  <c r="BM244" i="1"/>
  <c r="BB244" i="1"/>
  <c r="AW244" i="1"/>
  <c r="AQ244" i="1"/>
  <c r="AS244" i="1" s="1"/>
  <c r="AU244" i="1" s="1"/>
  <c r="AP244" i="1"/>
  <c r="AD244" i="1"/>
  <c r="AC244" i="1"/>
  <c r="AB244" i="1"/>
  <c r="BG244" i="1" s="1"/>
  <c r="BJ244" i="1" s="1"/>
  <c r="AA244" i="1"/>
  <c r="K244" i="1"/>
  <c r="BM243" i="1"/>
  <c r="BG243" i="1"/>
  <c r="BJ243" i="1" s="1"/>
  <c r="BB243" i="1"/>
  <c r="AW243" i="1"/>
  <c r="AX243" i="1" s="1"/>
  <c r="AU243" i="1"/>
  <c r="AP243" i="1"/>
  <c r="AQ243" i="1" s="1"/>
  <c r="AS243" i="1" s="1"/>
  <c r="AF243" i="1"/>
  <c r="BC243" i="1" s="1"/>
  <c r="BK243" i="1" s="1"/>
  <c r="AD243" i="1"/>
  <c r="AC243" i="1"/>
  <c r="AB243" i="1"/>
  <c r="AE243" i="1" s="1"/>
  <c r="AA243" i="1"/>
  <c r="K243" i="1"/>
  <c r="BM242" i="1"/>
  <c r="BC242" i="1"/>
  <c r="BK242" i="1" s="1"/>
  <c r="BB242" i="1"/>
  <c r="AW242" i="1"/>
  <c r="AX242" i="1" s="1"/>
  <c r="AS242" i="1"/>
  <c r="AU242" i="1" s="1"/>
  <c r="AP242" i="1"/>
  <c r="AQ242" i="1" s="1"/>
  <c r="AF242" i="1"/>
  <c r="AB242" i="1"/>
  <c r="AA242" i="1"/>
  <c r="AD242" i="1" s="1"/>
  <c r="BG242" i="1" s="1"/>
  <c r="BJ242" i="1" s="1"/>
  <c r="K242" i="1"/>
  <c r="BM241" i="1"/>
  <c r="BB241" i="1"/>
  <c r="AW241" i="1"/>
  <c r="AQ241" i="1"/>
  <c r="AS241" i="1" s="1"/>
  <c r="AU241" i="1" s="1"/>
  <c r="AP241" i="1"/>
  <c r="AE241" i="1"/>
  <c r="AD241" i="1"/>
  <c r="AX241" i="1" s="1"/>
  <c r="AB241" i="1"/>
  <c r="AC241" i="1" s="1"/>
  <c r="AA241" i="1"/>
  <c r="K241" i="1"/>
  <c r="BM240" i="1"/>
  <c r="BB240" i="1"/>
  <c r="AW240" i="1"/>
  <c r="AQ240" i="1"/>
  <c r="AS240" i="1" s="1"/>
  <c r="AU240" i="1" s="1"/>
  <c r="AP240" i="1"/>
  <c r="AB240" i="1"/>
  <c r="AC240" i="1" s="1"/>
  <c r="AA240" i="1"/>
  <c r="AD240" i="1" s="1"/>
  <c r="K240" i="1"/>
  <c r="BM239" i="1"/>
  <c r="BB239" i="1"/>
  <c r="AW239" i="1"/>
  <c r="AX239" i="1" s="1"/>
  <c r="AP239" i="1"/>
  <c r="AQ239" i="1" s="1"/>
  <c r="AS239" i="1" s="1"/>
  <c r="AU239" i="1" s="1"/>
  <c r="AD239" i="1"/>
  <c r="AC239" i="1"/>
  <c r="AB239" i="1"/>
  <c r="AE239" i="1" s="1"/>
  <c r="AA239" i="1"/>
  <c r="K239" i="1"/>
  <c r="BM238" i="1"/>
  <c r="BG238" i="1"/>
  <c r="BJ238" i="1" s="1"/>
  <c r="BB238" i="1"/>
  <c r="AW238" i="1"/>
  <c r="AX238" i="1" s="1"/>
  <c r="AU238" i="1"/>
  <c r="AP238" i="1"/>
  <c r="AQ238" i="1" s="1"/>
  <c r="AS238" i="1" s="1"/>
  <c r="AF238" i="1"/>
  <c r="BC238" i="1" s="1"/>
  <c r="BK238" i="1" s="1"/>
  <c r="AD238" i="1"/>
  <c r="BH238" i="1" s="1"/>
  <c r="AC238" i="1"/>
  <c r="AB238" i="1"/>
  <c r="AE238" i="1" s="1"/>
  <c r="AA238" i="1"/>
  <c r="K238" i="1"/>
  <c r="BM237" i="1"/>
  <c r="BB237" i="1"/>
  <c r="AW237" i="1"/>
  <c r="AS237" i="1"/>
  <c r="AU237" i="1" s="1"/>
  <c r="AP237" i="1"/>
  <c r="AQ237" i="1" s="1"/>
  <c r="AB237" i="1"/>
  <c r="AC237" i="1" s="1"/>
  <c r="AA237" i="1"/>
  <c r="AD237" i="1" s="1"/>
  <c r="K237" i="1"/>
  <c r="BM236" i="1"/>
  <c r="BB236" i="1"/>
  <c r="AW236" i="1"/>
  <c r="AX236" i="1" s="1"/>
  <c r="AP236" i="1"/>
  <c r="AQ236" i="1" s="1"/>
  <c r="AS236" i="1" s="1"/>
  <c r="AU236" i="1" s="1"/>
  <c r="AD236" i="1"/>
  <c r="AC236" i="1"/>
  <c r="AB236" i="1"/>
  <c r="AE236" i="1" s="1"/>
  <c r="AA236" i="1"/>
  <c r="K236" i="1"/>
  <c r="BM235" i="1"/>
  <c r="BB235" i="1"/>
  <c r="AW235" i="1"/>
  <c r="AX235" i="1" s="1"/>
  <c r="AS235" i="1"/>
  <c r="AU235" i="1" s="1"/>
  <c r="AP235" i="1"/>
  <c r="AQ235" i="1" s="1"/>
  <c r="AF235" i="1"/>
  <c r="BC235" i="1" s="1"/>
  <c r="BK235" i="1" s="1"/>
  <c r="AB235" i="1"/>
  <c r="AC235" i="1" s="1"/>
  <c r="AA235" i="1"/>
  <c r="AD235" i="1" s="1"/>
  <c r="BG235" i="1" s="1"/>
  <c r="BJ235" i="1" s="1"/>
  <c r="K235" i="1"/>
  <c r="BM234" i="1"/>
  <c r="BB234" i="1"/>
  <c r="AW234" i="1"/>
  <c r="AQ234" i="1"/>
  <c r="AS234" i="1" s="1"/>
  <c r="AU234" i="1" s="1"/>
  <c r="AP234" i="1"/>
  <c r="AD234" i="1"/>
  <c r="AC234" i="1"/>
  <c r="AB234" i="1"/>
  <c r="BG234" i="1" s="1"/>
  <c r="BJ234" i="1" s="1"/>
  <c r="AA234" i="1"/>
  <c r="K234" i="1"/>
  <c r="BM233" i="1"/>
  <c r="BG233" i="1"/>
  <c r="BJ233" i="1" s="1"/>
  <c r="BB233" i="1"/>
  <c r="AW233" i="1"/>
  <c r="AU233" i="1"/>
  <c r="AP233" i="1"/>
  <c r="AQ233" i="1" s="1"/>
  <c r="AS233" i="1" s="1"/>
  <c r="AB233" i="1"/>
  <c r="AC233" i="1" s="1"/>
  <c r="AA233" i="1"/>
  <c r="AD233" i="1" s="1"/>
  <c r="K233" i="1"/>
  <c r="BM232" i="1"/>
  <c r="BJ232" i="1"/>
  <c r="BB232" i="1"/>
  <c r="AX232" i="1"/>
  <c r="AW232" i="1"/>
  <c r="AS232" i="1"/>
  <c r="AU232" i="1" s="1"/>
  <c r="AQ232" i="1"/>
  <c r="AP232" i="1"/>
  <c r="AD232" i="1"/>
  <c r="AC232" i="1"/>
  <c r="AB232" i="1"/>
  <c r="BG232" i="1" s="1"/>
  <c r="AA232" i="1"/>
  <c r="K232" i="1"/>
  <c r="BM231" i="1"/>
  <c r="BB231" i="1"/>
  <c r="AW231" i="1"/>
  <c r="AP231" i="1"/>
  <c r="AQ231" i="1" s="1"/>
  <c r="AS231" i="1" s="1"/>
  <c r="AU231" i="1" s="1"/>
  <c r="AB231" i="1"/>
  <c r="AA231" i="1"/>
  <c r="AD231" i="1" s="1"/>
  <c r="K231" i="1"/>
  <c r="BM230" i="1"/>
  <c r="BB230" i="1"/>
  <c r="AW230" i="1"/>
  <c r="AX230" i="1" s="1"/>
  <c r="AS230" i="1"/>
  <c r="AU230" i="1" s="1"/>
  <c r="AQ230" i="1"/>
  <c r="AE230" i="1"/>
  <c r="AD230" i="1"/>
  <c r="AB230" i="1"/>
  <c r="AC230" i="1" s="1"/>
  <c r="AA230" i="1"/>
  <c r="K230" i="1"/>
  <c r="BM229" i="1"/>
  <c r="BB229" i="1"/>
  <c r="AW229" i="1"/>
  <c r="AQ229" i="1"/>
  <c r="AS229" i="1" s="1"/>
  <c r="AU229" i="1" s="1"/>
  <c r="AP229" i="1"/>
  <c r="AB229" i="1"/>
  <c r="AC229" i="1" s="1"/>
  <c r="AA229" i="1"/>
  <c r="AD229" i="1" s="1"/>
  <c r="K229" i="1"/>
  <c r="BM228" i="1"/>
  <c r="BB228" i="1"/>
  <c r="AW228" i="1"/>
  <c r="AQ228" i="1"/>
  <c r="AS228" i="1" s="1"/>
  <c r="AU228" i="1" s="1"/>
  <c r="AP228" i="1"/>
  <c r="AE228" i="1"/>
  <c r="AD228" i="1"/>
  <c r="AX228" i="1" s="1"/>
  <c r="AB228" i="1"/>
  <c r="AC228" i="1" s="1"/>
  <c r="AA228" i="1"/>
  <c r="K228" i="1"/>
  <c r="BM227" i="1"/>
  <c r="BB227" i="1"/>
  <c r="AR227" i="1"/>
  <c r="AW227" i="1" s="1"/>
  <c r="AP227" i="1"/>
  <c r="AQ227" i="1" s="1"/>
  <c r="AS227" i="1" s="1"/>
  <c r="AU227" i="1" s="1"/>
  <c r="AB227" i="1"/>
  <c r="AC227" i="1" s="1"/>
  <c r="AA227" i="1"/>
  <c r="AD227" i="1" s="1"/>
  <c r="K227" i="1"/>
  <c r="BM226" i="1"/>
  <c r="BJ226" i="1"/>
  <c r="BB226" i="1"/>
  <c r="AW226" i="1"/>
  <c r="AS226" i="1"/>
  <c r="AU226" i="1" s="1"/>
  <c r="AQ226" i="1"/>
  <c r="AP226" i="1"/>
  <c r="AD226" i="1"/>
  <c r="AB226" i="1"/>
  <c r="BG226" i="1" s="1"/>
  <c r="AA226" i="1"/>
  <c r="K226" i="1"/>
  <c r="BM225" i="1"/>
  <c r="BB225" i="1"/>
  <c r="AX225" i="1"/>
  <c r="AW225" i="1"/>
  <c r="AQ225" i="1"/>
  <c r="AS225" i="1" s="1"/>
  <c r="AU225" i="1" s="1"/>
  <c r="AP225" i="1"/>
  <c r="AC225" i="1"/>
  <c r="AB225" i="1"/>
  <c r="AA225" i="1"/>
  <c r="AD225" i="1" s="1"/>
  <c r="BC225" i="1" s="1"/>
  <c r="K225" i="1"/>
  <c r="BM224" i="1"/>
  <c r="BB224" i="1"/>
  <c r="AW224" i="1"/>
  <c r="AX224" i="1" s="1"/>
  <c r="AS224" i="1"/>
  <c r="AU224" i="1" s="1"/>
  <c r="AP224" i="1"/>
  <c r="AQ224" i="1" s="1"/>
  <c r="AD224" i="1"/>
  <c r="BC224" i="1" s="1"/>
  <c r="AB224" i="1"/>
  <c r="AC224" i="1" s="1"/>
  <c r="AA224" i="1"/>
  <c r="K224" i="1"/>
  <c r="BM223" i="1"/>
  <c r="BG223" i="1"/>
  <c r="BJ223" i="1" s="1"/>
  <c r="BB223" i="1"/>
  <c r="AW223" i="1"/>
  <c r="AX223" i="1" s="1"/>
  <c r="AP223" i="1"/>
  <c r="AQ223" i="1" s="1"/>
  <c r="AS223" i="1" s="1"/>
  <c r="AU223" i="1" s="1"/>
  <c r="AD223" i="1"/>
  <c r="BC223" i="1" s="1"/>
  <c r="BK223" i="1" s="1"/>
  <c r="AB223" i="1"/>
  <c r="AA223" i="1"/>
  <c r="K223" i="1"/>
  <c r="BM222" i="1"/>
  <c r="BG222" i="1"/>
  <c r="BJ222" i="1" s="1"/>
  <c r="BB222" i="1"/>
  <c r="AW222" i="1"/>
  <c r="AX222" i="1" s="1"/>
  <c r="AS222" i="1"/>
  <c r="AU222" i="1" s="1"/>
  <c r="AP222" i="1"/>
  <c r="AQ222" i="1" s="1"/>
  <c r="AE222" i="1"/>
  <c r="AC222" i="1"/>
  <c r="AB222" i="1"/>
  <c r="AA222" i="1"/>
  <c r="AD222" i="1" s="1"/>
  <c r="K222" i="1"/>
  <c r="BM221" i="1"/>
  <c r="BB221" i="1"/>
  <c r="AX221" i="1"/>
  <c r="AW221" i="1"/>
  <c r="AQ221" i="1"/>
  <c r="AS221" i="1" s="1"/>
  <c r="AU221" i="1" s="1"/>
  <c r="AP221" i="1"/>
  <c r="AC221" i="1"/>
  <c r="AB221" i="1"/>
  <c r="BG221" i="1" s="1"/>
  <c r="BJ221" i="1" s="1"/>
  <c r="AA221" i="1"/>
  <c r="AD221" i="1" s="1"/>
  <c r="K221" i="1"/>
  <c r="BM220" i="1"/>
  <c r="BC220" i="1"/>
  <c r="BB220" i="1"/>
  <c r="AW220" i="1"/>
  <c r="AQ220" i="1"/>
  <c r="AS220" i="1" s="1"/>
  <c r="AU220" i="1" s="1"/>
  <c r="AP220" i="1"/>
  <c r="AC220" i="1"/>
  <c r="AB220" i="1"/>
  <c r="BG220" i="1" s="1"/>
  <c r="BJ220" i="1" s="1"/>
  <c r="AA220" i="1"/>
  <c r="AD220" i="1" s="1"/>
  <c r="AX220" i="1" s="1"/>
  <c r="K220" i="1"/>
  <c r="BM219" i="1"/>
  <c r="BB219" i="1"/>
  <c r="AW219" i="1"/>
  <c r="AP219" i="1"/>
  <c r="AQ219" i="1" s="1"/>
  <c r="AS219" i="1" s="1"/>
  <c r="AU219" i="1" s="1"/>
  <c r="AD219" i="1"/>
  <c r="BC219" i="1" s="1"/>
  <c r="AB219" i="1"/>
  <c r="BH219" i="1" s="1"/>
  <c r="AA219" i="1"/>
  <c r="K219" i="1"/>
  <c r="BM218" i="1"/>
  <c r="BB218" i="1"/>
  <c r="AW218" i="1"/>
  <c r="AX218" i="1" s="1"/>
  <c r="AP218" i="1"/>
  <c r="AQ218" i="1" s="1"/>
  <c r="AS218" i="1" s="1"/>
  <c r="AU218" i="1" s="1"/>
  <c r="AD218" i="1"/>
  <c r="AB218" i="1"/>
  <c r="AA218" i="1"/>
  <c r="K218" i="1"/>
  <c r="BM217" i="1"/>
  <c r="BB217" i="1"/>
  <c r="AW217" i="1"/>
  <c r="AR217" i="1"/>
  <c r="AS217" i="1" s="1"/>
  <c r="AU217" i="1" s="1"/>
  <c r="AP217" i="1"/>
  <c r="AQ217" i="1" s="1"/>
  <c r="AC217" i="1"/>
  <c r="AB217" i="1"/>
  <c r="AA217" i="1"/>
  <c r="AD217" i="1" s="1"/>
  <c r="K217" i="1"/>
  <c r="BM216" i="1"/>
  <c r="BJ216" i="1"/>
  <c r="BB216" i="1"/>
  <c r="AW216" i="1"/>
  <c r="AP216" i="1"/>
  <c r="AQ216" i="1" s="1"/>
  <c r="AS216" i="1" s="1"/>
  <c r="AU216" i="1" s="1"/>
  <c r="AD216" i="1"/>
  <c r="BC216" i="1" s="1"/>
  <c r="BK216" i="1" s="1"/>
  <c r="AB216" i="1"/>
  <c r="AC216" i="1" s="1"/>
  <c r="AA216" i="1"/>
  <c r="K216" i="1"/>
  <c r="BM215" i="1"/>
  <c r="BB215" i="1"/>
  <c r="AW215" i="1"/>
  <c r="AP215" i="1"/>
  <c r="AQ215" i="1" s="1"/>
  <c r="AS215" i="1" s="1"/>
  <c r="AU215" i="1" s="1"/>
  <c r="AC215" i="1"/>
  <c r="AB215" i="1"/>
  <c r="AA215" i="1"/>
  <c r="AD215" i="1" s="1"/>
  <c r="K215" i="1"/>
  <c r="BM214" i="1"/>
  <c r="BB214" i="1"/>
  <c r="AW214" i="1"/>
  <c r="AU214" i="1"/>
  <c r="AQ214" i="1"/>
  <c r="AS214" i="1" s="1"/>
  <c r="AP214" i="1"/>
  <c r="AF214" i="1"/>
  <c r="BC214" i="1" s="1"/>
  <c r="AD214" i="1"/>
  <c r="AX214" i="1" s="1"/>
  <c r="AB214" i="1"/>
  <c r="AA214" i="1"/>
  <c r="K214" i="1"/>
  <c r="BM213" i="1"/>
  <c r="BB213" i="1"/>
  <c r="AW213" i="1"/>
  <c r="AX213" i="1" s="1"/>
  <c r="AS213" i="1"/>
  <c r="AU213" i="1" s="1"/>
  <c r="AP213" i="1"/>
  <c r="AQ213" i="1" s="1"/>
  <c r="AD213" i="1"/>
  <c r="BC213" i="1" s="1"/>
  <c r="AB213" i="1"/>
  <c r="AC213" i="1" s="1"/>
  <c r="AA213" i="1"/>
  <c r="K213" i="1"/>
  <c r="BM212" i="1"/>
  <c r="BG212" i="1"/>
  <c r="BJ212" i="1" s="1"/>
  <c r="BB212" i="1"/>
  <c r="AW212" i="1"/>
  <c r="AX212" i="1" s="1"/>
  <c r="AP212" i="1"/>
  <c r="AQ212" i="1" s="1"/>
  <c r="AS212" i="1" s="1"/>
  <c r="AU212" i="1" s="1"/>
  <c r="AD212" i="1"/>
  <c r="BC212" i="1" s="1"/>
  <c r="BK212" i="1" s="1"/>
  <c r="AB212" i="1"/>
  <c r="AA212" i="1"/>
  <c r="K212" i="1"/>
  <c r="BM211" i="1"/>
  <c r="BB211" i="1"/>
  <c r="AW211" i="1"/>
  <c r="AX211" i="1" s="1"/>
  <c r="AS211" i="1"/>
  <c r="AU211" i="1" s="1"/>
  <c r="AP211" i="1"/>
  <c r="AQ211" i="1" s="1"/>
  <c r="AD211" i="1"/>
  <c r="BC211" i="1" s="1"/>
  <c r="AB211" i="1"/>
  <c r="AC211" i="1" s="1"/>
  <c r="AA211" i="1"/>
  <c r="K211" i="1"/>
  <c r="BM210" i="1"/>
  <c r="BG210" i="1"/>
  <c r="BJ210" i="1" s="1"/>
  <c r="BB210" i="1"/>
  <c r="AW210" i="1"/>
  <c r="AP210" i="1"/>
  <c r="AQ210" i="1" s="1"/>
  <c r="AS210" i="1" s="1"/>
  <c r="AU210" i="1" s="1"/>
  <c r="AC210" i="1"/>
  <c r="AB210" i="1"/>
  <c r="AA210" i="1"/>
  <c r="AD210" i="1" s="1"/>
  <c r="K210" i="1"/>
  <c r="BM209" i="1"/>
  <c r="BG209" i="1"/>
  <c r="BB209" i="1"/>
  <c r="AW209" i="1"/>
  <c r="AX209" i="1" s="1"/>
  <c r="AS209" i="1"/>
  <c r="AU209" i="1" s="1"/>
  <c r="AQ209" i="1"/>
  <c r="AF209" i="1"/>
  <c r="AD209" i="1"/>
  <c r="AB209" i="1"/>
  <c r="AA209" i="1"/>
  <c r="K209" i="1"/>
  <c r="BM208" i="1"/>
  <c r="BC208" i="1"/>
  <c r="BB208" i="1"/>
  <c r="AW208" i="1"/>
  <c r="AQ208" i="1"/>
  <c r="AS208" i="1" s="1"/>
  <c r="AU208" i="1" s="1"/>
  <c r="AP208" i="1"/>
  <c r="AF208" i="1"/>
  <c r="AD208" i="1"/>
  <c r="BH208" i="1" s="1"/>
  <c r="AB208" i="1"/>
  <c r="AA208" i="1"/>
  <c r="K208" i="1"/>
  <c r="BM207" i="1"/>
  <c r="BB207" i="1"/>
  <c r="AW207" i="1"/>
  <c r="AP207" i="1"/>
  <c r="AQ207" i="1" s="1"/>
  <c r="AS207" i="1" s="1"/>
  <c r="AU207" i="1" s="1"/>
  <c r="AD207" i="1"/>
  <c r="BC207" i="1" s="1"/>
  <c r="AB207" i="1"/>
  <c r="AC207" i="1" s="1"/>
  <c r="AA207" i="1"/>
  <c r="K207" i="1"/>
  <c r="BM206" i="1"/>
  <c r="BB206" i="1"/>
  <c r="AW206" i="1"/>
  <c r="AX206" i="1" s="1"/>
  <c r="AP206" i="1"/>
  <c r="AQ206" i="1" s="1"/>
  <c r="AS206" i="1" s="1"/>
  <c r="AU206" i="1" s="1"/>
  <c r="AD206" i="1"/>
  <c r="AB206" i="1"/>
  <c r="AA206" i="1"/>
  <c r="K206" i="1"/>
  <c r="BM205" i="1"/>
  <c r="BB205" i="1"/>
  <c r="AW205" i="1"/>
  <c r="AP205" i="1"/>
  <c r="AQ205" i="1" s="1"/>
  <c r="AS205" i="1" s="1"/>
  <c r="AU205" i="1" s="1"/>
  <c r="AD205" i="1"/>
  <c r="BC205" i="1" s="1"/>
  <c r="AB205" i="1"/>
  <c r="AC205" i="1" s="1"/>
  <c r="AA205" i="1"/>
  <c r="K205" i="1"/>
  <c r="BM204" i="1"/>
  <c r="BG204" i="1"/>
  <c r="BJ204" i="1" s="1"/>
  <c r="BB204" i="1"/>
  <c r="AW204" i="1"/>
  <c r="AX204" i="1" s="1"/>
  <c r="AS204" i="1"/>
  <c r="AU204" i="1" s="1"/>
  <c r="AQ204" i="1"/>
  <c r="AF204" i="1"/>
  <c r="AD204" i="1"/>
  <c r="BC204" i="1" s="1"/>
  <c r="BK204" i="1" s="1"/>
  <c r="AB204" i="1"/>
  <c r="AA204" i="1"/>
  <c r="K204" i="1"/>
  <c r="BM203" i="1"/>
  <c r="BB203" i="1"/>
  <c r="AW203" i="1"/>
  <c r="AP203" i="1"/>
  <c r="AQ203" i="1" s="1"/>
  <c r="AS203" i="1" s="1"/>
  <c r="AU203" i="1" s="1"/>
  <c r="AC203" i="1"/>
  <c r="AB203" i="1"/>
  <c r="AA203" i="1"/>
  <c r="AD203" i="1" s="1"/>
  <c r="K203" i="1"/>
  <c r="BM202" i="1"/>
  <c r="BJ202" i="1"/>
  <c r="BB202" i="1"/>
  <c r="AW202" i="1"/>
  <c r="AQ202" i="1"/>
  <c r="AS202" i="1" s="1"/>
  <c r="AU202" i="1" s="1"/>
  <c r="AP202" i="1"/>
  <c r="AD202" i="1"/>
  <c r="AB202" i="1"/>
  <c r="BG202" i="1" s="1"/>
  <c r="AA202" i="1"/>
  <c r="K202" i="1"/>
  <c r="BM201" i="1"/>
  <c r="BB201" i="1"/>
  <c r="AW201" i="1"/>
  <c r="AX201" i="1" s="1"/>
  <c r="AP201" i="1"/>
  <c r="AQ201" i="1" s="1"/>
  <c r="AS201" i="1" s="1"/>
  <c r="AU201" i="1" s="1"/>
  <c r="AD201" i="1"/>
  <c r="AB201" i="1"/>
  <c r="AA201" i="1"/>
  <c r="K201" i="1"/>
  <c r="BM200" i="1"/>
  <c r="BB200" i="1"/>
  <c r="AW200" i="1"/>
  <c r="AS200" i="1"/>
  <c r="AU200" i="1" s="1"/>
  <c r="AQ200" i="1"/>
  <c r="AD200" i="1"/>
  <c r="AB200" i="1"/>
  <c r="AC200" i="1" s="1"/>
  <c r="AA200" i="1"/>
  <c r="K200" i="1"/>
  <c r="BM199" i="1"/>
  <c r="BG199" i="1"/>
  <c r="BJ199" i="1" s="1"/>
  <c r="BB199" i="1"/>
  <c r="AW199" i="1"/>
  <c r="AP199" i="1"/>
  <c r="AQ199" i="1" s="1"/>
  <c r="AS199" i="1" s="1"/>
  <c r="AU199" i="1" s="1"/>
  <c r="AC199" i="1"/>
  <c r="AB199" i="1"/>
  <c r="AA199" i="1"/>
  <c r="AD199" i="1" s="1"/>
  <c r="K199" i="1"/>
  <c r="BM198" i="1"/>
  <c r="BB198" i="1"/>
  <c r="AW198" i="1"/>
  <c r="AP198" i="1"/>
  <c r="AQ198" i="1" s="1"/>
  <c r="AS198" i="1" s="1"/>
  <c r="AU198" i="1" s="1"/>
  <c r="AC198" i="1"/>
  <c r="AB198" i="1"/>
  <c r="AA198" i="1"/>
  <c r="AD198" i="1" s="1"/>
  <c r="K198" i="1"/>
  <c r="BM197" i="1"/>
  <c r="BG197" i="1"/>
  <c r="BB197" i="1"/>
  <c r="AW197" i="1"/>
  <c r="AP197" i="1"/>
  <c r="AQ197" i="1" s="1"/>
  <c r="AS197" i="1" s="1"/>
  <c r="AU197" i="1" s="1"/>
  <c r="AC197" i="1"/>
  <c r="AB197" i="1"/>
  <c r="AA197" i="1"/>
  <c r="AD197" i="1" s="1"/>
  <c r="K197" i="1"/>
  <c r="BM196" i="1"/>
  <c r="BC196" i="1"/>
  <c r="BB196" i="1"/>
  <c r="AW196" i="1"/>
  <c r="AQ196" i="1"/>
  <c r="AS196" i="1" s="1"/>
  <c r="AU196" i="1" s="1"/>
  <c r="AP196" i="1"/>
  <c r="AF196" i="1"/>
  <c r="AD196" i="1"/>
  <c r="AX196" i="1" s="1"/>
  <c r="AB196" i="1"/>
  <c r="AA196" i="1"/>
  <c r="K196" i="1"/>
  <c r="BM195" i="1"/>
  <c r="BG195" i="1"/>
  <c r="BJ195" i="1" s="1"/>
  <c r="BB195" i="1"/>
  <c r="AW195" i="1"/>
  <c r="AX195" i="1" s="1"/>
  <c r="AS195" i="1"/>
  <c r="AU195" i="1" s="1"/>
  <c r="AP195" i="1"/>
  <c r="AQ195" i="1" s="1"/>
  <c r="AC195" i="1"/>
  <c r="AB195" i="1"/>
  <c r="AA195" i="1"/>
  <c r="AD195" i="1" s="1"/>
  <c r="AE195" i="1" s="1"/>
  <c r="K195" i="1"/>
  <c r="BM194" i="1"/>
  <c r="BB194" i="1"/>
  <c r="AX194" i="1"/>
  <c r="AW194" i="1"/>
  <c r="AQ194" i="1"/>
  <c r="AS194" i="1" s="1"/>
  <c r="AU194" i="1" s="1"/>
  <c r="AD194" i="1"/>
  <c r="BC194" i="1" s="1"/>
  <c r="AB194" i="1"/>
  <c r="AA194" i="1"/>
  <c r="K194" i="1"/>
  <c r="BM193" i="1"/>
  <c r="BB193" i="1"/>
  <c r="AW193" i="1"/>
  <c r="AX193" i="1" s="1"/>
  <c r="AS193" i="1"/>
  <c r="AU193" i="1" s="1"/>
  <c r="AP193" i="1"/>
  <c r="AQ193" i="1" s="1"/>
  <c r="AD193" i="1"/>
  <c r="BC193" i="1" s="1"/>
  <c r="AB193" i="1"/>
  <c r="AC193" i="1" s="1"/>
  <c r="AA193" i="1"/>
  <c r="K193" i="1"/>
  <c r="BM192" i="1"/>
  <c r="BG192" i="1"/>
  <c r="BJ192" i="1" s="1"/>
  <c r="BB192" i="1"/>
  <c r="AW192" i="1"/>
  <c r="AX192" i="1" s="1"/>
  <c r="AP192" i="1"/>
  <c r="AQ192" i="1" s="1"/>
  <c r="AS192" i="1" s="1"/>
  <c r="AU192" i="1" s="1"/>
  <c r="AD192" i="1"/>
  <c r="BC192" i="1" s="1"/>
  <c r="BK192" i="1" s="1"/>
  <c r="AB192" i="1"/>
  <c r="AA192" i="1"/>
  <c r="K192" i="1"/>
  <c r="BM191" i="1"/>
  <c r="BB191" i="1"/>
  <c r="AW191" i="1"/>
  <c r="AX191" i="1" s="1"/>
  <c r="AS191" i="1"/>
  <c r="AU191" i="1" s="1"/>
  <c r="AP191" i="1"/>
  <c r="AQ191" i="1" s="1"/>
  <c r="AC191" i="1"/>
  <c r="AB191" i="1"/>
  <c r="AA191" i="1"/>
  <c r="AD191" i="1" s="1"/>
  <c r="AE191" i="1" s="1"/>
  <c r="K191" i="1"/>
  <c r="BM190" i="1"/>
  <c r="BJ190" i="1"/>
  <c r="BB190" i="1"/>
  <c r="AW190" i="1"/>
  <c r="AQ190" i="1"/>
  <c r="AS190" i="1" s="1"/>
  <c r="AU190" i="1" s="1"/>
  <c r="AP190" i="1"/>
  <c r="AC190" i="1"/>
  <c r="AB190" i="1"/>
  <c r="BG190" i="1" s="1"/>
  <c r="AA190" i="1"/>
  <c r="AD190" i="1" s="1"/>
  <c r="K190" i="1"/>
  <c r="BM189" i="1"/>
  <c r="BB189" i="1"/>
  <c r="AW189" i="1"/>
  <c r="AQ189" i="1"/>
  <c r="AS189" i="1" s="1"/>
  <c r="AU189" i="1" s="1"/>
  <c r="AP189" i="1"/>
  <c r="AC189" i="1"/>
  <c r="AB189" i="1"/>
  <c r="BG189" i="1" s="1"/>
  <c r="BJ189" i="1" s="1"/>
  <c r="AA189" i="1"/>
  <c r="AD189" i="1" s="1"/>
  <c r="K189" i="1"/>
  <c r="BM188" i="1"/>
  <c r="BB188" i="1"/>
  <c r="AW188" i="1"/>
  <c r="AQ188" i="1"/>
  <c r="AS188" i="1" s="1"/>
  <c r="AU188" i="1" s="1"/>
  <c r="AP188" i="1"/>
  <c r="AC188" i="1"/>
  <c r="AB188" i="1"/>
  <c r="AA188" i="1"/>
  <c r="AD188" i="1" s="1"/>
  <c r="K188" i="1"/>
  <c r="BM187" i="1"/>
  <c r="BB187" i="1"/>
  <c r="AW187" i="1"/>
  <c r="AU187" i="1"/>
  <c r="AQ187" i="1"/>
  <c r="AS187" i="1" s="1"/>
  <c r="AP187" i="1"/>
  <c r="AE187" i="1"/>
  <c r="AC187" i="1"/>
  <c r="AB187" i="1"/>
  <c r="BG187" i="1" s="1"/>
  <c r="BJ187" i="1" s="1"/>
  <c r="AA187" i="1"/>
  <c r="AD187" i="1" s="1"/>
  <c r="AX187" i="1" s="1"/>
  <c r="K187" i="1"/>
  <c r="BM186" i="1"/>
  <c r="BB186" i="1"/>
  <c r="AW186" i="1"/>
  <c r="AX186" i="1" s="1"/>
  <c r="AS186" i="1"/>
  <c r="AU186" i="1" s="1"/>
  <c r="AP186" i="1"/>
  <c r="AQ186" i="1" s="1"/>
  <c r="AD186" i="1"/>
  <c r="BC186" i="1" s="1"/>
  <c r="AB186" i="1"/>
  <c r="BH186" i="1" s="1"/>
  <c r="AA186" i="1"/>
  <c r="K186" i="1"/>
  <c r="BM185" i="1"/>
  <c r="BG185" i="1"/>
  <c r="BJ185" i="1" s="1"/>
  <c r="BB185" i="1"/>
  <c r="AW185" i="1"/>
  <c r="AX185" i="1" s="1"/>
  <c r="AP185" i="1"/>
  <c r="AQ185" i="1" s="1"/>
  <c r="AS185" i="1" s="1"/>
  <c r="AU185" i="1" s="1"/>
  <c r="AD185" i="1"/>
  <c r="BC185" i="1" s="1"/>
  <c r="BK185" i="1" s="1"/>
  <c r="AB185" i="1"/>
  <c r="AA185" i="1"/>
  <c r="K185" i="1"/>
  <c r="BM184" i="1"/>
  <c r="BB184" i="1"/>
  <c r="AW184" i="1"/>
  <c r="AX184" i="1" s="1"/>
  <c r="AS184" i="1"/>
  <c r="AU184" i="1" s="1"/>
  <c r="AP184" i="1"/>
  <c r="AQ184" i="1" s="1"/>
  <c r="AD184" i="1"/>
  <c r="BC184" i="1" s="1"/>
  <c r="AB184" i="1"/>
  <c r="AC184" i="1" s="1"/>
  <c r="AA184" i="1"/>
  <c r="K184" i="1"/>
  <c r="BM183" i="1"/>
  <c r="BJ183" i="1"/>
  <c r="BC183" i="1"/>
  <c r="BK183" i="1" s="1"/>
  <c r="BB183" i="1"/>
  <c r="AW183" i="1"/>
  <c r="AQ183" i="1"/>
  <c r="AS183" i="1" s="1"/>
  <c r="AU183" i="1" s="1"/>
  <c r="AP183" i="1"/>
  <c r="AC183" i="1"/>
  <c r="AB183" i="1"/>
  <c r="AA183" i="1"/>
  <c r="AD183" i="1" s="1"/>
  <c r="AX183" i="1" s="1"/>
  <c r="K183" i="1"/>
  <c r="BM182" i="1"/>
  <c r="BB182" i="1"/>
  <c r="AW182" i="1"/>
  <c r="AS182" i="1"/>
  <c r="AU182" i="1" s="1"/>
  <c r="AQ182" i="1"/>
  <c r="AD182" i="1"/>
  <c r="AB182" i="1"/>
  <c r="AA182" i="1"/>
  <c r="K182" i="1"/>
  <c r="BM181" i="1"/>
  <c r="BH181" i="1"/>
  <c r="BB181" i="1"/>
  <c r="AX181" i="1"/>
  <c r="AW181" i="1"/>
  <c r="AQ181" i="1"/>
  <c r="AS181" i="1" s="1"/>
  <c r="AU181" i="1" s="1"/>
  <c r="AP181" i="1"/>
  <c r="AF181" i="1"/>
  <c r="AD181" i="1"/>
  <c r="BG181" i="1" s="1"/>
  <c r="AB181" i="1"/>
  <c r="AA181" i="1"/>
  <c r="K181" i="1"/>
  <c r="BM180" i="1"/>
  <c r="BG180" i="1"/>
  <c r="BJ180" i="1" s="1"/>
  <c r="BB180" i="1"/>
  <c r="AW180" i="1"/>
  <c r="AP180" i="1"/>
  <c r="AQ180" i="1" s="1"/>
  <c r="AS180" i="1" s="1"/>
  <c r="AU180" i="1" s="1"/>
  <c r="AC180" i="1"/>
  <c r="AB180" i="1"/>
  <c r="AA180" i="1"/>
  <c r="AD180" i="1" s="1"/>
  <c r="K180" i="1"/>
  <c r="BM179" i="1"/>
  <c r="BJ179" i="1"/>
  <c r="BC179" i="1"/>
  <c r="BK179" i="1" s="1"/>
  <c r="BB179" i="1"/>
  <c r="AW179" i="1"/>
  <c r="AU179" i="1"/>
  <c r="AQ179" i="1"/>
  <c r="AS179" i="1" s="1"/>
  <c r="AP179" i="1"/>
  <c r="AE179" i="1"/>
  <c r="AC179" i="1"/>
  <c r="AB179" i="1"/>
  <c r="BG179" i="1" s="1"/>
  <c r="AA179" i="1"/>
  <c r="AD179" i="1" s="1"/>
  <c r="AX179" i="1" s="1"/>
  <c r="K179" i="1"/>
  <c r="BM178" i="1"/>
  <c r="BJ178" i="1"/>
  <c r="BB178" i="1"/>
  <c r="AR178" i="1"/>
  <c r="AP178" i="1"/>
  <c r="AQ178" i="1" s="1"/>
  <c r="AE178" i="1"/>
  <c r="AC178" i="1"/>
  <c r="AB178" i="1"/>
  <c r="BG178" i="1" s="1"/>
  <c r="AA178" i="1"/>
  <c r="AD178" i="1" s="1"/>
  <c r="AF178" i="1" s="1"/>
  <c r="K178" i="1"/>
  <c r="BM177" i="1"/>
  <c r="BC177" i="1"/>
  <c r="BB177" i="1"/>
  <c r="AW177" i="1"/>
  <c r="AQ177" i="1"/>
  <c r="AS177" i="1" s="1"/>
  <c r="AU177" i="1" s="1"/>
  <c r="AP177" i="1"/>
  <c r="AC177" i="1"/>
  <c r="AB177" i="1"/>
  <c r="BG177" i="1" s="1"/>
  <c r="BJ177" i="1" s="1"/>
  <c r="AA177" i="1"/>
  <c r="AD177" i="1" s="1"/>
  <c r="AX177" i="1" s="1"/>
  <c r="K177" i="1"/>
  <c r="BM176" i="1"/>
  <c r="BJ176" i="1"/>
  <c r="BB176" i="1"/>
  <c r="AW176" i="1"/>
  <c r="AU176" i="1"/>
  <c r="AQ176" i="1"/>
  <c r="AS176" i="1" s="1"/>
  <c r="AP176" i="1"/>
  <c r="AE176" i="1"/>
  <c r="AC176" i="1"/>
  <c r="AB176" i="1"/>
  <c r="BG176" i="1" s="1"/>
  <c r="AA176" i="1"/>
  <c r="AD176" i="1" s="1"/>
  <c r="BC176" i="1" s="1"/>
  <c r="K176" i="1"/>
  <c r="BM175" i="1"/>
  <c r="BB175" i="1"/>
  <c r="AW175" i="1"/>
  <c r="AQ175" i="1"/>
  <c r="AS175" i="1" s="1"/>
  <c r="AU175" i="1" s="1"/>
  <c r="AP175" i="1"/>
  <c r="AD175" i="1"/>
  <c r="BG175" i="1" s="1"/>
  <c r="BJ175" i="1" s="1"/>
  <c r="AB175" i="1"/>
  <c r="AA175" i="1"/>
  <c r="K175" i="1"/>
  <c r="BM174" i="1"/>
  <c r="BB174" i="1"/>
  <c r="AW174" i="1"/>
  <c r="AX174" i="1" s="1"/>
  <c r="AS174" i="1"/>
  <c r="AU174" i="1" s="1"/>
  <c r="AP174" i="1"/>
  <c r="AQ174" i="1" s="1"/>
  <c r="AC174" i="1"/>
  <c r="AB174" i="1"/>
  <c r="AA174" i="1"/>
  <c r="AD174" i="1" s="1"/>
  <c r="AE174" i="1" s="1"/>
  <c r="K174" i="1"/>
  <c r="BM173" i="1"/>
  <c r="BB173" i="1"/>
  <c r="AX173" i="1"/>
  <c r="AW173" i="1"/>
  <c r="AU173" i="1"/>
  <c r="AQ173" i="1"/>
  <c r="AS173" i="1" s="1"/>
  <c r="AP173" i="1"/>
  <c r="AF173" i="1"/>
  <c r="AD173" i="1"/>
  <c r="AB173" i="1"/>
  <c r="AA173" i="1"/>
  <c r="K173" i="1"/>
  <c r="BM172" i="1"/>
  <c r="BH172" i="1"/>
  <c r="BC172" i="1"/>
  <c r="BB172" i="1"/>
  <c r="AW172" i="1"/>
  <c r="AU172" i="1"/>
  <c r="AQ172" i="1"/>
  <c r="AS172" i="1" s="1"/>
  <c r="AP172" i="1"/>
  <c r="AE172" i="1"/>
  <c r="AC172" i="1"/>
  <c r="AB172" i="1"/>
  <c r="BG172" i="1" s="1"/>
  <c r="AA172" i="1"/>
  <c r="AD172" i="1" s="1"/>
  <c r="AX172" i="1" s="1"/>
  <c r="K172" i="1"/>
  <c r="BM171" i="1"/>
  <c r="BB171" i="1"/>
  <c r="AW171" i="1"/>
  <c r="AX171" i="1" s="1"/>
  <c r="AS171" i="1"/>
  <c r="AU171" i="1" s="1"/>
  <c r="AP171" i="1"/>
  <c r="AQ171" i="1" s="1"/>
  <c r="AE171" i="1"/>
  <c r="AC171" i="1"/>
  <c r="AB171" i="1"/>
  <c r="AA171" i="1"/>
  <c r="AD171" i="1" s="1"/>
  <c r="K171" i="1"/>
  <c r="BM170" i="1"/>
  <c r="BB170" i="1"/>
  <c r="AW170" i="1"/>
  <c r="AX170" i="1" s="1"/>
  <c r="AS170" i="1"/>
  <c r="AU170" i="1" s="1"/>
  <c r="AP170" i="1"/>
  <c r="AQ170" i="1" s="1"/>
  <c r="AE170" i="1"/>
  <c r="AC170" i="1"/>
  <c r="AB170" i="1"/>
  <c r="AA170" i="1"/>
  <c r="AD170" i="1" s="1"/>
  <c r="K170" i="1"/>
  <c r="BM169" i="1"/>
  <c r="BB169" i="1"/>
  <c r="AW169" i="1"/>
  <c r="AQ169" i="1"/>
  <c r="AS169" i="1" s="1"/>
  <c r="AU169" i="1" s="1"/>
  <c r="AP169" i="1"/>
  <c r="AC169" i="1"/>
  <c r="AB169" i="1"/>
  <c r="BG169" i="1" s="1"/>
  <c r="BJ169" i="1" s="1"/>
  <c r="AA169" i="1"/>
  <c r="AD169" i="1" s="1"/>
  <c r="K169" i="1"/>
  <c r="BM168" i="1"/>
  <c r="BG168" i="1"/>
  <c r="BB168" i="1"/>
  <c r="AW168" i="1"/>
  <c r="AP168" i="1"/>
  <c r="AQ168" i="1" s="1"/>
  <c r="AS168" i="1" s="1"/>
  <c r="AU168" i="1" s="1"/>
  <c r="AC168" i="1"/>
  <c r="AB168" i="1"/>
  <c r="AA168" i="1"/>
  <c r="AD168" i="1" s="1"/>
  <c r="K168" i="1"/>
  <c r="BM167" i="1"/>
  <c r="BJ167" i="1"/>
  <c r="BC167" i="1"/>
  <c r="BK167" i="1" s="1"/>
  <c r="BB167" i="1"/>
  <c r="AW167" i="1"/>
  <c r="AU167" i="1"/>
  <c r="AQ167" i="1"/>
  <c r="AS167" i="1" s="1"/>
  <c r="AP167" i="1"/>
  <c r="AE167" i="1"/>
  <c r="AC167" i="1"/>
  <c r="AB167" i="1"/>
  <c r="BG167" i="1" s="1"/>
  <c r="AA167" i="1"/>
  <c r="AD167" i="1" s="1"/>
  <c r="AX167" i="1" s="1"/>
  <c r="K167" i="1"/>
  <c r="BM166" i="1"/>
  <c r="BB166" i="1"/>
  <c r="AX166" i="1"/>
  <c r="AW166" i="1"/>
  <c r="AQ166" i="1"/>
  <c r="AS166" i="1" s="1"/>
  <c r="AU166" i="1" s="1"/>
  <c r="AD166" i="1"/>
  <c r="AB166" i="1"/>
  <c r="AA166" i="1"/>
  <c r="K166" i="1"/>
  <c r="BM165" i="1"/>
  <c r="BB165" i="1"/>
  <c r="AW165" i="1"/>
  <c r="AX165" i="1" s="1"/>
  <c r="AS165" i="1"/>
  <c r="AU165" i="1" s="1"/>
  <c r="AP165" i="1"/>
  <c r="AQ165" i="1" s="1"/>
  <c r="AD165" i="1"/>
  <c r="AB165" i="1"/>
  <c r="AA165" i="1"/>
  <c r="K165" i="1"/>
  <c r="BM164" i="1"/>
  <c r="BB164" i="1"/>
  <c r="AW164" i="1"/>
  <c r="AX164" i="1" s="1"/>
  <c r="AS164" i="1"/>
  <c r="AU164" i="1" s="1"/>
  <c r="AP164" i="1"/>
  <c r="AQ164" i="1" s="1"/>
  <c r="AD164" i="1"/>
  <c r="AB164" i="1"/>
  <c r="AA164" i="1"/>
  <c r="K164" i="1"/>
  <c r="BM163" i="1"/>
  <c r="BG163" i="1"/>
  <c r="BJ163" i="1" s="1"/>
  <c r="BB163" i="1"/>
  <c r="AW163" i="1"/>
  <c r="AS163" i="1"/>
  <c r="AU163" i="1" s="1"/>
  <c r="AQ163" i="1"/>
  <c r="AF163" i="1"/>
  <c r="AD163" i="1"/>
  <c r="AB163" i="1"/>
  <c r="AA163" i="1"/>
  <c r="K163" i="1"/>
  <c r="BM162" i="1"/>
  <c r="BG162" i="1"/>
  <c r="BJ162" i="1" s="1"/>
  <c r="BB162" i="1"/>
  <c r="AW162" i="1"/>
  <c r="AP162" i="1"/>
  <c r="AQ162" i="1" s="1"/>
  <c r="AS162" i="1" s="1"/>
  <c r="AU162" i="1" s="1"/>
  <c r="AC162" i="1"/>
  <c r="AB162" i="1"/>
  <c r="AA162" i="1"/>
  <c r="AD162" i="1" s="1"/>
  <c r="K162" i="1"/>
  <c r="BM161" i="1"/>
  <c r="BC161" i="1"/>
  <c r="BB161" i="1"/>
  <c r="AW161" i="1"/>
  <c r="AU161" i="1"/>
  <c r="AQ161" i="1"/>
  <c r="AS161" i="1" s="1"/>
  <c r="AC161" i="1"/>
  <c r="AB161" i="1"/>
  <c r="BG161" i="1" s="1"/>
  <c r="BJ161" i="1" s="1"/>
  <c r="AA161" i="1"/>
  <c r="AD161" i="1" s="1"/>
  <c r="AF161" i="1" s="1"/>
  <c r="K161" i="1"/>
  <c r="BM160" i="1"/>
  <c r="BB160" i="1"/>
  <c r="AX160" i="1"/>
  <c r="AW160" i="1"/>
  <c r="AU160" i="1"/>
  <c r="AQ160" i="1"/>
  <c r="AS160" i="1" s="1"/>
  <c r="AP160" i="1"/>
  <c r="AF160" i="1"/>
  <c r="AD160" i="1"/>
  <c r="AB160" i="1"/>
  <c r="AA160" i="1"/>
  <c r="K160" i="1"/>
  <c r="BM159" i="1"/>
  <c r="BB159" i="1"/>
  <c r="AW159" i="1"/>
  <c r="AU159" i="1"/>
  <c r="AQ159" i="1"/>
  <c r="AS159" i="1" s="1"/>
  <c r="AP159" i="1"/>
  <c r="AD159" i="1"/>
  <c r="AB159" i="1"/>
  <c r="AA159" i="1"/>
  <c r="K159" i="1"/>
  <c r="BM158" i="1"/>
  <c r="BB158" i="1"/>
  <c r="AW158" i="1"/>
  <c r="AX158" i="1" s="1"/>
  <c r="AS158" i="1"/>
  <c r="AU158" i="1" s="1"/>
  <c r="AP158" i="1"/>
  <c r="AQ158" i="1" s="1"/>
  <c r="AD158" i="1"/>
  <c r="AB158" i="1"/>
  <c r="AA158" i="1"/>
  <c r="K158" i="1"/>
  <c r="BM157" i="1"/>
  <c r="BH157" i="1"/>
  <c r="BB157" i="1"/>
  <c r="AX157" i="1"/>
  <c r="AW157" i="1"/>
  <c r="AQ157" i="1"/>
  <c r="AS157" i="1" s="1"/>
  <c r="AU157" i="1" s="1"/>
  <c r="AP157" i="1"/>
  <c r="AF157" i="1"/>
  <c r="AD157" i="1"/>
  <c r="BG157" i="1" s="1"/>
  <c r="AB157" i="1"/>
  <c r="AA157" i="1"/>
  <c r="K157" i="1"/>
  <c r="BM156" i="1"/>
  <c r="BB156" i="1"/>
  <c r="AW156" i="1"/>
  <c r="AP156" i="1"/>
  <c r="AQ156" i="1" s="1"/>
  <c r="AS156" i="1" s="1"/>
  <c r="AU156" i="1" s="1"/>
  <c r="AC156" i="1"/>
  <c r="AB156" i="1"/>
  <c r="AA156" i="1"/>
  <c r="AD156" i="1" s="1"/>
  <c r="K156" i="1"/>
  <c r="BM155" i="1"/>
  <c r="BJ155" i="1"/>
  <c r="BC155" i="1"/>
  <c r="BK155" i="1" s="1"/>
  <c r="BB155" i="1"/>
  <c r="AW155" i="1"/>
  <c r="AU155" i="1"/>
  <c r="AQ155" i="1"/>
  <c r="AS155" i="1" s="1"/>
  <c r="AP155" i="1"/>
  <c r="AE155" i="1"/>
  <c r="AC155" i="1"/>
  <c r="AB155" i="1"/>
  <c r="BG155" i="1" s="1"/>
  <c r="AA155" i="1"/>
  <c r="AD155" i="1" s="1"/>
  <c r="AX155" i="1" s="1"/>
  <c r="K155" i="1"/>
  <c r="BM154" i="1"/>
  <c r="BB154" i="1"/>
  <c r="AW154" i="1"/>
  <c r="AX154" i="1" s="1"/>
  <c r="AS154" i="1"/>
  <c r="AU154" i="1" s="1"/>
  <c r="AP154" i="1"/>
  <c r="AQ154" i="1" s="1"/>
  <c r="AD154" i="1"/>
  <c r="AB154" i="1"/>
  <c r="AA154" i="1"/>
  <c r="K154" i="1"/>
  <c r="BM153" i="1"/>
  <c r="BG153" i="1"/>
  <c r="BJ153" i="1" s="1"/>
  <c r="BB153" i="1"/>
  <c r="AW153" i="1"/>
  <c r="AX153" i="1" s="1"/>
  <c r="AS153" i="1"/>
  <c r="AU153" i="1" s="1"/>
  <c r="AP153" i="1"/>
  <c r="AQ153" i="1" s="1"/>
  <c r="AC153" i="1"/>
  <c r="AB153" i="1"/>
  <c r="AA153" i="1"/>
  <c r="AD153" i="1" s="1"/>
  <c r="AE153" i="1" s="1"/>
  <c r="K153" i="1"/>
  <c r="BM152" i="1"/>
  <c r="BJ152" i="1"/>
  <c r="BB152" i="1"/>
  <c r="AW152" i="1"/>
  <c r="AU152" i="1"/>
  <c r="AQ152" i="1"/>
  <c r="AS152" i="1" s="1"/>
  <c r="AP152" i="1"/>
  <c r="AF152" i="1"/>
  <c r="AD152" i="1"/>
  <c r="BG152" i="1" s="1"/>
  <c r="AB152" i="1"/>
  <c r="AA152" i="1"/>
  <c r="K152" i="1"/>
  <c r="BM151" i="1"/>
  <c r="BG151" i="1"/>
  <c r="BJ151" i="1" s="1"/>
  <c r="BB151" i="1"/>
  <c r="AW151" i="1"/>
  <c r="AS151" i="1"/>
  <c r="AU151" i="1" s="1"/>
  <c r="AQ151" i="1"/>
  <c r="AE151" i="1"/>
  <c r="AC151" i="1"/>
  <c r="AB151" i="1"/>
  <c r="AA151" i="1"/>
  <c r="AD151" i="1" s="1"/>
  <c r="K151" i="1"/>
  <c r="BM150" i="1"/>
  <c r="BB150" i="1"/>
  <c r="AW150" i="1"/>
  <c r="AQ150" i="1"/>
  <c r="AS150" i="1" s="1"/>
  <c r="AU150" i="1" s="1"/>
  <c r="AP150" i="1"/>
  <c r="AC150" i="1"/>
  <c r="AB150" i="1"/>
  <c r="BG150" i="1" s="1"/>
  <c r="BJ150" i="1" s="1"/>
  <c r="AA150" i="1"/>
  <c r="AD150" i="1" s="1"/>
  <c r="AX150" i="1" s="1"/>
  <c r="K150" i="1"/>
  <c r="BM149" i="1"/>
  <c r="BB149" i="1"/>
  <c r="AW149" i="1"/>
  <c r="AU149" i="1"/>
  <c r="AQ149" i="1"/>
  <c r="AS149" i="1" s="1"/>
  <c r="AD149" i="1"/>
  <c r="BC149" i="1" s="1"/>
  <c r="AB149" i="1"/>
  <c r="AA149" i="1"/>
  <c r="K149" i="1"/>
  <c r="BM148" i="1"/>
  <c r="BB148" i="1"/>
  <c r="AW148" i="1"/>
  <c r="AX148" i="1" s="1"/>
  <c r="AS148" i="1"/>
  <c r="AU148" i="1" s="1"/>
  <c r="AP148" i="1"/>
  <c r="AQ148" i="1" s="1"/>
  <c r="AD148" i="1"/>
  <c r="AB148" i="1"/>
  <c r="AA148" i="1"/>
  <c r="K148" i="1"/>
  <c r="BM147" i="1"/>
  <c r="BG147" i="1"/>
  <c r="BJ147" i="1" s="1"/>
  <c r="BB147" i="1"/>
  <c r="AW147" i="1"/>
  <c r="AS147" i="1"/>
  <c r="AU147" i="1" s="1"/>
  <c r="AQ147" i="1"/>
  <c r="AC147" i="1"/>
  <c r="AB147" i="1"/>
  <c r="AA147" i="1"/>
  <c r="AD147" i="1" s="1"/>
  <c r="K147" i="1"/>
  <c r="BM146" i="1"/>
  <c r="BC146" i="1"/>
  <c r="BB146" i="1"/>
  <c r="AW146" i="1"/>
  <c r="AU146" i="1"/>
  <c r="AQ146" i="1"/>
  <c r="AS146" i="1" s="1"/>
  <c r="AP146" i="1"/>
  <c r="AE146" i="1"/>
  <c r="AC146" i="1"/>
  <c r="AB146" i="1"/>
  <c r="BG146" i="1" s="1"/>
  <c r="BJ146" i="1" s="1"/>
  <c r="AA146" i="1"/>
  <c r="AD146" i="1" s="1"/>
  <c r="AX146" i="1" s="1"/>
  <c r="K146" i="1"/>
  <c r="BM145" i="1"/>
  <c r="BB145" i="1"/>
  <c r="AX145" i="1"/>
  <c r="AW145" i="1"/>
  <c r="AQ145" i="1"/>
  <c r="AS145" i="1" s="1"/>
  <c r="AU145" i="1" s="1"/>
  <c r="AD145" i="1"/>
  <c r="BC145" i="1" s="1"/>
  <c r="AB145" i="1"/>
  <c r="AA145" i="1"/>
  <c r="K145" i="1"/>
  <c r="BM144" i="1"/>
  <c r="BB144" i="1"/>
  <c r="AW144" i="1"/>
  <c r="AX144" i="1" s="1"/>
  <c r="AS144" i="1"/>
  <c r="AU144" i="1" s="1"/>
  <c r="AP144" i="1"/>
  <c r="AQ144" i="1" s="1"/>
  <c r="AD144" i="1"/>
  <c r="AC144" i="1"/>
  <c r="AB144" i="1"/>
  <c r="AE144" i="1" s="1"/>
  <c r="AA144" i="1"/>
  <c r="K144" i="1"/>
  <c r="BM143" i="1"/>
  <c r="BB143" i="1"/>
  <c r="AW143" i="1"/>
  <c r="AU143" i="1"/>
  <c r="AS143" i="1"/>
  <c r="AQ143" i="1"/>
  <c r="AB143" i="1"/>
  <c r="AC143" i="1" s="1"/>
  <c r="AA143" i="1"/>
  <c r="AD143" i="1" s="1"/>
  <c r="AF143" i="1" s="1"/>
  <c r="K143" i="1"/>
  <c r="BM142" i="1"/>
  <c r="BJ142" i="1"/>
  <c r="BG142" i="1"/>
  <c r="BB142" i="1"/>
  <c r="AW142" i="1"/>
  <c r="AQ142" i="1"/>
  <c r="AS142" i="1" s="1"/>
  <c r="AU142" i="1" s="1"/>
  <c r="AP142" i="1"/>
  <c r="AD142" i="1"/>
  <c r="AC142" i="1"/>
  <c r="AB142" i="1"/>
  <c r="AA142" i="1"/>
  <c r="K142" i="1"/>
  <c r="BM141" i="1"/>
  <c r="BB141" i="1"/>
  <c r="AW141" i="1"/>
  <c r="AX141" i="1" s="1"/>
  <c r="AP141" i="1"/>
  <c r="AQ141" i="1" s="1"/>
  <c r="AS141" i="1" s="1"/>
  <c r="AU141" i="1" s="1"/>
  <c r="AB141" i="1"/>
  <c r="AA141" i="1"/>
  <c r="AD141" i="1" s="1"/>
  <c r="K141" i="1"/>
  <c r="BM140" i="1"/>
  <c r="BB140" i="1"/>
  <c r="AW140" i="1"/>
  <c r="AS140" i="1"/>
  <c r="AU140" i="1" s="1"/>
  <c r="AQ140" i="1"/>
  <c r="AP140" i="1"/>
  <c r="AD140" i="1"/>
  <c r="AC140" i="1"/>
  <c r="AB140" i="1"/>
  <c r="BG140" i="1" s="1"/>
  <c r="BJ140" i="1" s="1"/>
  <c r="AA140" i="1"/>
  <c r="K140" i="1"/>
  <c r="BM139" i="1"/>
  <c r="BJ139" i="1"/>
  <c r="BB139" i="1"/>
  <c r="AW139" i="1"/>
  <c r="AU139" i="1"/>
  <c r="AP139" i="1"/>
  <c r="AQ139" i="1" s="1"/>
  <c r="AS139" i="1" s="1"/>
  <c r="AB139" i="1"/>
  <c r="AC139" i="1" s="1"/>
  <c r="AA139" i="1"/>
  <c r="AD139" i="1" s="1"/>
  <c r="BC139" i="1" s="1"/>
  <c r="BK139" i="1" s="1"/>
  <c r="K139" i="1"/>
  <c r="BM138" i="1"/>
  <c r="BJ138" i="1"/>
  <c r="BG138" i="1"/>
  <c r="BB138" i="1"/>
  <c r="AR138" i="1"/>
  <c r="AQ138" i="1"/>
  <c r="AP138" i="1"/>
  <c r="AB138" i="1"/>
  <c r="AC138" i="1" s="1"/>
  <c r="AA138" i="1"/>
  <c r="AD138" i="1" s="1"/>
  <c r="K138" i="1"/>
  <c r="BM137" i="1"/>
  <c r="BJ137" i="1"/>
  <c r="BG137" i="1"/>
  <c r="BB137" i="1"/>
  <c r="AW137" i="1"/>
  <c r="AQ137" i="1"/>
  <c r="AS137" i="1" s="1"/>
  <c r="AU137" i="1" s="1"/>
  <c r="AP137" i="1"/>
  <c r="AD137" i="1"/>
  <c r="AC137" i="1"/>
  <c r="AB137" i="1"/>
  <c r="AA137" i="1"/>
  <c r="K137" i="1"/>
  <c r="BM136" i="1"/>
  <c r="BG136" i="1"/>
  <c r="BJ136" i="1" s="1"/>
  <c r="BB136" i="1"/>
  <c r="AW136" i="1"/>
  <c r="AX136" i="1" s="1"/>
  <c r="AP136" i="1"/>
  <c r="AQ136" i="1" s="1"/>
  <c r="AS136" i="1" s="1"/>
  <c r="AU136" i="1" s="1"/>
  <c r="AF136" i="1"/>
  <c r="BC136" i="1" s="1"/>
  <c r="BK136" i="1" s="1"/>
  <c r="AD136" i="1"/>
  <c r="AC136" i="1"/>
  <c r="AB136" i="1"/>
  <c r="AE136" i="1" s="1"/>
  <c r="AA136" i="1"/>
  <c r="K136" i="1"/>
  <c r="BM135" i="1"/>
  <c r="BB135" i="1"/>
  <c r="AW135" i="1"/>
  <c r="AU135" i="1"/>
  <c r="AP135" i="1"/>
  <c r="AQ135" i="1" s="1"/>
  <c r="AS135" i="1" s="1"/>
  <c r="AE135" i="1"/>
  <c r="AB135" i="1"/>
  <c r="AC135" i="1" s="1"/>
  <c r="AA135" i="1"/>
  <c r="AD135" i="1" s="1"/>
  <c r="BC135" i="1" s="1"/>
  <c r="K135" i="1"/>
  <c r="BM134" i="1"/>
  <c r="BB134" i="1"/>
  <c r="AR134" i="1"/>
  <c r="AQ134" i="1"/>
  <c r="AP134" i="1"/>
  <c r="AD134" i="1"/>
  <c r="AC134" i="1"/>
  <c r="AB134" i="1"/>
  <c r="AA134" i="1"/>
  <c r="K134" i="1"/>
  <c r="BM133" i="1"/>
  <c r="BB133" i="1"/>
  <c r="AW133" i="1"/>
  <c r="AQ133" i="1"/>
  <c r="AS133" i="1" s="1"/>
  <c r="AU133" i="1" s="1"/>
  <c r="AP133" i="1"/>
  <c r="AD133" i="1"/>
  <c r="AC133" i="1"/>
  <c r="AB133" i="1"/>
  <c r="AA133" i="1"/>
  <c r="K133" i="1"/>
  <c r="BM132" i="1"/>
  <c r="BG132" i="1"/>
  <c r="BJ132" i="1" s="1"/>
  <c r="BB132" i="1"/>
  <c r="AW132" i="1"/>
  <c r="AX132" i="1" s="1"/>
  <c r="AP132" i="1"/>
  <c r="AQ132" i="1" s="1"/>
  <c r="AS132" i="1" s="1"/>
  <c r="AU132" i="1" s="1"/>
  <c r="AF132" i="1"/>
  <c r="AD132" i="1"/>
  <c r="AC132" i="1"/>
  <c r="AB132" i="1"/>
  <c r="AE132" i="1" s="1"/>
  <c r="AA132" i="1"/>
  <c r="K132" i="1"/>
  <c r="BM131" i="1"/>
  <c r="BC131" i="1"/>
  <c r="BB131" i="1"/>
  <c r="AW131" i="1"/>
  <c r="AX131" i="1" s="1"/>
  <c r="AP131" i="1"/>
  <c r="AQ131" i="1" s="1"/>
  <c r="AS131" i="1" s="1"/>
  <c r="AU131" i="1" s="1"/>
  <c r="AB131" i="1"/>
  <c r="AC131" i="1" s="1"/>
  <c r="AA131" i="1"/>
  <c r="AD131" i="1" s="1"/>
  <c r="AE131" i="1" s="1"/>
  <c r="K131" i="1"/>
  <c r="BM130" i="1"/>
  <c r="BB130" i="1"/>
  <c r="AX130" i="1"/>
  <c r="AW130" i="1"/>
  <c r="AQ130" i="1"/>
  <c r="AS130" i="1" s="1"/>
  <c r="AU130" i="1" s="1"/>
  <c r="AP130" i="1"/>
  <c r="AD130" i="1"/>
  <c r="BC130" i="1" s="1"/>
  <c r="AC130" i="1"/>
  <c r="AB130" i="1"/>
  <c r="BG130" i="1" s="1"/>
  <c r="BJ130" i="1" s="1"/>
  <c r="AA130" i="1"/>
  <c r="K130" i="1"/>
  <c r="BM129" i="1"/>
  <c r="BC129" i="1"/>
  <c r="BK129" i="1" s="1"/>
  <c r="BB129" i="1"/>
  <c r="AW129" i="1"/>
  <c r="AX129" i="1" s="1"/>
  <c r="AP129" i="1"/>
  <c r="AQ129" i="1" s="1"/>
  <c r="AS129" i="1" s="1"/>
  <c r="AU129" i="1" s="1"/>
  <c r="AF129" i="1"/>
  <c r="AB129" i="1"/>
  <c r="AA129" i="1"/>
  <c r="AD129" i="1" s="1"/>
  <c r="BG129" i="1" s="1"/>
  <c r="BJ129" i="1" s="1"/>
  <c r="K129" i="1"/>
  <c r="BM128" i="1"/>
  <c r="BB128" i="1"/>
  <c r="AW128" i="1"/>
  <c r="AS128" i="1"/>
  <c r="AU128" i="1" s="1"/>
  <c r="AQ128" i="1"/>
  <c r="AP128" i="1"/>
  <c r="AD128" i="1"/>
  <c r="AC128" i="1"/>
  <c r="AB128" i="1"/>
  <c r="BG128" i="1" s="1"/>
  <c r="BJ128" i="1" s="1"/>
  <c r="AA128" i="1"/>
  <c r="K128" i="1"/>
  <c r="BM127" i="1"/>
  <c r="BG127" i="1"/>
  <c r="BJ127" i="1" s="1"/>
  <c r="BB127" i="1"/>
  <c r="AW127" i="1"/>
  <c r="AX127" i="1" s="1"/>
  <c r="AP127" i="1"/>
  <c r="AQ127" i="1" s="1"/>
  <c r="AS127" i="1" s="1"/>
  <c r="AU127" i="1" s="1"/>
  <c r="AF127" i="1"/>
  <c r="BC127" i="1" s="1"/>
  <c r="BK127" i="1" s="1"/>
  <c r="AD127" i="1"/>
  <c r="AC127" i="1"/>
  <c r="AB127" i="1"/>
  <c r="AE127" i="1" s="1"/>
  <c r="AA127" i="1"/>
  <c r="K127" i="1"/>
  <c r="BM126" i="1"/>
  <c r="BB126" i="1"/>
  <c r="AW126" i="1"/>
  <c r="AU126" i="1"/>
  <c r="AP126" i="1"/>
  <c r="AQ126" i="1" s="1"/>
  <c r="AS126" i="1" s="1"/>
  <c r="AE126" i="1"/>
  <c r="AB126" i="1"/>
  <c r="AC126" i="1" s="1"/>
  <c r="AA126" i="1"/>
  <c r="AD126" i="1" s="1"/>
  <c r="BC126" i="1" s="1"/>
  <c r="K126" i="1"/>
  <c r="BM125" i="1"/>
  <c r="BB125" i="1"/>
  <c r="AW125" i="1"/>
  <c r="AS125" i="1"/>
  <c r="AU125" i="1" s="1"/>
  <c r="AQ125" i="1"/>
  <c r="AD125" i="1"/>
  <c r="AC125" i="1"/>
  <c r="AB125" i="1"/>
  <c r="AA125" i="1"/>
  <c r="K125" i="1"/>
  <c r="BM124" i="1"/>
  <c r="BH124" i="1"/>
  <c r="BB124" i="1"/>
  <c r="AW124" i="1"/>
  <c r="AQ124" i="1"/>
  <c r="AS124" i="1" s="1"/>
  <c r="AU124" i="1" s="1"/>
  <c r="AP124" i="1"/>
  <c r="AD124" i="1"/>
  <c r="AC124" i="1"/>
  <c r="AB124" i="1"/>
  <c r="AA124" i="1"/>
  <c r="K124" i="1"/>
  <c r="BM123" i="1"/>
  <c r="BB123" i="1"/>
  <c r="AW123" i="1"/>
  <c r="AX123" i="1" s="1"/>
  <c r="AP123" i="1"/>
  <c r="AQ123" i="1" s="1"/>
  <c r="AS123" i="1" s="1"/>
  <c r="AU123" i="1" s="1"/>
  <c r="AB123" i="1"/>
  <c r="AA123" i="1"/>
  <c r="AD123" i="1" s="1"/>
  <c r="K123" i="1"/>
  <c r="BM122" i="1"/>
  <c r="BB122" i="1"/>
  <c r="AW122" i="1"/>
  <c r="AS122" i="1"/>
  <c r="AU122" i="1" s="1"/>
  <c r="AQ122" i="1"/>
  <c r="AP122" i="1"/>
  <c r="AB122" i="1"/>
  <c r="BG122" i="1" s="1"/>
  <c r="BJ122" i="1" s="1"/>
  <c r="AA122" i="1"/>
  <c r="AD122" i="1" s="1"/>
  <c r="K122" i="1"/>
  <c r="BM121" i="1"/>
  <c r="BB121" i="1"/>
  <c r="AW121" i="1"/>
  <c r="AS121" i="1"/>
  <c r="AU121" i="1" s="1"/>
  <c r="AQ121" i="1"/>
  <c r="AP121" i="1"/>
  <c r="AB121" i="1"/>
  <c r="AC121" i="1" s="1"/>
  <c r="AA121" i="1"/>
  <c r="AD121" i="1" s="1"/>
  <c r="K121" i="1"/>
  <c r="BM120" i="1"/>
  <c r="BB120" i="1"/>
  <c r="AW120" i="1"/>
  <c r="AS120" i="1"/>
  <c r="AU120" i="1" s="1"/>
  <c r="AQ120" i="1"/>
  <c r="AP120" i="1"/>
  <c r="AE120" i="1"/>
  <c r="AB120" i="1"/>
  <c r="AC120" i="1" s="1"/>
  <c r="AA120" i="1"/>
  <c r="AD120" i="1" s="1"/>
  <c r="K120" i="1"/>
  <c r="BM119" i="1"/>
  <c r="BB119" i="1"/>
  <c r="AW119" i="1"/>
  <c r="AQ119" i="1"/>
  <c r="AS119" i="1" s="1"/>
  <c r="AU119" i="1" s="1"/>
  <c r="AB119" i="1"/>
  <c r="AA119" i="1"/>
  <c r="AD119" i="1" s="1"/>
  <c r="BC119" i="1" s="1"/>
  <c r="K119" i="1"/>
  <c r="BM118" i="1"/>
  <c r="BB118" i="1"/>
  <c r="AW118" i="1"/>
  <c r="AS118" i="1"/>
  <c r="AU118" i="1" s="1"/>
  <c r="AQ118" i="1"/>
  <c r="AP118" i="1"/>
  <c r="AD118" i="1"/>
  <c r="AC118" i="1"/>
  <c r="AB118" i="1"/>
  <c r="BG118" i="1" s="1"/>
  <c r="BJ118" i="1" s="1"/>
  <c r="AA118" i="1"/>
  <c r="K118" i="1"/>
  <c r="BM117" i="1"/>
  <c r="BB117" i="1"/>
  <c r="AX117" i="1"/>
  <c r="AW117" i="1"/>
  <c r="AQ117" i="1"/>
  <c r="AS117" i="1" s="1"/>
  <c r="AU117" i="1" s="1"/>
  <c r="AP117" i="1"/>
  <c r="AD117" i="1"/>
  <c r="AC117" i="1"/>
  <c r="AB117" i="1"/>
  <c r="AA117" i="1"/>
  <c r="K117" i="1"/>
  <c r="BM116" i="1"/>
  <c r="BB116" i="1"/>
  <c r="AR116" i="1"/>
  <c r="AQ116" i="1"/>
  <c r="AP116" i="1"/>
  <c r="AE116" i="1"/>
  <c r="AB116" i="1"/>
  <c r="AC116" i="1" s="1"/>
  <c r="AA116" i="1"/>
  <c r="AD116" i="1" s="1"/>
  <c r="K116" i="1"/>
  <c r="BM115" i="1"/>
  <c r="BB115" i="1"/>
  <c r="AW115" i="1"/>
  <c r="AQ115" i="1"/>
  <c r="AS115" i="1" s="1"/>
  <c r="AU115" i="1" s="1"/>
  <c r="AB115" i="1"/>
  <c r="AA115" i="1"/>
  <c r="AD115" i="1" s="1"/>
  <c r="BC115" i="1" s="1"/>
  <c r="K115" i="1"/>
  <c r="BM114" i="1"/>
  <c r="BB114" i="1"/>
  <c r="AW114" i="1"/>
  <c r="AS114" i="1"/>
  <c r="AU114" i="1" s="1"/>
  <c r="AQ114" i="1"/>
  <c r="AP114" i="1"/>
  <c r="AD114" i="1"/>
  <c r="AC114" i="1"/>
  <c r="AB114" i="1"/>
  <c r="BG114" i="1" s="1"/>
  <c r="BJ114" i="1" s="1"/>
  <c r="AA114" i="1"/>
  <c r="K114" i="1"/>
  <c r="BM113" i="1"/>
  <c r="BB113" i="1"/>
  <c r="AW113" i="1"/>
  <c r="AQ113" i="1"/>
  <c r="AS113" i="1" s="1"/>
  <c r="AU113" i="1" s="1"/>
  <c r="AP113" i="1"/>
  <c r="AD113" i="1"/>
  <c r="AX113" i="1" s="1"/>
  <c r="AC113" i="1"/>
  <c r="AB113" i="1"/>
  <c r="AA113" i="1"/>
  <c r="K113" i="1"/>
  <c r="BM112" i="1"/>
  <c r="BB112" i="1"/>
  <c r="AW112" i="1"/>
  <c r="AX112" i="1" s="1"/>
  <c r="AQ112" i="1"/>
  <c r="AS112" i="1" s="1"/>
  <c r="AU112" i="1" s="1"/>
  <c r="AB112" i="1"/>
  <c r="AA112" i="1"/>
  <c r="AD112" i="1" s="1"/>
  <c r="BG112" i="1" s="1"/>
  <c r="BJ112" i="1" s="1"/>
  <c r="K112" i="1"/>
  <c r="BM111" i="1"/>
  <c r="BB111" i="1"/>
  <c r="AW111" i="1"/>
  <c r="AS111" i="1"/>
  <c r="AU111" i="1" s="1"/>
  <c r="AQ111" i="1"/>
  <c r="AP111" i="1"/>
  <c r="AB111" i="1"/>
  <c r="AC111" i="1" s="1"/>
  <c r="AA111" i="1"/>
  <c r="AD111" i="1" s="1"/>
  <c r="K111" i="1"/>
  <c r="BM110" i="1"/>
  <c r="BB110" i="1"/>
  <c r="AW110" i="1"/>
  <c r="AS110" i="1"/>
  <c r="AU110" i="1" s="1"/>
  <c r="AQ110" i="1"/>
  <c r="AP110" i="1"/>
  <c r="AE110" i="1"/>
  <c r="AB110" i="1"/>
  <c r="AC110" i="1" s="1"/>
  <c r="AA110" i="1"/>
  <c r="AD110" i="1" s="1"/>
  <c r="K110" i="1"/>
  <c r="BM109" i="1"/>
  <c r="BB109" i="1"/>
  <c r="AX109" i="1"/>
  <c r="AW109" i="1"/>
  <c r="AQ109" i="1"/>
  <c r="AS109" i="1" s="1"/>
  <c r="AU109" i="1" s="1"/>
  <c r="AP109" i="1"/>
  <c r="AD109" i="1"/>
  <c r="BC109" i="1" s="1"/>
  <c r="AC109" i="1"/>
  <c r="AB109" i="1"/>
  <c r="BG109" i="1" s="1"/>
  <c r="BJ109" i="1" s="1"/>
  <c r="AA109" i="1"/>
  <c r="K109" i="1"/>
  <c r="BM108" i="1"/>
  <c r="BG108" i="1"/>
  <c r="BB108" i="1"/>
  <c r="AW108" i="1"/>
  <c r="AQ108" i="1"/>
  <c r="AS108" i="1" s="1"/>
  <c r="AU108" i="1" s="1"/>
  <c r="AB108" i="1"/>
  <c r="AC108" i="1" s="1"/>
  <c r="AA108" i="1"/>
  <c r="AD108" i="1" s="1"/>
  <c r="BC108" i="1" s="1"/>
  <c r="K108" i="1"/>
  <c r="BM107" i="1"/>
  <c r="BJ107" i="1"/>
  <c r="BH107" i="1"/>
  <c r="BB107" i="1"/>
  <c r="AW107" i="1"/>
  <c r="AS107" i="1"/>
  <c r="AU107" i="1" s="1"/>
  <c r="AQ107" i="1"/>
  <c r="AP107" i="1"/>
  <c r="AD107" i="1"/>
  <c r="AC107" i="1"/>
  <c r="AB107" i="1"/>
  <c r="BG107" i="1" s="1"/>
  <c r="AA107" i="1"/>
  <c r="K107" i="1"/>
  <c r="BM106" i="1"/>
  <c r="BG106" i="1"/>
  <c r="BJ106" i="1" s="1"/>
  <c r="BB106" i="1"/>
  <c r="AW106" i="1"/>
  <c r="AX106" i="1" s="1"/>
  <c r="AP106" i="1"/>
  <c r="AQ106" i="1" s="1"/>
  <c r="AS106" i="1" s="1"/>
  <c r="AU106" i="1" s="1"/>
  <c r="AF106" i="1"/>
  <c r="BC106" i="1" s="1"/>
  <c r="BK106" i="1" s="1"/>
  <c r="AD106" i="1"/>
  <c r="AC106" i="1"/>
  <c r="AB106" i="1"/>
  <c r="AE106" i="1" s="1"/>
  <c r="AA106" i="1"/>
  <c r="K106" i="1"/>
  <c r="BM105" i="1"/>
  <c r="BC105" i="1"/>
  <c r="BB105" i="1"/>
  <c r="AW105" i="1"/>
  <c r="AX105" i="1" s="1"/>
  <c r="AP105" i="1"/>
  <c r="AQ105" i="1" s="1"/>
  <c r="AS105" i="1" s="1"/>
  <c r="AU105" i="1" s="1"/>
  <c r="AF105" i="1"/>
  <c r="AB105" i="1"/>
  <c r="AA105" i="1"/>
  <c r="AD105" i="1" s="1"/>
  <c r="K105" i="1"/>
  <c r="BM104" i="1"/>
  <c r="BB104" i="1"/>
  <c r="AW104" i="1"/>
  <c r="AS104" i="1"/>
  <c r="AU104" i="1" s="1"/>
  <c r="AQ104" i="1"/>
  <c r="AP104" i="1"/>
  <c r="AD104" i="1"/>
  <c r="AC104" i="1"/>
  <c r="AB104" i="1"/>
  <c r="AA104" i="1"/>
  <c r="K104" i="1"/>
  <c r="BM103" i="1"/>
  <c r="BH103" i="1"/>
  <c r="BB103" i="1"/>
  <c r="AW103" i="1"/>
  <c r="AQ103" i="1"/>
  <c r="AS103" i="1" s="1"/>
  <c r="AU103" i="1" s="1"/>
  <c r="AP103" i="1"/>
  <c r="AD103" i="1"/>
  <c r="AC103" i="1"/>
  <c r="AB103" i="1"/>
  <c r="AA103" i="1"/>
  <c r="K103" i="1"/>
  <c r="BM102" i="1"/>
  <c r="BG102" i="1"/>
  <c r="BJ102" i="1" s="1"/>
  <c r="BB102" i="1"/>
  <c r="AW102" i="1"/>
  <c r="AQ102" i="1"/>
  <c r="AS102" i="1" s="1"/>
  <c r="AU102" i="1" s="1"/>
  <c r="AE102" i="1"/>
  <c r="AB102" i="1"/>
  <c r="AC102" i="1" s="1"/>
  <c r="AA102" i="1"/>
  <c r="AD102" i="1" s="1"/>
  <c r="BC102" i="1" s="1"/>
  <c r="K102" i="1"/>
  <c r="BM101" i="1"/>
  <c r="BB101" i="1"/>
  <c r="AX101" i="1"/>
  <c r="AW101" i="1"/>
  <c r="AQ101" i="1"/>
  <c r="AS101" i="1" s="1"/>
  <c r="AU101" i="1" s="1"/>
  <c r="AP101" i="1"/>
  <c r="AD101" i="1"/>
  <c r="BC101" i="1" s="1"/>
  <c r="AC101" i="1"/>
  <c r="AB101" i="1"/>
  <c r="BG101" i="1" s="1"/>
  <c r="BJ101" i="1" s="1"/>
  <c r="AA101" i="1"/>
  <c r="K101" i="1"/>
  <c r="BM100" i="1"/>
  <c r="BB100" i="1"/>
  <c r="AW100" i="1"/>
  <c r="AU100" i="1"/>
  <c r="AP100" i="1"/>
  <c r="AQ100" i="1" s="1"/>
  <c r="AS100" i="1" s="1"/>
  <c r="AB100" i="1"/>
  <c r="AA100" i="1"/>
  <c r="AD100" i="1" s="1"/>
  <c r="BG100" i="1" s="1"/>
  <c r="BJ100" i="1" s="1"/>
  <c r="K100" i="1"/>
  <c r="BM99" i="1"/>
  <c r="BB99" i="1"/>
  <c r="AW99" i="1"/>
  <c r="AS99" i="1"/>
  <c r="AU99" i="1" s="1"/>
  <c r="AQ99" i="1"/>
  <c r="AP99" i="1"/>
  <c r="AB99" i="1"/>
  <c r="BG99" i="1" s="1"/>
  <c r="BJ99" i="1" s="1"/>
  <c r="AA99" i="1"/>
  <c r="AD99" i="1" s="1"/>
  <c r="K99" i="1"/>
  <c r="BM98" i="1"/>
  <c r="BB98" i="1"/>
  <c r="AX98" i="1"/>
  <c r="AW98" i="1"/>
  <c r="AQ98" i="1"/>
  <c r="AS98" i="1" s="1"/>
  <c r="AU98" i="1" s="1"/>
  <c r="AP98" i="1"/>
  <c r="AD98" i="1"/>
  <c r="BC98" i="1" s="1"/>
  <c r="AC98" i="1"/>
  <c r="AB98" i="1"/>
  <c r="BG98" i="1" s="1"/>
  <c r="BJ98" i="1" s="1"/>
  <c r="AA98" i="1"/>
  <c r="K98" i="1"/>
  <c r="BM97" i="1"/>
  <c r="BG97" i="1"/>
  <c r="BJ97" i="1" s="1"/>
  <c r="BB97" i="1"/>
  <c r="AW97" i="1"/>
  <c r="AX97" i="1" s="1"/>
  <c r="AP97" i="1"/>
  <c r="AQ97" i="1" s="1"/>
  <c r="AS97" i="1" s="1"/>
  <c r="AU97" i="1" s="1"/>
  <c r="AF97" i="1"/>
  <c r="AD97" i="1"/>
  <c r="BH97" i="1" s="1"/>
  <c r="AC97" i="1"/>
  <c r="AB97" i="1"/>
  <c r="AE97" i="1" s="1"/>
  <c r="AA97" i="1"/>
  <c r="K97" i="1"/>
  <c r="BM96" i="1"/>
  <c r="BB96" i="1"/>
  <c r="AW96" i="1"/>
  <c r="AU96" i="1"/>
  <c r="AP96" i="1"/>
  <c r="AQ96" i="1" s="1"/>
  <c r="AS96" i="1" s="1"/>
  <c r="AB96" i="1"/>
  <c r="AC96" i="1" s="1"/>
  <c r="AA96" i="1"/>
  <c r="AD96" i="1" s="1"/>
  <c r="BC96" i="1" s="1"/>
  <c r="K96" i="1"/>
  <c r="BM95" i="1"/>
  <c r="BB95" i="1"/>
  <c r="AW95" i="1"/>
  <c r="AS95" i="1"/>
  <c r="AU95" i="1" s="1"/>
  <c r="AQ95" i="1"/>
  <c r="AP95" i="1"/>
  <c r="AB95" i="1"/>
  <c r="AC95" i="1" s="1"/>
  <c r="AA95" i="1"/>
  <c r="AD95" i="1" s="1"/>
  <c r="K95" i="1"/>
  <c r="BM94" i="1"/>
  <c r="BJ94" i="1"/>
  <c r="BG94" i="1"/>
  <c r="BB94" i="1"/>
  <c r="AW94" i="1"/>
  <c r="AQ94" i="1"/>
  <c r="AS94" i="1" s="1"/>
  <c r="AU94" i="1" s="1"/>
  <c r="AP94" i="1"/>
  <c r="AD94" i="1"/>
  <c r="AC94" i="1"/>
  <c r="AB94" i="1"/>
  <c r="AA94" i="1"/>
  <c r="K94" i="1"/>
  <c r="BM93" i="1"/>
  <c r="BG93" i="1"/>
  <c r="BJ93" i="1" s="1"/>
  <c r="BB93" i="1"/>
  <c r="AW93" i="1"/>
  <c r="AX93" i="1" s="1"/>
  <c r="AP93" i="1"/>
  <c r="AQ93" i="1" s="1"/>
  <c r="AS93" i="1" s="1"/>
  <c r="AU93" i="1" s="1"/>
  <c r="AF93" i="1"/>
  <c r="BC93" i="1" s="1"/>
  <c r="BK93" i="1" s="1"/>
  <c r="AD93" i="1"/>
  <c r="AC93" i="1"/>
  <c r="AB93" i="1"/>
  <c r="AE93" i="1" s="1"/>
  <c r="AA93" i="1"/>
  <c r="K93" i="1"/>
  <c r="BM92" i="1"/>
  <c r="BC92" i="1"/>
  <c r="BB92" i="1"/>
  <c r="AW92" i="1"/>
  <c r="AX92" i="1" s="1"/>
  <c r="AP92" i="1"/>
  <c r="AQ92" i="1" s="1"/>
  <c r="AS92" i="1" s="1"/>
  <c r="AU92" i="1" s="1"/>
  <c r="AE92" i="1"/>
  <c r="AB92" i="1"/>
  <c r="AC92" i="1" s="1"/>
  <c r="AA92" i="1"/>
  <c r="AD92" i="1" s="1"/>
  <c r="K92" i="1"/>
  <c r="BM91" i="1"/>
  <c r="BJ91" i="1"/>
  <c r="BG91" i="1"/>
  <c r="BB91" i="1"/>
  <c r="AW91" i="1"/>
  <c r="AQ91" i="1"/>
  <c r="AS91" i="1" s="1"/>
  <c r="AU91" i="1" s="1"/>
  <c r="AP91" i="1"/>
  <c r="AD91" i="1"/>
  <c r="AC91" i="1"/>
  <c r="AB91" i="1"/>
  <c r="AA91" i="1"/>
  <c r="K91" i="1"/>
  <c r="BM90" i="1"/>
  <c r="BG90" i="1"/>
  <c r="BJ90" i="1" s="1"/>
  <c r="BB90" i="1"/>
  <c r="AW90" i="1"/>
  <c r="AX90" i="1" s="1"/>
  <c r="AP90" i="1"/>
  <c r="AQ90" i="1" s="1"/>
  <c r="AS90" i="1" s="1"/>
  <c r="AU90" i="1" s="1"/>
  <c r="AF90" i="1"/>
  <c r="AD90" i="1"/>
  <c r="AC90" i="1"/>
  <c r="AB90" i="1"/>
  <c r="AE90" i="1" s="1"/>
  <c r="AA90" i="1"/>
  <c r="K90" i="1"/>
  <c r="BM89" i="1"/>
  <c r="BG89" i="1"/>
  <c r="BJ89" i="1" s="1"/>
  <c r="BB89" i="1"/>
  <c r="AW89" i="1"/>
  <c r="AX89" i="1" s="1"/>
  <c r="AP89" i="1"/>
  <c r="AQ89" i="1" s="1"/>
  <c r="AS89" i="1" s="1"/>
  <c r="AU89" i="1" s="1"/>
  <c r="AF89" i="1"/>
  <c r="BC89" i="1" s="1"/>
  <c r="BK89" i="1" s="1"/>
  <c r="AD89" i="1"/>
  <c r="BH89" i="1" s="1"/>
  <c r="AC89" i="1"/>
  <c r="AB89" i="1"/>
  <c r="AE89" i="1" s="1"/>
  <c r="AA89" i="1"/>
  <c r="K89" i="1"/>
  <c r="BM88" i="1"/>
  <c r="BG88" i="1"/>
  <c r="BB88" i="1"/>
  <c r="AW88" i="1"/>
  <c r="AQ88" i="1"/>
  <c r="AS88" i="1" s="1"/>
  <c r="AU88" i="1" s="1"/>
  <c r="AF88" i="1"/>
  <c r="AB88" i="1"/>
  <c r="AA88" i="1"/>
  <c r="AD88" i="1" s="1"/>
  <c r="K88" i="1"/>
  <c r="BM87" i="1"/>
  <c r="BC87" i="1"/>
  <c r="BB87" i="1"/>
  <c r="AW87" i="1"/>
  <c r="AX87" i="1" s="1"/>
  <c r="AU87" i="1"/>
  <c r="AR87" i="1"/>
  <c r="AP87" i="1"/>
  <c r="AQ87" i="1" s="1"/>
  <c r="AS87" i="1" s="1"/>
  <c r="AF87" i="1"/>
  <c r="AD87" i="1"/>
  <c r="BH87" i="1" s="1"/>
  <c r="AC87" i="1"/>
  <c r="AB87" i="1"/>
  <c r="AE87" i="1" s="1"/>
  <c r="AA87" i="1"/>
  <c r="K87" i="1"/>
  <c r="BM86" i="1"/>
  <c r="BG86" i="1"/>
  <c r="BJ86" i="1" s="1"/>
  <c r="BC86" i="1"/>
  <c r="BB86" i="1"/>
  <c r="AW86" i="1"/>
  <c r="AU86" i="1"/>
  <c r="AS86" i="1"/>
  <c r="AQ86" i="1"/>
  <c r="AD86" i="1"/>
  <c r="AE86" i="1" s="1"/>
  <c r="AC86" i="1"/>
  <c r="AB86" i="1"/>
  <c r="AA86" i="1"/>
  <c r="K86" i="1"/>
  <c r="BM85" i="1"/>
  <c r="BB85" i="1"/>
  <c r="AW85" i="1"/>
  <c r="AP85" i="1"/>
  <c r="AQ85" i="1" s="1"/>
  <c r="AS85" i="1" s="1"/>
  <c r="AU85" i="1" s="1"/>
  <c r="AB85" i="1"/>
  <c r="AA85" i="1"/>
  <c r="AD85" i="1" s="1"/>
  <c r="BC85" i="1" s="1"/>
  <c r="K85" i="1"/>
  <c r="BM84" i="1"/>
  <c r="BB84" i="1"/>
  <c r="AW84" i="1"/>
  <c r="AS84" i="1"/>
  <c r="AU84" i="1" s="1"/>
  <c r="AQ84" i="1"/>
  <c r="AP84" i="1"/>
  <c r="AB84" i="1"/>
  <c r="AC84" i="1" s="1"/>
  <c r="AA84" i="1"/>
  <c r="AD84" i="1" s="1"/>
  <c r="K84" i="1"/>
  <c r="BM83" i="1"/>
  <c r="BB83" i="1"/>
  <c r="AX83" i="1"/>
  <c r="AW83" i="1"/>
  <c r="AQ83" i="1"/>
  <c r="AS83" i="1" s="1"/>
  <c r="AU83" i="1" s="1"/>
  <c r="AP83" i="1"/>
  <c r="AD83" i="1"/>
  <c r="BC83" i="1" s="1"/>
  <c r="AC83" i="1"/>
  <c r="AB83" i="1"/>
  <c r="BG83" i="1" s="1"/>
  <c r="BJ83" i="1" s="1"/>
  <c r="AA83" i="1"/>
  <c r="K83" i="1"/>
  <c r="BM82" i="1"/>
  <c r="BC82" i="1"/>
  <c r="BB82" i="1"/>
  <c r="AW82" i="1"/>
  <c r="AX82" i="1" s="1"/>
  <c r="AP82" i="1"/>
  <c r="AQ82" i="1" s="1"/>
  <c r="AS82" i="1" s="1"/>
  <c r="AU82" i="1" s="1"/>
  <c r="AF82" i="1"/>
  <c r="AB82" i="1"/>
  <c r="AA82" i="1"/>
  <c r="AD82" i="1" s="1"/>
  <c r="K82" i="1"/>
  <c r="BM81" i="1"/>
  <c r="BB81" i="1"/>
  <c r="AW81" i="1"/>
  <c r="AU81" i="1"/>
  <c r="AP81" i="1"/>
  <c r="AQ81" i="1" s="1"/>
  <c r="AS81" i="1" s="1"/>
  <c r="AB81" i="1"/>
  <c r="BH81" i="1" s="1"/>
  <c r="AA81" i="1"/>
  <c r="AD81" i="1" s="1"/>
  <c r="BC81" i="1" s="1"/>
  <c r="K81" i="1"/>
  <c r="BM80" i="1"/>
  <c r="BB80" i="1"/>
  <c r="AW80" i="1"/>
  <c r="AQ80" i="1"/>
  <c r="AS80" i="1" s="1"/>
  <c r="AU80" i="1" s="1"/>
  <c r="AP80" i="1"/>
  <c r="AD80" i="1"/>
  <c r="AC80" i="1"/>
  <c r="AB80" i="1"/>
  <c r="AA80" i="1"/>
  <c r="K80" i="1"/>
  <c r="BM79" i="1"/>
  <c r="BH79" i="1"/>
  <c r="BB79" i="1"/>
  <c r="AW79" i="1"/>
  <c r="AQ79" i="1"/>
  <c r="AS79" i="1" s="1"/>
  <c r="AU79" i="1" s="1"/>
  <c r="AP79" i="1"/>
  <c r="AD79" i="1"/>
  <c r="AC79" i="1"/>
  <c r="AB79" i="1"/>
  <c r="AA79" i="1"/>
  <c r="K79" i="1"/>
  <c r="BM78" i="1"/>
  <c r="BH78" i="1"/>
  <c r="BB78" i="1"/>
  <c r="AW78" i="1"/>
  <c r="AQ78" i="1"/>
  <c r="AS78" i="1" s="1"/>
  <c r="AU78" i="1" s="1"/>
  <c r="AP78" i="1"/>
  <c r="AD78" i="1"/>
  <c r="AC78" i="1"/>
  <c r="AB78" i="1"/>
  <c r="AA78" i="1"/>
  <c r="K78" i="1"/>
  <c r="BM77" i="1"/>
  <c r="BG77" i="1"/>
  <c r="BJ77" i="1" s="1"/>
  <c r="BB77" i="1"/>
  <c r="AW77" i="1"/>
  <c r="AQ77" i="1"/>
  <c r="AS77" i="1" s="1"/>
  <c r="AU77" i="1" s="1"/>
  <c r="AE77" i="1"/>
  <c r="AB77" i="1"/>
  <c r="AC77" i="1" s="1"/>
  <c r="AA77" i="1"/>
  <c r="AD77" i="1" s="1"/>
  <c r="BC77" i="1" s="1"/>
  <c r="K77" i="1"/>
  <c r="BM76" i="1"/>
  <c r="BB76" i="1"/>
  <c r="AX76" i="1"/>
  <c r="AW76" i="1"/>
  <c r="AQ76" i="1"/>
  <c r="AS76" i="1" s="1"/>
  <c r="AU76" i="1" s="1"/>
  <c r="AP76" i="1"/>
  <c r="AD76" i="1"/>
  <c r="BC76" i="1" s="1"/>
  <c r="AC76" i="1"/>
  <c r="AB76" i="1"/>
  <c r="BG76" i="1" s="1"/>
  <c r="BJ76" i="1" s="1"/>
  <c r="AA76" i="1"/>
  <c r="K76" i="1"/>
  <c r="BM75" i="1"/>
  <c r="BC75" i="1"/>
  <c r="BB75" i="1"/>
  <c r="AW75" i="1"/>
  <c r="AX75" i="1" s="1"/>
  <c r="AP75" i="1"/>
  <c r="AQ75" i="1" s="1"/>
  <c r="AS75" i="1" s="1"/>
  <c r="AU75" i="1" s="1"/>
  <c r="AB75" i="1"/>
  <c r="AC75" i="1" s="1"/>
  <c r="AA75" i="1"/>
  <c r="AD75" i="1" s="1"/>
  <c r="AE75" i="1" s="1"/>
  <c r="K75" i="1"/>
  <c r="BM74" i="1"/>
  <c r="BJ74" i="1"/>
  <c r="BB74" i="1"/>
  <c r="AW74" i="1"/>
  <c r="AX74" i="1" s="1"/>
  <c r="AP74" i="1"/>
  <c r="AQ74" i="1" s="1"/>
  <c r="AS74" i="1" s="1"/>
  <c r="AU74" i="1" s="1"/>
  <c r="AB74" i="1"/>
  <c r="AA74" i="1"/>
  <c r="AD74" i="1" s="1"/>
  <c r="K74" i="1"/>
  <c r="BM73" i="1"/>
  <c r="BB73" i="1"/>
  <c r="AW73" i="1"/>
  <c r="AQ73" i="1"/>
  <c r="AS73" i="1" s="1"/>
  <c r="AU73" i="1" s="1"/>
  <c r="AP73" i="1"/>
  <c r="AD73" i="1"/>
  <c r="AC73" i="1"/>
  <c r="AB73" i="1"/>
  <c r="BG73" i="1" s="1"/>
  <c r="BJ73" i="1" s="1"/>
  <c r="AA73" i="1"/>
  <c r="K73" i="1"/>
  <c r="BM72" i="1"/>
  <c r="BH72" i="1"/>
  <c r="BG72" i="1"/>
  <c r="BB72" i="1"/>
  <c r="AW72" i="1"/>
  <c r="AX72" i="1" s="1"/>
  <c r="AP72" i="1"/>
  <c r="AQ72" i="1" s="1"/>
  <c r="AS72" i="1" s="1"/>
  <c r="AU72" i="1" s="1"/>
  <c r="AD72" i="1"/>
  <c r="AC72" i="1"/>
  <c r="AB72" i="1"/>
  <c r="AA72" i="1"/>
  <c r="K72" i="1"/>
  <c r="BM71" i="1"/>
  <c r="BC71" i="1"/>
  <c r="BB71" i="1"/>
  <c r="AW71" i="1"/>
  <c r="AX71" i="1" s="1"/>
  <c r="AP71" i="1"/>
  <c r="AQ71" i="1" s="1"/>
  <c r="AS71" i="1" s="1"/>
  <c r="AU71" i="1" s="1"/>
  <c r="AB71" i="1"/>
  <c r="AC71" i="1" s="1"/>
  <c r="AA71" i="1"/>
  <c r="AD71" i="1" s="1"/>
  <c r="K71" i="1"/>
  <c r="BM70" i="1"/>
  <c r="BB70" i="1"/>
  <c r="AW70" i="1"/>
  <c r="AQ70" i="1"/>
  <c r="AS70" i="1" s="1"/>
  <c r="AU70" i="1" s="1"/>
  <c r="AP70" i="1"/>
  <c r="AD70" i="1"/>
  <c r="AC70" i="1"/>
  <c r="AB70" i="1"/>
  <c r="BG70" i="1" s="1"/>
  <c r="BJ70" i="1" s="1"/>
  <c r="AA70" i="1"/>
  <c r="K70" i="1"/>
  <c r="BM69" i="1"/>
  <c r="BG69" i="1"/>
  <c r="BJ69" i="1" s="1"/>
  <c r="BB69" i="1"/>
  <c r="AW69" i="1"/>
  <c r="AX69" i="1" s="1"/>
  <c r="AU69" i="1"/>
  <c r="AP69" i="1"/>
  <c r="AQ69" i="1" s="1"/>
  <c r="AS69" i="1" s="1"/>
  <c r="AF69" i="1"/>
  <c r="BC69" i="1" s="1"/>
  <c r="BK69" i="1" s="1"/>
  <c r="AD69" i="1"/>
  <c r="AC69" i="1"/>
  <c r="AB69" i="1"/>
  <c r="AE69" i="1" s="1"/>
  <c r="AA69" i="1"/>
  <c r="K69" i="1"/>
  <c r="BM68" i="1"/>
  <c r="BB68" i="1"/>
  <c r="AW68" i="1"/>
  <c r="AS68" i="1"/>
  <c r="AU68" i="1" s="1"/>
  <c r="AP68" i="1"/>
  <c r="AQ68" i="1" s="1"/>
  <c r="AB68" i="1"/>
  <c r="AC68" i="1" s="1"/>
  <c r="AA68" i="1"/>
  <c r="AD68" i="1" s="1"/>
  <c r="K68" i="1"/>
  <c r="BM67" i="1"/>
  <c r="BB67" i="1"/>
  <c r="AW67" i="1"/>
  <c r="AX67" i="1" s="1"/>
  <c r="AP67" i="1"/>
  <c r="AQ67" i="1" s="1"/>
  <c r="AS67" i="1" s="1"/>
  <c r="AU67" i="1" s="1"/>
  <c r="AD67" i="1"/>
  <c r="AC67" i="1"/>
  <c r="AB67" i="1"/>
  <c r="AE67" i="1" s="1"/>
  <c r="AA67" i="1"/>
  <c r="K67" i="1"/>
  <c r="BM66" i="1"/>
  <c r="BC66" i="1"/>
  <c r="BB66" i="1"/>
  <c r="AW66" i="1"/>
  <c r="AX66" i="1" s="1"/>
  <c r="AS66" i="1"/>
  <c r="AU66" i="1" s="1"/>
  <c r="AP66" i="1"/>
  <c r="AQ66" i="1" s="1"/>
  <c r="AE66" i="1"/>
  <c r="AD66" i="1"/>
  <c r="AB66" i="1"/>
  <c r="AC66" i="1" s="1"/>
  <c r="AA66" i="1"/>
  <c r="K66" i="1"/>
  <c r="BM65" i="1"/>
  <c r="BB65" i="1"/>
  <c r="AW65" i="1"/>
  <c r="AX65" i="1" s="1"/>
  <c r="AQ65" i="1"/>
  <c r="AS65" i="1" s="1"/>
  <c r="AU65" i="1" s="1"/>
  <c r="AB65" i="1"/>
  <c r="AC65" i="1" s="1"/>
  <c r="AA65" i="1"/>
  <c r="AD65" i="1" s="1"/>
  <c r="BC65" i="1" s="1"/>
  <c r="K65" i="1"/>
  <c r="BM64" i="1"/>
  <c r="BJ64" i="1"/>
  <c r="BB64" i="1"/>
  <c r="AX64" i="1"/>
  <c r="AW64" i="1"/>
  <c r="AS64" i="1"/>
  <c r="AU64" i="1" s="1"/>
  <c r="AQ64" i="1"/>
  <c r="AP64" i="1"/>
  <c r="AD64" i="1"/>
  <c r="AC64" i="1"/>
  <c r="AB64" i="1"/>
  <c r="BG64" i="1" s="1"/>
  <c r="AA64" i="1"/>
  <c r="K64" i="1"/>
  <c r="BM63" i="1"/>
  <c r="BG63" i="1"/>
  <c r="BJ63" i="1" s="1"/>
  <c r="BB63" i="1"/>
  <c r="AW63" i="1"/>
  <c r="AQ63" i="1"/>
  <c r="AS63" i="1" s="1"/>
  <c r="AU63" i="1" s="1"/>
  <c r="AD63" i="1"/>
  <c r="BC63" i="1" s="1"/>
  <c r="BK63" i="1" s="1"/>
  <c r="AB63" i="1"/>
  <c r="AC63" i="1" s="1"/>
  <c r="AA63" i="1"/>
  <c r="K63" i="1"/>
  <c r="BM62" i="1"/>
  <c r="BB62" i="1"/>
  <c r="AX62" i="1"/>
  <c r="AW62" i="1"/>
  <c r="AQ62" i="1"/>
  <c r="AS62" i="1" s="1"/>
  <c r="AU62" i="1" s="1"/>
  <c r="AP62" i="1"/>
  <c r="AD62" i="1"/>
  <c r="BC62" i="1" s="1"/>
  <c r="AB62" i="1"/>
  <c r="AE62" i="1" s="1"/>
  <c r="AA62" i="1"/>
  <c r="K62" i="1"/>
  <c r="BM61" i="1"/>
  <c r="BB61" i="1"/>
  <c r="AW61" i="1"/>
  <c r="AQ61" i="1"/>
  <c r="AS61" i="1" s="1"/>
  <c r="AU61" i="1" s="1"/>
  <c r="AB61" i="1"/>
  <c r="AC61" i="1" s="1"/>
  <c r="AA61" i="1"/>
  <c r="AD61" i="1" s="1"/>
  <c r="BH61" i="1" s="1"/>
  <c r="K61" i="1"/>
  <c r="BM60" i="1"/>
  <c r="BB60" i="1"/>
  <c r="AW60" i="1"/>
  <c r="AP60" i="1"/>
  <c r="AQ60" i="1" s="1"/>
  <c r="AS60" i="1" s="1"/>
  <c r="AU60" i="1" s="1"/>
  <c r="AE60" i="1"/>
  <c r="AB60" i="1"/>
  <c r="AC60" i="1" s="1"/>
  <c r="AA60" i="1"/>
  <c r="AD60" i="1" s="1"/>
  <c r="K60" i="1"/>
  <c r="BM59" i="1"/>
  <c r="BB59" i="1"/>
  <c r="AW59" i="1"/>
  <c r="AQ59" i="1"/>
  <c r="AS59" i="1" s="1"/>
  <c r="AU59" i="1" s="1"/>
  <c r="AP59" i="1"/>
  <c r="AC59" i="1"/>
  <c r="AB59" i="1"/>
  <c r="AA59" i="1"/>
  <c r="AD59" i="1" s="1"/>
  <c r="K59" i="1"/>
  <c r="BM58" i="1"/>
  <c r="BG58" i="1"/>
  <c r="BJ58" i="1" s="1"/>
  <c r="BB58" i="1"/>
  <c r="AW58" i="1"/>
  <c r="AX58" i="1" s="1"/>
  <c r="AQ58" i="1"/>
  <c r="AS58" i="1" s="1"/>
  <c r="AU58" i="1" s="1"/>
  <c r="AP58" i="1"/>
  <c r="AE58" i="1"/>
  <c r="AB58" i="1"/>
  <c r="AC58" i="1" s="1"/>
  <c r="AA58" i="1"/>
  <c r="AD58" i="1" s="1"/>
  <c r="BC58" i="1" s="1"/>
  <c r="BK58" i="1" s="1"/>
  <c r="K58" i="1"/>
  <c r="BM57" i="1"/>
  <c r="BB57" i="1"/>
  <c r="AW57" i="1"/>
  <c r="AQ57" i="1"/>
  <c r="AS57" i="1" s="1"/>
  <c r="AU57" i="1" s="1"/>
  <c r="AP57" i="1"/>
  <c r="AC57" i="1"/>
  <c r="AB57" i="1"/>
  <c r="BG57" i="1" s="1"/>
  <c r="BJ57" i="1" s="1"/>
  <c r="AA57" i="1"/>
  <c r="AD57" i="1" s="1"/>
  <c r="K57" i="1"/>
  <c r="BM56" i="1"/>
  <c r="BB56" i="1"/>
  <c r="AW56" i="1"/>
  <c r="AQ56" i="1"/>
  <c r="AS56" i="1" s="1"/>
  <c r="AU56" i="1" s="1"/>
  <c r="AP56" i="1"/>
  <c r="AC56" i="1"/>
  <c r="AB56" i="1"/>
  <c r="AA56" i="1"/>
  <c r="AD56" i="1" s="1"/>
  <c r="K56" i="1"/>
  <c r="BM55" i="1"/>
  <c r="BG55" i="1"/>
  <c r="BJ55" i="1" s="1"/>
  <c r="BB55" i="1"/>
  <c r="AW55" i="1"/>
  <c r="AQ55" i="1"/>
  <c r="AS55" i="1" s="1"/>
  <c r="AU55" i="1" s="1"/>
  <c r="AP55" i="1"/>
  <c r="AC55" i="1"/>
  <c r="AB55" i="1"/>
  <c r="AA55" i="1"/>
  <c r="AD55" i="1" s="1"/>
  <c r="K55" i="1"/>
  <c r="BM54" i="1"/>
  <c r="BB54" i="1"/>
  <c r="AW54" i="1"/>
  <c r="AQ54" i="1"/>
  <c r="AS54" i="1" s="1"/>
  <c r="AU54" i="1" s="1"/>
  <c r="AP54" i="1"/>
  <c r="AC54" i="1"/>
  <c r="AB54" i="1"/>
  <c r="BG54" i="1" s="1"/>
  <c r="BJ54" i="1" s="1"/>
  <c r="AA54" i="1"/>
  <c r="AD54" i="1" s="1"/>
  <c r="K54" i="1"/>
  <c r="BM53" i="1"/>
  <c r="BB53" i="1"/>
  <c r="AW53" i="1"/>
  <c r="AP53" i="1"/>
  <c r="AQ53" i="1" s="1"/>
  <c r="AS53" i="1" s="1"/>
  <c r="AU53" i="1" s="1"/>
  <c r="AC53" i="1"/>
  <c r="AB53" i="1"/>
  <c r="AA53" i="1"/>
  <c r="AD53" i="1" s="1"/>
  <c r="K53" i="1"/>
  <c r="BM52" i="1"/>
  <c r="BJ52" i="1"/>
  <c r="BB52" i="1"/>
  <c r="AW52" i="1"/>
  <c r="AX52" i="1" s="1"/>
  <c r="AP52" i="1"/>
  <c r="AQ52" i="1" s="1"/>
  <c r="AS52" i="1" s="1"/>
  <c r="AU52" i="1" s="1"/>
  <c r="AD52" i="1"/>
  <c r="BC52" i="1" s="1"/>
  <c r="BK52" i="1" s="1"/>
  <c r="AB52" i="1"/>
  <c r="AC52" i="1" s="1"/>
  <c r="AA52" i="1"/>
  <c r="K52" i="1"/>
  <c r="BM51" i="1"/>
  <c r="BG51" i="1"/>
  <c r="BJ51" i="1" s="1"/>
  <c r="BB51" i="1"/>
  <c r="AW51" i="1"/>
  <c r="AP51" i="1"/>
  <c r="AQ51" i="1" s="1"/>
  <c r="AS51" i="1" s="1"/>
  <c r="AU51" i="1" s="1"/>
  <c r="AC51" i="1"/>
  <c r="AB51" i="1"/>
  <c r="AA51" i="1"/>
  <c r="AD51" i="1" s="1"/>
  <c r="K51" i="1"/>
  <c r="BM50" i="1"/>
  <c r="BB50" i="1"/>
  <c r="AW50" i="1"/>
  <c r="AQ50" i="1"/>
  <c r="AS50" i="1" s="1"/>
  <c r="AU50" i="1" s="1"/>
  <c r="AP50" i="1"/>
  <c r="AF50" i="1"/>
  <c r="BC50" i="1" s="1"/>
  <c r="AD50" i="1"/>
  <c r="AX50" i="1" s="1"/>
  <c r="AB50" i="1"/>
  <c r="AE50" i="1" s="1"/>
  <c r="AA50" i="1"/>
  <c r="K50" i="1"/>
  <c r="BM49" i="1"/>
  <c r="BB49" i="1"/>
  <c r="AW49" i="1"/>
  <c r="AX49" i="1" s="1"/>
  <c r="AP49" i="1"/>
  <c r="AQ49" i="1" s="1"/>
  <c r="AS49" i="1" s="1"/>
  <c r="AU49" i="1" s="1"/>
  <c r="AD49" i="1"/>
  <c r="BC49" i="1" s="1"/>
  <c r="AB49" i="1"/>
  <c r="AC49" i="1" s="1"/>
  <c r="AA49" i="1"/>
  <c r="K49" i="1"/>
  <c r="BM48" i="1"/>
  <c r="BB48" i="1"/>
  <c r="AW48" i="1"/>
  <c r="AX48" i="1" s="1"/>
  <c r="AP48" i="1"/>
  <c r="AQ48" i="1" s="1"/>
  <c r="AS48" i="1" s="1"/>
  <c r="AU48" i="1" s="1"/>
  <c r="AD48" i="1"/>
  <c r="BC48" i="1" s="1"/>
  <c r="AB48" i="1"/>
  <c r="AE48" i="1" s="1"/>
  <c r="AA48" i="1"/>
  <c r="K48" i="1"/>
  <c r="BM47" i="1"/>
  <c r="BB47" i="1"/>
  <c r="AW47" i="1"/>
  <c r="AX47" i="1" s="1"/>
  <c r="AS47" i="1"/>
  <c r="AU47" i="1" s="1"/>
  <c r="AQ47" i="1"/>
  <c r="AD47" i="1"/>
  <c r="AF47" i="1" s="1"/>
  <c r="AB47" i="1"/>
  <c r="AC47" i="1" s="1"/>
  <c r="AA47" i="1"/>
  <c r="K47" i="1"/>
  <c r="BM46" i="1"/>
  <c r="BG46" i="1"/>
  <c r="BJ46" i="1" s="1"/>
  <c r="BB46" i="1"/>
  <c r="AW46" i="1"/>
  <c r="AP46" i="1"/>
  <c r="AQ46" i="1" s="1"/>
  <c r="AS46" i="1" s="1"/>
  <c r="AU46" i="1" s="1"/>
  <c r="AC46" i="1"/>
  <c r="AB46" i="1"/>
  <c r="AA46" i="1"/>
  <c r="AD46" i="1" s="1"/>
  <c r="K46" i="1"/>
  <c r="BM45" i="1"/>
  <c r="BB45" i="1"/>
  <c r="AW45" i="1"/>
  <c r="AQ45" i="1"/>
  <c r="AS45" i="1" s="1"/>
  <c r="AU45" i="1" s="1"/>
  <c r="AP45" i="1"/>
  <c r="AC45" i="1"/>
  <c r="AB45" i="1"/>
  <c r="AA45" i="1"/>
  <c r="AD45" i="1" s="1"/>
  <c r="K45" i="1"/>
  <c r="BM44" i="1"/>
  <c r="BB44" i="1"/>
  <c r="AW44" i="1"/>
  <c r="AP44" i="1"/>
  <c r="AQ44" i="1" s="1"/>
  <c r="AS44" i="1" s="1"/>
  <c r="AU44" i="1" s="1"/>
  <c r="AC44" i="1"/>
  <c r="AB44" i="1"/>
  <c r="AA44" i="1"/>
  <c r="AD44" i="1" s="1"/>
  <c r="K44" i="1"/>
  <c r="BM43" i="1"/>
  <c r="BB43" i="1"/>
  <c r="AW43" i="1"/>
  <c r="AX43" i="1" s="1"/>
  <c r="AS43" i="1"/>
  <c r="AU43" i="1" s="1"/>
  <c r="AR43" i="1"/>
  <c r="AQ43" i="1"/>
  <c r="AP43" i="1"/>
  <c r="AF43" i="1"/>
  <c r="AD43" i="1"/>
  <c r="BH43" i="1" s="1"/>
  <c r="AB43" i="1"/>
  <c r="AE43" i="1" s="1"/>
  <c r="AA43" i="1"/>
  <c r="K43" i="1"/>
  <c r="BM42" i="1"/>
  <c r="BB42" i="1"/>
  <c r="AW42" i="1"/>
  <c r="AQ42" i="1"/>
  <c r="AS42" i="1" s="1"/>
  <c r="AU42" i="1" s="1"/>
  <c r="AP42" i="1"/>
  <c r="AF42" i="1"/>
  <c r="BC42" i="1" s="1"/>
  <c r="AD42" i="1"/>
  <c r="BH42" i="1" s="1"/>
  <c r="AB42" i="1"/>
  <c r="AE42" i="1" s="1"/>
  <c r="AA42" i="1"/>
  <c r="K42" i="1"/>
  <c r="BM41" i="1"/>
  <c r="BB41" i="1"/>
  <c r="AW41" i="1"/>
  <c r="AX41" i="1" s="1"/>
  <c r="AP41" i="1"/>
  <c r="AQ41" i="1" s="1"/>
  <c r="AS41" i="1" s="1"/>
  <c r="AU41" i="1" s="1"/>
  <c r="AD41" i="1"/>
  <c r="BC41" i="1" s="1"/>
  <c r="AB41" i="1"/>
  <c r="AC41" i="1" s="1"/>
  <c r="AA41" i="1"/>
  <c r="K41" i="1"/>
  <c r="BM40" i="1"/>
  <c r="BG40" i="1"/>
  <c r="BJ40" i="1" s="1"/>
  <c r="BB40" i="1"/>
  <c r="AW40" i="1"/>
  <c r="AS40" i="1"/>
  <c r="AU40" i="1" s="1"/>
  <c r="AQ40" i="1"/>
  <c r="AC40" i="1"/>
  <c r="AB40" i="1"/>
  <c r="AA40" i="1"/>
  <c r="AD40" i="1" s="1"/>
  <c r="K40" i="1"/>
  <c r="BM39" i="1"/>
  <c r="BB39" i="1"/>
  <c r="AW39" i="1"/>
  <c r="AQ39" i="1"/>
  <c r="AS39" i="1" s="1"/>
  <c r="AU39" i="1" s="1"/>
  <c r="AP39" i="1"/>
  <c r="AC39" i="1"/>
  <c r="AB39" i="1"/>
  <c r="BG39" i="1" s="1"/>
  <c r="BJ39" i="1" s="1"/>
  <c r="AA39" i="1"/>
  <c r="AD39" i="1" s="1"/>
  <c r="K39" i="1"/>
  <c r="BM38" i="1"/>
  <c r="BB38" i="1"/>
  <c r="AW38" i="1"/>
  <c r="AQ38" i="1"/>
  <c r="AS38" i="1" s="1"/>
  <c r="AU38" i="1" s="1"/>
  <c r="AC38" i="1"/>
  <c r="AB38" i="1"/>
  <c r="BG38" i="1" s="1"/>
  <c r="BJ38" i="1" s="1"/>
  <c r="AA38" i="1"/>
  <c r="AD38" i="1" s="1"/>
  <c r="K38" i="1"/>
  <c r="BM37" i="1"/>
  <c r="BB37" i="1"/>
  <c r="AW37" i="1"/>
  <c r="AQ37" i="1"/>
  <c r="AS37" i="1" s="1"/>
  <c r="AU37" i="1" s="1"/>
  <c r="AP37" i="1"/>
  <c r="AD37" i="1"/>
  <c r="AB37" i="1"/>
  <c r="BG37" i="1" s="1"/>
  <c r="BJ37" i="1" s="1"/>
  <c r="AA37" i="1"/>
  <c r="K37" i="1"/>
  <c r="BM36" i="1"/>
  <c r="BB36" i="1"/>
  <c r="AW36" i="1"/>
  <c r="AP36" i="1"/>
  <c r="AQ36" i="1" s="1"/>
  <c r="AS36" i="1" s="1"/>
  <c r="AU36" i="1" s="1"/>
  <c r="AC36" i="1"/>
  <c r="AB36" i="1"/>
  <c r="AA36" i="1"/>
  <c r="AD36" i="1" s="1"/>
  <c r="K36" i="1"/>
  <c r="BM35" i="1"/>
  <c r="BB35" i="1"/>
  <c r="AW35" i="1"/>
  <c r="AQ35" i="1"/>
  <c r="AS35" i="1" s="1"/>
  <c r="AU35" i="1" s="1"/>
  <c r="AD35" i="1"/>
  <c r="BC35" i="1" s="1"/>
  <c r="AB35" i="1"/>
  <c r="AC35" i="1" s="1"/>
  <c r="AA35" i="1"/>
  <c r="K35" i="1"/>
  <c r="BM34" i="1"/>
  <c r="BB34" i="1"/>
  <c r="AW34" i="1"/>
  <c r="AX34" i="1" s="1"/>
  <c r="AP34" i="1"/>
  <c r="AQ34" i="1" s="1"/>
  <c r="AS34" i="1" s="1"/>
  <c r="AU34" i="1" s="1"/>
  <c r="AD34" i="1"/>
  <c r="BC34" i="1" s="1"/>
  <c r="AB34" i="1"/>
  <c r="AE34" i="1" s="1"/>
  <c r="AA34" i="1"/>
  <c r="K34" i="1"/>
  <c r="BM33" i="1"/>
  <c r="BC33" i="1"/>
  <c r="BB33" i="1"/>
  <c r="AW33" i="1"/>
  <c r="AQ33" i="1"/>
  <c r="AS33" i="1" s="1"/>
  <c r="AU33" i="1" s="1"/>
  <c r="AP33" i="1"/>
  <c r="AF33" i="1"/>
  <c r="AD33" i="1"/>
  <c r="BH33" i="1" s="1"/>
  <c r="AB33" i="1"/>
  <c r="AE33" i="1" s="1"/>
  <c r="AA33" i="1"/>
  <c r="K33" i="1"/>
  <c r="BM32" i="1"/>
  <c r="BB32" i="1"/>
  <c r="AW32" i="1"/>
  <c r="AX32" i="1" s="1"/>
  <c r="AP32" i="1"/>
  <c r="AQ32" i="1" s="1"/>
  <c r="AS32" i="1" s="1"/>
  <c r="AU32" i="1" s="1"/>
  <c r="AD32" i="1"/>
  <c r="BC32" i="1" s="1"/>
  <c r="AB32" i="1"/>
  <c r="AC32" i="1" s="1"/>
  <c r="AA32" i="1"/>
  <c r="K32" i="1"/>
  <c r="BM31" i="1"/>
  <c r="BG31" i="1"/>
  <c r="BJ31" i="1" s="1"/>
  <c r="BB31" i="1"/>
  <c r="AW31" i="1"/>
  <c r="AP31" i="1"/>
  <c r="AQ31" i="1" s="1"/>
  <c r="AS31" i="1" s="1"/>
  <c r="AU31" i="1" s="1"/>
  <c r="AC31" i="1"/>
  <c r="AB31" i="1"/>
  <c r="AA31" i="1"/>
  <c r="AD31" i="1" s="1"/>
  <c r="K31" i="1"/>
  <c r="BM30" i="1"/>
  <c r="BB30" i="1"/>
  <c r="AW30" i="1"/>
  <c r="AQ30" i="1"/>
  <c r="AS30" i="1" s="1"/>
  <c r="AU30" i="1" s="1"/>
  <c r="AP30" i="1"/>
  <c r="AF30" i="1"/>
  <c r="BC30" i="1" s="1"/>
  <c r="AD30" i="1"/>
  <c r="AX30" i="1" s="1"/>
  <c r="AB30" i="1"/>
  <c r="AE30" i="1" s="1"/>
  <c r="AA30" i="1"/>
  <c r="K30" i="1"/>
  <c r="BM29" i="1"/>
  <c r="BB29" i="1"/>
  <c r="AW29" i="1"/>
  <c r="AX29" i="1" s="1"/>
  <c r="AP29" i="1"/>
  <c r="AQ29" i="1" s="1"/>
  <c r="AS29" i="1" s="1"/>
  <c r="AU29" i="1" s="1"/>
  <c r="AD29" i="1"/>
  <c r="BC29" i="1" s="1"/>
  <c r="AB29" i="1"/>
  <c r="AC29" i="1" s="1"/>
  <c r="AA29" i="1"/>
  <c r="K29" i="1"/>
  <c r="BM28" i="1"/>
  <c r="BB28" i="1"/>
  <c r="AW28" i="1"/>
  <c r="AX28" i="1" s="1"/>
  <c r="AS28" i="1"/>
  <c r="AU28" i="1" s="1"/>
  <c r="AQ28" i="1"/>
  <c r="AC28" i="1"/>
  <c r="AB28" i="1"/>
  <c r="AA28" i="1"/>
  <c r="AD28" i="1" s="1"/>
  <c r="K28" i="1"/>
  <c r="BM27" i="1"/>
  <c r="BB27" i="1"/>
  <c r="AW27" i="1"/>
  <c r="AQ27" i="1"/>
  <c r="AS27" i="1" s="1"/>
  <c r="AU27" i="1" s="1"/>
  <c r="AP27" i="1"/>
  <c r="AC27" i="1"/>
  <c r="AB27" i="1"/>
  <c r="AA27" i="1"/>
  <c r="AD27" i="1" s="1"/>
  <c r="K27" i="1"/>
  <c r="BM26" i="1"/>
  <c r="BB26" i="1"/>
  <c r="AW26" i="1"/>
  <c r="AP26" i="1"/>
  <c r="AQ26" i="1" s="1"/>
  <c r="AS26" i="1" s="1"/>
  <c r="AU26" i="1" s="1"/>
  <c r="AC26" i="1"/>
  <c r="AB26" i="1"/>
  <c r="AA26" i="1"/>
  <c r="AD26" i="1" s="1"/>
  <c r="K26" i="1"/>
  <c r="BM25" i="1"/>
  <c r="BG25" i="1"/>
  <c r="BB25" i="1"/>
  <c r="AW25" i="1"/>
  <c r="AX25" i="1" s="1"/>
  <c r="AS25" i="1"/>
  <c r="AU25" i="1" s="1"/>
  <c r="AQ25" i="1"/>
  <c r="AF25" i="1"/>
  <c r="AD25" i="1"/>
  <c r="BC25" i="1" s="1"/>
  <c r="AB25" i="1"/>
  <c r="AE25" i="1" s="1"/>
  <c r="AA25" i="1"/>
  <c r="K25" i="1"/>
  <c r="BM24" i="1"/>
  <c r="BB24" i="1"/>
  <c r="AW24" i="1"/>
  <c r="AQ24" i="1"/>
  <c r="AS24" i="1" s="1"/>
  <c r="AU24" i="1" s="1"/>
  <c r="AP24" i="1"/>
  <c r="AF24" i="1"/>
  <c r="BC24" i="1" s="1"/>
  <c r="AD24" i="1"/>
  <c r="BH24" i="1" s="1"/>
  <c r="AB24" i="1"/>
  <c r="AE24" i="1" s="1"/>
  <c r="AA24" i="1"/>
  <c r="K24" i="1"/>
  <c r="BM23" i="1"/>
  <c r="BB23" i="1"/>
  <c r="AW23" i="1"/>
  <c r="AQ23" i="1"/>
  <c r="AS23" i="1" s="1"/>
  <c r="AU23" i="1" s="1"/>
  <c r="AP23" i="1"/>
  <c r="AF23" i="1"/>
  <c r="BC23" i="1" s="1"/>
  <c r="AD23" i="1"/>
  <c r="BH23" i="1" s="1"/>
  <c r="AB23" i="1"/>
  <c r="AE23" i="1" s="1"/>
  <c r="AA23" i="1"/>
  <c r="K23" i="1"/>
  <c r="BM22" i="1"/>
  <c r="BG22" i="1"/>
  <c r="BJ22" i="1" s="1"/>
  <c r="BB22" i="1"/>
  <c r="AW22" i="1"/>
  <c r="AP22" i="1"/>
  <c r="AQ22" i="1" s="1"/>
  <c r="AS22" i="1" s="1"/>
  <c r="AU22" i="1" s="1"/>
  <c r="AC22" i="1"/>
  <c r="AB22" i="1"/>
  <c r="AA22" i="1"/>
  <c r="AD22" i="1" s="1"/>
  <c r="K22" i="1"/>
  <c r="BM21" i="1"/>
  <c r="BB21" i="1"/>
  <c r="AW21" i="1"/>
  <c r="AQ21" i="1"/>
  <c r="AS21" i="1" s="1"/>
  <c r="AU21" i="1" s="1"/>
  <c r="AP21" i="1"/>
  <c r="AD21" i="1"/>
  <c r="BG21" i="1" s="1"/>
  <c r="BJ21" i="1" s="1"/>
  <c r="AB21" i="1"/>
  <c r="AC21" i="1" s="1"/>
  <c r="AA21" i="1"/>
  <c r="K21" i="1"/>
  <c r="BM20" i="1"/>
  <c r="BB20" i="1"/>
  <c r="AW20" i="1"/>
  <c r="AX20" i="1" s="1"/>
  <c r="AP20" i="1"/>
  <c r="AQ20" i="1" s="1"/>
  <c r="AS20" i="1" s="1"/>
  <c r="AU20" i="1" s="1"/>
  <c r="AD20" i="1"/>
  <c r="BC20" i="1" s="1"/>
  <c r="AB20" i="1"/>
  <c r="AE20" i="1" s="1"/>
  <c r="AA20" i="1"/>
  <c r="K20" i="1"/>
  <c r="BM19" i="1"/>
  <c r="BB19" i="1"/>
  <c r="AW19" i="1"/>
  <c r="AQ19" i="1"/>
  <c r="AS19" i="1" s="1"/>
  <c r="AU19" i="1" s="1"/>
  <c r="AC19" i="1"/>
  <c r="AB19" i="1"/>
  <c r="AA19" i="1"/>
  <c r="AD19" i="1" s="1"/>
  <c r="K19" i="1"/>
  <c r="BM18" i="1"/>
  <c r="BB18" i="1"/>
  <c r="AW18" i="1"/>
  <c r="AP18" i="1"/>
  <c r="AQ18" i="1" s="1"/>
  <c r="AS18" i="1" s="1"/>
  <c r="AU18" i="1" s="1"/>
  <c r="AC18" i="1"/>
  <c r="AB18" i="1"/>
  <c r="AA18" i="1"/>
  <c r="AD18" i="1" s="1"/>
  <c r="K18" i="1"/>
  <c r="BM17" i="1"/>
  <c r="BB17" i="1"/>
  <c r="AX17" i="1"/>
  <c r="AW17" i="1"/>
  <c r="AQ17" i="1"/>
  <c r="AS17" i="1" s="1"/>
  <c r="AU17" i="1" s="1"/>
  <c r="AD17" i="1"/>
  <c r="BC17" i="1" s="1"/>
  <c r="BK17" i="1" s="1"/>
  <c r="AB17" i="1"/>
  <c r="BG17" i="1" s="1"/>
  <c r="BJ17" i="1" s="1"/>
  <c r="AA17" i="1"/>
  <c r="K17" i="1"/>
  <c r="BM16" i="1"/>
  <c r="BB16" i="1"/>
  <c r="AW16" i="1"/>
  <c r="AX16" i="1" s="1"/>
  <c r="AP16" i="1"/>
  <c r="AQ16" i="1" s="1"/>
  <c r="AS16" i="1" s="1"/>
  <c r="AU16" i="1" s="1"/>
  <c r="AD16" i="1"/>
  <c r="BC16" i="1" s="1"/>
  <c r="AB16" i="1"/>
  <c r="AC16" i="1" s="1"/>
  <c r="AA16" i="1"/>
  <c r="K16" i="1"/>
  <c r="BM15" i="1"/>
  <c r="BG15" i="1"/>
  <c r="BJ15" i="1" s="1"/>
  <c r="BB15" i="1"/>
  <c r="AW15" i="1"/>
  <c r="AS15" i="1"/>
  <c r="AU15" i="1" s="1"/>
  <c r="AQ15" i="1"/>
  <c r="AC15" i="1"/>
  <c r="AB15" i="1"/>
  <c r="AA15" i="1"/>
  <c r="AD15" i="1" s="1"/>
  <c r="K15" i="1"/>
  <c r="BM14" i="1"/>
  <c r="BB14" i="1"/>
  <c r="AW14" i="1"/>
  <c r="AQ14" i="1"/>
  <c r="AS14" i="1" s="1"/>
  <c r="AU14" i="1" s="1"/>
  <c r="AP14" i="1"/>
  <c r="AC14" i="1"/>
  <c r="AB14" i="1"/>
  <c r="BG14" i="1" s="1"/>
  <c r="BJ14" i="1" s="1"/>
  <c r="AA14" i="1"/>
  <c r="AD14" i="1" s="1"/>
  <c r="K14" i="1"/>
  <c r="BM13" i="1"/>
  <c r="BB13" i="1"/>
  <c r="AW13" i="1"/>
  <c r="AQ13" i="1"/>
  <c r="AS13" i="1" s="1"/>
  <c r="AU13" i="1" s="1"/>
  <c r="AP13" i="1"/>
  <c r="AC13" i="1"/>
  <c r="AB13" i="1"/>
  <c r="BG13" i="1" s="1"/>
  <c r="BJ13" i="1" s="1"/>
  <c r="AA13" i="1"/>
  <c r="AD13" i="1" s="1"/>
  <c r="K13" i="1"/>
  <c r="BM12" i="1"/>
  <c r="BB12" i="1"/>
  <c r="AW12" i="1"/>
  <c r="AQ12" i="1"/>
  <c r="AS12" i="1" s="1"/>
  <c r="AU12" i="1" s="1"/>
  <c r="AP12" i="1"/>
  <c r="AC12" i="1"/>
  <c r="AB12" i="1"/>
  <c r="BG12" i="1" s="1"/>
  <c r="BJ12" i="1" s="1"/>
  <c r="AA12" i="1"/>
  <c r="AD12" i="1" s="1"/>
  <c r="K12" i="1"/>
  <c r="BM11" i="1"/>
  <c r="BB11" i="1"/>
  <c r="AW11" i="1"/>
  <c r="AQ11" i="1"/>
  <c r="AS11" i="1" s="1"/>
  <c r="AU11" i="1" s="1"/>
  <c r="AP11" i="1"/>
  <c r="AC11" i="1"/>
  <c r="AB11" i="1"/>
  <c r="BG11" i="1" s="1"/>
  <c r="BJ11" i="1" s="1"/>
  <c r="AA11" i="1"/>
  <c r="AD11" i="1" s="1"/>
  <c r="K11" i="1"/>
  <c r="BM10" i="1"/>
  <c r="BB10" i="1"/>
  <c r="AW10" i="1"/>
  <c r="AQ10" i="1"/>
  <c r="AS10" i="1" s="1"/>
  <c r="AU10" i="1" s="1"/>
  <c r="AP10" i="1"/>
  <c r="AC10" i="1"/>
  <c r="AB10" i="1"/>
  <c r="BG10" i="1" s="1"/>
  <c r="BJ10" i="1" s="1"/>
  <c r="AA10" i="1"/>
  <c r="AD10" i="1" s="1"/>
  <c r="K10" i="1"/>
  <c r="BM9" i="1"/>
  <c r="BB9" i="1"/>
  <c r="AW9" i="1"/>
  <c r="AQ9" i="1"/>
  <c r="AS9" i="1" s="1"/>
  <c r="AU9" i="1" s="1"/>
  <c r="AP9" i="1"/>
  <c r="AC9" i="1"/>
  <c r="AB9" i="1"/>
  <c r="BG9" i="1" s="1"/>
  <c r="BJ9" i="1" s="1"/>
  <c r="AA9" i="1"/>
  <c r="AD9" i="1" s="1"/>
  <c r="K9" i="1"/>
  <c r="BM8" i="1"/>
  <c r="BB8" i="1"/>
  <c r="AW8" i="1"/>
  <c r="AQ8" i="1"/>
  <c r="AS8" i="1" s="1"/>
  <c r="AU8" i="1" s="1"/>
  <c r="AP8" i="1"/>
  <c r="AC8" i="1"/>
  <c r="AB8" i="1"/>
  <c r="AA8" i="1"/>
  <c r="AD8" i="1" s="1"/>
  <c r="K8" i="1"/>
  <c r="BM7" i="1"/>
  <c r="BB7" i="1"/>
  <c r="AW7" i="1"/>
  <c r="AQ7" i="1"/>
  <c r="AS7" i="1" s="1"/>
  <c r="AU7" i="1" s="1"/>
  <c r="AP7" i="1"/>
  <c r="AC7" i="1"/>
  <c r="AB7" i="1"/>
  <c r="BG7" i="1" s="1"/>
  <c r="BJ7" i="1" s="1"/>
  <c r="AA7" i="1"/>
  <c r="AD7" i="1" s="1"/>
  <c r="K7" i="1"/>
  <c r="BM6" i="1"/>
  <c r="BB6" i="1"/>
  <c r="AW6" i="1"/>
  <c r="AX6" i="1" s="1"/>
  <c r="AS6" i="1"/>
  <c r="AU6" i="1" s="1"/>
  <c r="AQ6" i="1"/>
  <c r="AD6" i="1"/>
  <c r="BH6" i="1" s="1"/>
  <c r="AB6" i="1"/>
  <c r="AC6" i="1" s="1"/>
  <c r="AA6" i="1"/>
  <c r="K6" i="1"/>
  <c r="BM5" i="1"/>
  <c r="BB5" i="1"/>
  <c r="AW5" i="1"/>
  <c r="AP5" i="1"/>
  <c r="AP499" i="1" s="1"/>
  <c r="AC5" i="1"/>
  <c r="AB5" i="1"/>
  <c r="AA5" i="1"/>
  <c r="AD5" i="1" s="1"/>
  <c r="K5" i="1"/>
  <c r="AX22" i="1" l="1"/>
  <c r="AX26" i="1"/>
  <c r="BG27" i="1"/>
  <c r="BJ27" i="1" s="1"/>
  <c r="BC27" i="1"/>
  <c r="BK27" i="1" s="1"/>
  <c r="AX27" i="1"/>
  <c r="AE27" i="1"/>
  <c r="AF31" i="1"/>
  <c r="BC31" i="1" s="1"/>
  <c r="BK31" i="1" s="1"/>
  <c r="AE31" i="1"/>
  <c r="BG8" i="1"/>
  <c r="BJ8" i="1" s="1"/>
  <c r="AX8" i="1"/>
  <c r="BC8" i="1"/>
  <c r="AE8" i="1"/>
  <c r="BC12" i="1"/>
  <c r="BK12" i="1" s="1"/>
  <c r="AE12" i="1"/>
  <c r="AX12" i="1"/>
  <c r="AX15" i="1"/>
  <c r="BC28" i="1"/>
  <c r="BG28" i="1"/>
  <c r="BJ28" i="1" s="1"/>
  <c r="AE28" i="1"/>
  <c r="BK30" i="1"/>
  <c r="AE38" i="1"/>
  <c r="AX38" i="1"/>
  <c r="AF38" i="1"/>
  <c r="BC38" i="1" s="1"/>
  <c r="BK38" i="1" s="1"/>
  <c r="BC39" i="1"/>
  <c r="BK39" i="1" s="1"/>
  <c r="AE39" i="1"/>
  <c r="AX39" i="1"/>
  <c r="AF53" i="1"/>
  <c r="BC53" i="1" s="1"/>
  <c r="AE53" i="1"/>
  <c r="BH53" i="1"/>
  <c r="BG53" i="1"/>
  <c r="AX53" i="1"/>
  <c r="BC54" i="1"/>
  <c r="BK54" i="1" s="1"/>
  <c r="AE54" i="1"/>
  <c r="AX54" i="1"/>
  <c r="AX56" i="1"/>
  <c r="AE57" i="1"/>
  <c r="AX57" i="1"/>
  <c r="BC57" i="1"/>
  <c r="BK57" i="1" s="1"/>
  <c r="AX7" i="1"/>
  <c r="BC7" i="1"/>
  <c r="BK7" i="1" s="1"/>
  <c r="AE7" i="1"/>
  <c r="AE22" i="1"/>
  <c r="BC22" i="1"/>
  <c r="BK22" i="1" s="1"/>
  <c r="AF22" i="1"/>
  <c r="AX31" i="1"/>
  <c r="AX36" i="1"/>
  <c r="AX9" i="1"/>
  <c r="BC9" i="1"/>
  <c r="BK9" i="1" s="1"/>
  <c r="AE9" i="1"/>
  <c r="AX13" i="1"/>
  <c r="BC13" i="1"/>
  <c r="BK13" i="1" s="1"/>
  <c r="AE13" i="1"/>
  <c r="BK34" i="1"/>
  <c r="BC40" i="1"/>
  <c r="BK40" i="1" s="1"/>
  <c r="AE40" i="1"/>
  <c r="BH44" i="1"/>
  <c r="AE44" i="1"/>
  <c r="BG44" i="1"/>
  <c r="BJ44" i="1" s="1"/>
  <c r="AF44" i="1"/>
  <c r="BC44" i="1" s="1"/>
  <c r="BK44" i="1" s="1"/>
  <c r="AX44" i="1"/>
  <c r="BC45" i="1"/>
  <c r="BK45" i="1" s="1"/>
  <c r="AE45" i="1"/>
  <c r="AX45" i="1"/>
  <c r="BG45" i="1"/>
  <c r="BJ45" i="1" s="1"/>
  <c r="BC55" i="1"/>
  <c r="BK55" i="1" s="1"/>
  <c r="AF55" i="1"/>
  <c r="AE11" i="1"/>
  <c r="AX11" i="1"/>
  <c r="BC11" i="1"/>
  <c r="BK11" i="1" s="1"/>
  <c r="BC15" i="1"/>
  <c r="BK15" i="1" s="1"/>
  <c r="AE15" i="1"/>
  <c r="AF26" i="1"/>
  <c r="BC26" i="1" s="1"/>
  <c r="AE26" i="1"/>
  <c r="BH26" i="1"/>
  <c r="BG26" i="1"/>
  <c r="BC36" i="1"/>
  <c r="BK36" i="1" s="1"/>
  <c r="AF36" i="1"/>
  <c r="AE36" i="1"/>
  <c r="BG36" i="1"/>
  <c r="BJ36" i="1" s="1"/>
  <c r="BC56" i="1"/>
  <c r="AF56" i="1"/>
  <c r="BG56" i="1"/>
  <c r="BJ56" i="1" s="1"/>
  <c r="AE56" i="1"/>
  <c r="BH56" i="1"/>
  <c r="BG59" i="1"/>
  <c r="BJ59" i="1" s="1"/>
  <c r="AX59" i="1"/>
  <c r="AE59" i="1"/>
  <c r="BC59" i="1"/>
  <c r="BK59" i="1" s="1"/>
  <c r="AD499" i="1"/>
  <c r="S509" i="1" s="1"/>
  <c r="AF5" i="1"/>
  <c r="AE5" i="1"/>
  <c r="BG5" i="1"/>
  <c r="BH5" i="1"/>
  <c r="AX5" i="1"/>
  <c r="BC10" i="1"/>
  <c r="BK10" i="1" s="1"/>
  <c r="AE10" i="1"/>
  <c r="AX10" i="1"/>
  <c r="BC14" i="1"/>
  <c r="BK14" i="1" s="1"/>
  <c r="AE14" i="1"/>
  <c r="AX14" i="1"/>
  <c r="BH18" i="1"/>
  <c r="AE18" i="1"/>
  <c r="BG18" i="1"/>
  <c r="BJ18" i="1" s="1"/>
  <c r="BC18" i="1"/>
  <c r="BK18" i="1" s="1"/>
  <c r="AF18" i="1"/>
  <c r="AX18" i="1"/>
  <c r="BH19" i="1"/>
  <c r="AX19" i="1"/>
  <c r="AE19" i="1"/>
  <c r="BG19" i="1"/>
  <c r="BJ19" i="1" s="1"/>
  <c r="AF19" i="1"/>
  <c r="BC19" i="1" s="1"/>
  <c r="BK19" i="1" s="1"/>
  <c r="AX40" i="1"/>
  <c r="BK42" i="1"/>
  <c r="AF46" i="1"/>
  <c r="BC46" i="1" s="1"/>
  <c r="BK46" i="1" s="1"/>
  <c r="AE46" i="1"/>
  <c r="AX46" i="1"/>
  <c r="AF51" i="1"/>
  <c r="BC51" i="1" s="1"/>
  <c r="BK51" i="1" s="1"/>
  <c r="AE51" i="1"/>
  <c r="AX51" i="1"/>
  <c r="AX55" i="1"/>
  <c r="BK66" i="1"/>
  <c r="AE68" i="1"/>
  <c r="BC68" i="1"/>
  <c r="BG34" i="1"/>
  <c r="BJ34" i="1" s="1"/>
  <c r="AX37" i="1"/>
  <c r="AX63" i="1"/>
  <c r="AX68" i="1"/>
  <c r="AE82" i="1"/>
  <c r="BG82" i="1"/>
  <c r="BJ82" i="1" s="1"/>
  <c r="AC82" i="1"/>
  <c r="AE88" i="1"/>
  <c r="AC88" i="1"/>
  <c r="BG117" i="1"/>
  <c r="AF117" i="1"/>
  <c r="BC117" i="1" s="1"/>
  <c r="AE117" i="1"/>
  <c r="AX118" i="1"/>
  <c r="BC118" i="1"/>
  <c r="BK118" i="1" s="1"/>
  <c r="AE118" i="1"/>
  <c r="AX122" i="1"/>
  <c r="BC122" i="1"/>
  <c r="BK122" i="1" s="1"/>
  <c r="AF122" i="1"/>
  <c r="BC138" i="1"/>
  <c r="BK138" i="1" s="1"/>
  <c r="AF138" i="1"/>
  <c r="BC190" i="1"/>
  <c r="BK190" i="1" s="1"/>
  <c r="AE190" i="1"/>
  <c r="AX190" i="1"/>
  <c r="AE208" i="1"/>
  <c r="AC208" i="1"/>
  <c r="AE258" i="1"/>
  <c r="BG258" i="1"/>
  <c r="BJ258" i="1" s="1"/>
  <c r="AC258" i="1"/>
  <c r="AE471" i="1"/>
  <c r="BG471" i="1"/>
  <c r="BJ471" i="1" s="1"/>
  <c r="AC471" i="1"/>
  <c r="AQ5" i="1"/>
  <c r="AE6" i="1"/>
  <c r="AE16" i="1"/>
  <c r="AC17" i="1"/>
  <c r="AC499" i="1" s="1"/>
  <c r="AC20" i="1"/>
  <c r="AE21" i="1"/>
  <c r="AC23" i="1"/>
  <c r="BG23" i="1"/>
  <c r="BJ23" i="1" s="1"/>
  <c r="AC24" i="1"/>
  <c r="BG24" i="1"/>
  <c r="BJ24" i="1" s="1"/>
  <c r="AC25" i="1"/>
  <c r="BH25" i="1"/>
  <c r="AE29" i="1"/>
  <c r="AC30" i="1"/>
  <c r="BG30" i="1"/>
  <c r="BJ30" i="1" s="1"/>
  <c r="AE32" i="1"/>
  <c r="AC33" i="1"/>
  <c r="BG33" i="1"/>
  <c r="BJ33" i="1" s="1"/>
  <c r="AC34" i="1"/>
  <c r="AE35" i="1"/>
  <c r="BG35" i="1"/>
  <c r="BJ35" i="1" s="1"/>
  <c r="AE37" i="1"/>
  <c r="AE41" i="1"/>
  <c r="AC42" i="1"/>
  <c r="BG42" i="1"/>
  <c r="BJ42" i="1" s="1"/>
  <c r="AC43" i="1"/>
  <c r="BC43" i="1"/>
  <c r="AE47" i="1"/>
  <c r="BC47" i="1"/>
  <c r="AC48" i="1"/>
  <c r="AE49" i="1"/>
  <c r="AC50" i="1"/>
  <c r="BG50" i="1"/>
  <c r="BJ50" i="1" s="1"/>
  <c r="AE52" i="1"/>
  <c r="AE55" i="1"/>
  <c r="BH60" i="1"/>
  <c r="BG60" i="1"/>
  <c r="AF60" i="1"/>
  <c r="AX60" i="1"/>
  <c r="BG61" i="1"/>
  <c r="BJ61" i="1" s="1"/>
  <c r="AE63" i="1"/>
  <c r="BC64" i="1"/>
  <c r="BK64" i="1" s="1"/>
  <c r="AE64" i="1"/>
  <c r="BG67" i="1"/>
  <c r="BJ67" i="1" s="1"/>
  <c r="BG71" i="1"/>
  <c r="BJ71" i="1" s="1"/>
  <c r="BJ72" i="1"/>
  <c r="BC74" i="1"/>
  <c r="BK74" i="1" s="1"/>
  <c r="AX81" i="1"/>
  <c r="AX84" i="1"/>
  <c r="BG84" i="1"/>
  <c r="BJ84" i="1" s="1"/>
  <c r="AF84" i="1"/>
  <c r="BC84" i="1" s="1"/>
  <c r="BK84" i="1" s="1"/>
  <c r="AE85" i="1"/>
  <c r="AC85" i="1"/>
  <c r="BG85" i="1"/>
  <c r="BJ85" i="1" s="1"/>
  <c r="BK86" i="1"/>
  <c r="BC91" i="1"/>
  <c r="BK91" i="1" s="1"/>
  <c r="AF91" i="1"/>
  <c r="AE91" i="1"/>
  <c r="AX91" i="1"/>
  <c r="BH95" i="1"/>
  <c r="AX95" i="1"/>
  <c r="BG95" i="1"/>
  <c r="BJ95" i="1" s="1"/>
  <c r="AF95" i="1"/>
  <c r="BC95" i="1" s="1"/>
  <c r="BK95" i="1" s="1"/>
  <c r="AX96" i="1"/>
  <c r="AX99" i="1"/>
  <c r="AF99" i="1"/>
  <c r="BC99" i="1" s="1"/>
  <c r="BK99" i="1" s="1"/>
  <c r="AE100" i="1"/>
  <c r="AC100" i="1"/>
  <c r="AX100" i="1"/>
  <c r="BK101" i="1"/>
  <c r="AX108" i="1"/>
  <c r="BK109" i="1"/>
  <c r="AX111" i="1"/>
  <c r="BG111" i="1"/>
  <c r="BJ111" i="1" s="1"/>
  <c r="BC111" i="1"/>
  <c r="BK111" i="1" s="1"/>
  <c r="AF111" i="1"/>
  <c r="AE112" i="1"/>
  <c r="AC112" i="1"/>
  <c r="BK115" i="1"/>
  <c r="AX115" i="1"/>
  <c r="AX119" i="1"/>
  <c r="BH121" i="1"/>
  <c r="AX121" i="1"/>
  <c r="BG121" i="1"/>
  <c r="AF121" i="1"/>
  <c r="BC121" i="1" s="1"/>
  <c r="BG133" i="1"/>
  <c r="BC133" i="1"/>
  <c r="AF133" i="1"/>
  <c r="AE133" i="1"/>
  <c r="AX133" i="1"/>
  <c r="BG134" i="1"/>
  <c r="BJ134" i="1" s="1"/>
  <c r="AE134" i="1"/>
  <c r="AW138" i="1"/>
  <c r="AX138" i="1" s="1"/>
  <c r="AS138" i="1"/>
  <c r="AU138" i="1" s="1"/>
  <c r="AX139" i="1"/>
  <c r="BC156" i="1"/>
  <c r="BK156" i="1" s="1"/>
  <c r="AF156" i="1"/>
  <c r="AE156" i="1"/>
  <c r="BC160" i="1"/>
  <c r="AC165" i="1"/>
  <c r="AE165" i="1"/>
  <c r="BC173" i="1"/>
  <c r="BC180" i="1"/>
  <c r="BK180" i="1" s="1"/>
  <c r="AF180" i="1"/>
  <c r="AE180" i="1"/>
  <c r="AF200" i="1"/>
  <c r="BC200" i="1"/>
  <c r="BK200" i="1" s="1"/>
  <c r="AF217" i="1"/>
  <c r="BC217" i="1" s="1"/>
  <c r="BH217" i="1"/>
  <c r="AX217" i="1"/>
  <c r="AE217" i="1"/>
  <c r="BG217" i="1"/>
  <c r="BC226" i="1"/>
  <c r="BK226" i="1" s="1"/>
  <c r="AF226" i="1"/>
  <c r="AX226" i="1"/>
  <c r="AE226" i="1"/>
  <c r="AC245" i="1"/>
  <c r="BG245" i="1"/>
  <c r="BJ245" i="1" s="1"/>
  <c r="AE245" i="1"/>
  <c r="BG20" i="1"/>
  <c r="BJ20" i="1" s="1"/>
  <c r="AX21" i="1"/>
  <c r="BG48" i="1"/>
  <c r="BJ48" i="1" s="1"/>
  <c r="AX73" i="1"/>
  <c r="BC73" i="1"/>
  <c r="BK73" i="1" s="1"/>
  <c r="AE73" i="1"/>
  <c r="BK98" i="1"/>
  <c r="AE105" i="1"/>
  <c r="BG105" i="1"/>
  <c r="BJ105" i="1" s="1"/>
  <c r="AC105" i="1"/>
  <c r="BG113" i="1"/>
  <c r="AF113" i="1"/>
  <c r="BC113" i="1" s="1"/>
  <c r="AE113" i="1"/>
  <c r="AX114" i="1"/>
  <c r="BC114" i="1"/>
  <c r="BK114" i="1" s="1"/>
  <c r="AE114" i="1"/>
  <c r="AE129" i="1"/>
  <c r="AC129" i="1"/>
  <c r="AE141" i="1"/>
  <c r="AC141" i="1"/>
  <c r="BG141" i="1"/>
  <c r="BJ141" i="1" s="1"/>
  <c r="AE154" i="1"/>
  <c r="BH154" i="1"/>
  <c r="AC154" i="1"/>
  <c r="BG154" i="1"/>
  <c r="AE158" i="1"/>
  <c r="AC158" i="1"/>
  <c r="BG158" i="1"/>
  <c r="BJ158" i="1" s="1"/>
  <c r="AE169" i="1"/>
  <c r="BC169" i="1"/>
  <c r="BK169" i="1" s="1"/>
  <c r="BB499" i="1"/>
  <c r="BG6" i="1"/>
  <c r="BJ6" i="1" s="1"/>
  <c r="BG16" i="1"/>
  <c r="BJ16" i="1" s="1"/>
  <c r="AF21" i="1"/>
  <c r="BC21" i="1"/>
  <c r="BK21" i="1" s="1"/>
  <c r="BG29" i="1"/>
  <c r="BJ29" i="1" s="1"/>
  <c r="BG32" i="1"/>
  <c r="BJ32" i="1" s="1"/>
  <c r="AX33" i="1"/>
  <c r="AX35" i="1"/>
  <c r="AF37" i="1"/>
  <c r="BC37" i="1" s="1"/>
  <c r="BK37" i="1" s="1"/>
  <c r="BG41" i="1"/>
  <c r="BJ41" i="1" s="1"/>
  <c r="AX42" i="1"/>
  <c r="BG43" i="1"/>
  <c r="BJ43" i="1" s="1"/>
  <c r="BG47" i="1"/>
  <c r="BJ47" i="1" s="1"/>
  <c r="BG49" i="1"/>
  <c r="BJ49" i="1" s="1"/>
  <c r="AE61" i="1"/>
  <c r="AX61" i="1"/>
  <c r="BG62" i="1"/>
  <c r="BJ62" i="1" s="1"/>
  <c r="AE65" i="1"/>
  <c r="BC70" i="1"/>
  <c r="BK70" i="1" s="1"/>
  <c r="AE70" i="1"/>
  <c r="AE74" i="1"/>
  <c r="AC74" i="1"/>
  <c r="BK76" i="1"/>
  <c r="AE81" i="1"/>
  <c r="BK82" i="1"/>
  <c r="AE96" i="1"/>
  <c r="BC97" i="1"/>
  <c r="BK97" i="1" s="1"/>
  <c r="AF100" i="1"/>
  <c r="BK102" i="1"/>
  <c r="AX102" i="1"/>
  <c r="BG103" i="1"/>
  <c r="BJ103" i="1" s="1"/>
  <c r="AF103" i="1"/>
  <c r="BC103" i="1" s="1"/>
  <c r="BK103" i="1" s="1"/>
  <c r="AE103" i="1"/>
  <c r="AX103" i="1"/>
  <c r="AX104" i="1"/>
  <c r="BG104" i="1"/>
  <c r="BJ104" i="1" s="1"/>
  <c r="BC104" i="1"/>
  <c r="AE104" i="1"/>
  <c r="BH110" i="1"/>
  <c r="AX110" i="1"/>
  <c r="BG110" i="1"/>
  <c r="BJ110" i="1" s="1"/>
  <c r="AF110" i="1"/>
  <c r="BC110" i="1" s="1"/>
  <c r="BK110" i="1" s="1"/>
  <c r="AF112" i="1"/>
  <c r="BH113" i="1"/>
  <c r="BG115" i="1"/>
  <c r="BJ115" i="1" s="1"/>
  <c r="AE115" i="1"/>
  <c r="AC115" i="1"/>
  <c r="BG116" i="1"/>
  <c r="BJ116" i="1" s="1"/>
  <c r="AF116" i="1"/>
  <c r="BC116" i="1" s="1"/>
  <c r="BK116" i="1" s="1"/>
  <c r="BH116" i="1"/>
  <c r="BH117" i="1"/>
  <c r="BG119" i="1"/>
  <c r="BJ119" i="1" s="1"/>
  <c r="AE119" i="1"/>
  <c r="AC119" i="1"/>
  <c r="BH120" i="1"/>
  <c r="AX120" i="1"/>
  <c r="BG120" i="1"/>
  <c r="AF120" i="1"/>
  <c r="BC120" i="1" s="1"/>
  <c r="AE122" i="1"/>
  <c r="BG124" i="1"/>
  <c r="BJ124" i="1" s="1"/>
  <c r="AF124" i="1"/>
  <c r="BC124" i="1" s="1"/>
  <c r="BK124" i="1" s="1"/>
  <c r="AE124" i="1"/>
  <c r="AX124" i="1"/>
  <c r="BH125" i="1"/>
  <c r="AX125" i="1"/>
  <c r="BG125" i="1"/>
  <c r="AF125" i="1"/>
  <c r="BC125" i="1" s="1"/>
  <c r="AE125" i="1"/>
  <c r="AX128" i="1"/>
  <c r="BC128" i="1"/>
  <c r="BK128" i="1" s="1"/>
  <c r="AE128" i="1"/>
  <c r="BC137" i="1"/>
  <c r="BK137" i="1" s="1"/>
  <c r="AF137" i="1"/>
  <c r="AE137" i="1"/>
  <c r="AX137" i="1"/>
  <c r="AE138" i="1"/>
  <c r="AE139" i="1"/>
  <c r="AX140" i="1"/>
  <c r="BC140" i="1"/>
  <c r="BK140" i="1" s="1"/>
  <c r="AE140" i="1"/>
  <c r="AF142" i="1"/>
  <c r="BC142" i="1" s="1"/>
  <c r="BK142" i="1" s="1"/>
  <c r="AE142" i="1"/>
  <c r="AX142" i="1"/>
  <c r="AE143" i="1"/>
  <c r="AX143" i="1"/>
  <c r="BC147" i="1"/>
  <c r="BK147" i="1" s="1"/>
  <c r="AE147" i="1"/>
  <c r="BG159" i="1"/>
  <c r="AX159" i="1"/>
  <c r="BH159" i="1"/>
  <c r="AF159" i="1"/>
  <c r="BC159" i="1" s="1"/>
  <c r="AF162" i="1"/>
  <c r="BC162" i="1" s="1"/>
  <c r="BK162" i="1" s="1"/>
  <c r="AE162" i="1"/>
  <c r="AX169" i="1"/>
  <c r="AF198" i="1"/>
  <c r="BC198" i="1" s="1"/>
  <c r="AE198" i="1"/>
  <c r="BH198" i="1"/>
  <c r="BG198" i="1"/>
  <c r="AX198" i="1"/>
  <c r="BG203" i="1"/>
  <c r="BJ203" i="1" s="1"/>
  <c r="BC203" i="1"/>
  <c r="BK203" i="1" s="1"/>
  <c r="AF203" i="1"/>
  <c r="AE203" i="1"/>
  <c r="BC296" i="1"/>
  <c r="BK296" i="1" s="1"/>
  <c r="AF296" i="1"/>
  <c r="BG296" i="1"/>
  <c r="BJ296" i="1" s="1"/>
  <c r="AX296" i="1"/>
  <c r="AW304" i="1"/>
  <c r="AX304" i="1" s="1"/>
  <c r="AS304" i="1"/>
  <c r="AU304" i="1" s="1"/>
  <c r="AX311" i="1"/>
  <c r="AE311" i="1"/>
  <c r="BC311" i="1"/>
  <c r="BK311" i="1" s="1"/>
  <c r="AF331" i="1"/>
  <c r="BC331" i="1" s="1"/>
  <c r="BK331" i="1" s="1"/>
  <c r="AX331" i="1"/>
  <c r="BK334" i="1"/>
  <c r="AF346" i="1"/>
  <c r="BC346" i="1" s="1"/>
  <c r="BK346" i="1" s="1"/>
  <c r="AX346" i="1"/>
  <c r="AX347" i="1"/>
  <c r="BC347" i="1"/>
  <c r="BK347" i="1" s="1"/>
  <c r="BK65" i="1"/>
  <c r="BK83" i="1"/>
  <c r="BC112" i="1"/>
  <c r="BK112" i="1" s="1"/>
  <c r="AE123" i="1"/>
  <c r="AC123" i="1"/>
  <c r="BG123" i="1"/>
  <c r="BJ123" i="1" s="1"/>
  <c r="BK130" i="1"/>
  <c r="AW134" i="1"/>
  <c r="AX134" i="1" s="1"/>
  <c r="AS134" i="1"/>
  <c r="AU134" i="1" s="1"/>
  <c r="BC143" i="1"/>
  <c r="BK149" i="1"/>
  <c r="AC182" i="1"/>
  <c r="AE182" i="1"/>
  <c r="AE204" i="1"/>
  <c r="AC204" i="1"/>
  <c r="AE248" i="1"/>
  <c r="BC248" i="1"/>
  <c r="AX249" i="1"/>
  <c r="BC249" i="1"/>
  <c r="BG273" i="1"/>
  <c r="BJ273" i="1" s="1"/>
  <c r="AF273" i="1"/>
  <c r="BC273" i="1" s="1"/>
  <c r="BK273" i="1" s="1"/>
  <c r="AE273" i="1"/>
  <c r="AA499" i="1"/>
  <c r="AF6" i="1"/>
  <c r="BC6" i="1" s="1"/>
  <c r="BK6" i="1" s="1"/>
  <c r="AX23" i="1"/>
  <c r="AX24" i="1"/>
  <c r="AB499" i="1"/>
  <c r="AE17" i="1"/>
  <c r="AC37" i="1"/>
  <c r="AR499" i="1"/>
  <c r="BC60" i="1"/>
  <c r="AF61" i="1"/>
  <c r="BC61" i="1" s="1"/>
  <c r="BK61" i="1" s="1"/>
  <c r="AC62" i="1"/>
  <c r="BG65" i="1"/>
  <c r="BJ65" i="1" s="1"/>
  <c r="BC67" i="1"/>
  <c r="AX70" i="1"/>
  <c r="AE71" i="1"/>
  <c r="AF72" i="1"/>
  <c r="BC72" i="1" s="1"/>
  <c r="BK72" i="1" s="1"/>
  <c r="AE72" i="1"/>
  <c r="BK77" i="1"/>
  <c r="AX77" i="1"/>
  <c r="BG78" i="1"/>
  <c r="BJ78" i="1" s="1"/>
  <c r="AF78" i="1"/>
  <c r="BC78" i="1" s="1"/>
  <c r="BK78" i="1" s="1"/>
  <c r="AE78" i="1"/>
  <c r="AX78" i="1"/>
  <c r="BG79" i="1"/>
  <c r="BJ79" i="1" s="1"/>
  <c r="BC79" i="1"/>
  <c r="BK79" i="1" s="1"/>
  <c r="AF79" i="1"/>
  <c r="AE79" i="1"/>
  <c r="AX79" i="1"/>
  <c r="BG80" i="1"/>
  <c r="BJ80" i="1" s="1"/>
  <c r="AF80" i="1"/>
  <c r="BC80" i="1" s="1"/>
  <c r="BK80" i="1" s="1"/>
  <c r="AE80" i="1"/>
  <c r="AX80" i="1"/>
  <c r="AE84" i="1"/>
  <c r="AX85" i="1"/>
  <c r="AX86" i="1"/>
  <c r="BC88" i="1"/>
  <c r="BH88" i="1"/>
  <c r="BJ88" i="1" s="1"/>
  <c r="AX88" i="1"/>
  <c r="BC90" i="1"/>
  <c r="BK90" i="1" s="1"/>
  <c r="BC94" i="1"/>
  <c r="BK94" i="1" s="1"/>
  <c r="AF94" i="1"/>
  <c r="AE94" i="1"/>
  <c r="AX94" i="1"/>
  <c r="AE95" i="1"/>
  <c r="AE99" i="1"/>
  <c r="BC100" i="1"/>
  <c r="BK100" i="1" s="1"/>
  <c r="AX107" i="1"/>
  <c r="BC107" i="1"/>
  <c r="BK107" i="1" s="1"/>
  <c r="AE107" i="1"/>
  <c r="AE108" i="1"/>
  <c r="AE111" i="1"/>
  <c r="AW116" i="1"/>
  <c r="AX116" i="1" s="1"/>
  <c r="AS116" i="1"/>
  <c r="AU116" i="1" s="1"/>
  <c r="AE121" i="1"/>
  <c r="BC123" i="1"/>
  <c r="BK123" i="1" s="1"/>
  <c r="AX126" i="1"/>
  <c r="BC132" i="1"/>
  <c r="BK132" i="1" s="1"/>
  <c r="BH133" i="1"/>
  <c r="AX135" i="1"/>
  <c r="BC141" i="1"/>
  <c r="BK141" i="1" s="1"/>
  <c r="BK146" i="1"/>
  <c r="AC149" i="1"/>
  <c r="BG149" i="1"/>
  <c r="BJ149" i="1" s="1"/>
  <c r="AE149" i="1"/>
  <c r="BG156" i="1"/>
  <c r="BJ156" i="1" s="1"/>
  <c r="BK161" i="1"/>
  <c r="BG166" i="1"/>
  <c r="BJ166" i="1" s="1"/>
  <c r="BC166" i="1"/>
  <c r="BK166" i="1" s="1"/>
  <c r="AF168" i="1"/>
  <c r="BC168" i="1" s="1"/>
  <c r="BH168" i="1"/>
  <c r="BJ168" i="1" s="1"/>
  <c r="AE168" i="1"/>
  <c r="AC175" i="1"/>
  <c r="AE175" i="1"/>
  <c r="BK176" i="1"/>
  <c r="AX189" i="1"/>
  <c r="AE189" i="1"/>
  <c r="BC189" i="1"/>
  <c r="BK189" i="1" s="1"/>
  <c r="AE196" i="1"/>
  <c r="BG196" i="1"/>
  <c r="BJ196" i="1" s="1"/>
  <c r="AC196" i="1"/>
  <c r="BK220" i="1"/>
  <c r="AE237" i="1"/>
  <c r="BC237" i="1"/>
  <c r="BK237" i="1" s="1"/>
  <c r="BG66" i="1"/>
  <c r="BJ66" i="1" s="1"/>
  <c r="BG68" i="1"/>
  <c r="BJ68" i="1" s="1"/>
  <c r="BG75" i="1"/>
  <c r="BJ75" i="1" s="1"/>
  <c r="BG81" i="1"/>
  <c r="BJ81" i="1" s="1"/>
  <c r="BG87" i="1"/>
  <c r="BG92" i="1"/>
  <c r="BJ92" i="1" s="1"/>
  <c r="BG96" i="1"/>
  <c r="BJ96" i="1" s="1"/>
  <c r="BH108" i="1"/>
  <c r="BG126" i="1"/>
  <c r="BJ126" i="1" s="1"/>
  <c r="BG131" i="1"/>
  <c r="BJ131" i="1" s="1"/>
  <c r="BG135" i="1"/>
  <c r="BJ135" i="1" s="1"/>
  <c r="BG143" i="1"/>
  <c r="BJ143" i="1" s="1"/>
  <c r="BC144" i="1"/>
  <c r="AE148" i="1"/>
  <c r="AC148" i="1"/>
  <c r="AX149" i="1"/>
  <c r="BC150" i="1"/>
  <c r="BK150" i="1" s="1"/>
  <c r="BC151" i="1"/>
  <c r="BK151" i="1" s="1"/>
  <c r="AX152" i="1"/>
  <c r="BC154" i="1"/>
  <c r="AE157" i="1"/>
  <c r="AC157" i="1"/>
  <c r="BC158" i="1"/>
  <c r="BK158" i="1" s="1"/>
  <c r="AC163" i="1"/>
  <c r="AE163" i="1"/>
  <c r="AE164" i="1"/>
  <c r="AC164" i="1"/>
  <c r="BC165" i="1"/>
  <c r="BK165" i="1" s="1"/>
  <c r="AX176" i="1"/>
  <c r="BK177" i="1"/>
  <c r="AC181" i="1"/>
  <c r="AE181" i="1"/>
  <c r="BH182" i="1"/>
  <c r="AX182" i="1"/>
  <c r="BG188" i="1"/>
  <c r="BJ188" i="1" s="1"/>
  <c r="BC188" i="1"/>
  <c r="AE188" i="1"/>
  <c r="BC199" i="1"/>
  <c r="BK199" i="1" s="1"/>
  <c r="AF199" i="1"/>
  <c r="AE199" i="1"/>
  <c r="AX199" i="1"/>
  <c r="AE201" i="1"/>
  <c r="AC201" i="1"/>
  <c r="AE206" i="1"/>
  <c r="AC206" i="1"/>
  <c r="AE209" i="1"/>
  <c r="AC209" i="1"/>
  <c r="BC215" i="1"/>
  <c r="BK215" i="1" s="1"/>
  <c r="AF215" i="1"/>
  <c r="AE215" i="1"/>
  <c r="AX215" i="1"/>
  <c r="AE218" i="1"/>
  <c r="AC218" i="1"/>
  <c r="BG227" i="1"/>
  <c r="BC227" i="1"/>
  <c r="AX227" i="1"/>
  <c r="AF227" i="1"/>
  <c r="AE227" i="1"/>
  <c r="BH227" i="1"/>
  <c r="AX231" i="1"/>
  <c r="BC231" i="1"/>
  <c r="BK231" i="1" s="1"/>
  <c r="BC246" i="1"/>
  <c r="AE246" i="1"/>
  <c r="AX257" i="1"/>
  <c r="BC257" i="1"/>
  <c r="BK257" i="1" s="1"/>
  <c r="AF257" i="1"/>
  <c r="AE257" i="1"/>
  <c r="BH276" i="1"/>
  <c r="AX276" i="1"/>
  <c r="BG276" i="1"/>
  <c r="AF276" i="1"/>
  <c r="BC276" i="1" s="1"/>
  <c r="AE276" i="1"/>
  <c r="BK278" i="1"/>
  <c r="AE299" i="1"/>
  <c r="BC299" i="1"/>
  <c r="BK299" i="1" s="1"/>
  <c r="AX299" i="1"/>
  <c r="AE307" i="1"/>
  <c r="AC307" i="1"/>
  <c r="BG307" i="1"/>
  <c r="BJ307" i="1" s="1"/>
  <c r="AE309" i="1"/>
  <c r="AC309" i="1"/>
  <c r="BG309" i="1"/>
  <c r="BJ309" i="1" s="1"/>
  <c r="BC313" i="1"/>
  <c r="BK313" i="1" s="1"/>
  <c r="AE313" i="1"/>
  <c r="AE76" i="1"/>
  <c r="AC81" i="1"/>
  <c r="AE83" i="1"/>
  <c r="AE98" i="1"/>
  <c r="AC99" i="1"/>
  <c r="AE101" i="1"/>
  <c r="AE109" i="1"/>
  <c r="AC122" i="1"/>
  <c r="AE130" i="1"/>
  <c r="BG144" i="1"/>
  <c r="BJ144" i="1" s="1"/>
  <c r="AX147" i="1"/>
  <c r="BC148" i="1"/>
  <c r="AE150" i="1"/>
  <c r="AC152" i="1"/>
  <c r="AE152" i="1"/>
  <c r="AX156" i="1"/>
  <c r="BJ157" i="1"/>
  <c r="BC157" i="1"/>
  <c r="BK157" i="1" s="1"/>
  <c r="BG160" i="1"/>
  <c r="BJ160" i="1" s="1"/>
  <c r="AC160" i="1"/>
  <c r="AE160" i="1"/>
  <c r="AE161" i="1"/>
  <c r="AX161" i="1"/>
  <c r="AX162" i="1"/>
  <c r="BC163" i="1"/>
  <c r="BK163" i="1" s="1"/>
  <c r="AX163" i="1"/>
  <c r="BC164" i="1"/>
  <c r="BG165" i="1"/>
  <c r="BJ165" i="1" s="1"/>
  <c r="AX168" i="1"/>
  <c r="BH170" i="1"/>
  <c r="AF170" i="1"/>
  <c r="BC170" i="1" s="1"/>
  <c r="BG170" i="1"/>
  <c r="BH171" i="1"/>
  <c r="AF171" i="1"/>
  <c r="BC171" i="1" s="1"/>
  <c r="BG171" i="1"/>
  <c r="AE173" i="1"/>
  <c r="BG173" i="1"/>
  <c r="BJ173" i="1" s="1"/>
  <c r="AC173" i="1"/>
  <c r="AF175" i="1"/>
  <c r="BC175" i="1" s="1"/>
  <c r="BK175" i="1" s="1"/>
  <c r="AE177" i="1"/>
  <c r="AW178" i="1"/>
  <c r="AX178" i="1" s="1"/>
  <c r="AS178" i="1"/>
  <c r="AU178" i="1" s="1"/>
  <c r="AX180" i="1"/>
  <c r="BJ181" i="1"/>
  <c r="BC181" i="1"/>
  <c r="BK181" i="1" s="1"/>
  <c r="AF182" i="1"/>
  <c r="BC182" i="1" s="1"/>
  <c r="AE183" i="1"/>
  <c r="BC187" i="1"/>
  <c r="BK187" i="1" s="1"/>
  <c r="BG194" i="1"/>
  <c r="BJ194" i="1" s="1"/>
  <c r="AE194" i="1"/>
  <c r="AC194" i="1"/>
  <c r="BC201" i="1"/>
  <c r="BG201" i="1"/>
  <c r="BJ201" i="1" s="1"/>
  <c r="AX203" i="1"/>
  <c r="BC206" i="1"/>
  <c r="BK206" i="1" s="1"/>
  <c r="BG206" i="1"/>
  <c r="BJ206" i="1" s="1"/>
  <c r="AX207" i="1"/>
  <c r="BC209" i="1"/>
  <c r="AE214" i="1"/>
  <c r="BG214" i="1"/>
  <c r="BJ214" i="1" s="1"/>
  <c r="AC214" i="1"/>
  <c r="BC218" i="1"/>
  <c r="BG218" i="1"/>
  <c r="BJ218" i="1" s="1"/>
  <c r="AX219" i="1"/>
  <c r="AE220" i="1"/>
  <c r="AF222" i="1"/>
  <c r="BC222" i="1" s="1"/>
  <c r="BK222" i="1" s="1"/>
  <c r="BC233" i="1"/>
  <c r="BK233" i="1" s="1"/>
  <c r="AE233" i="1"/>
  <c r="AE247" i="1"/>
  <c r="AC247" i="1"/>
  <c r="BC260" i="1"/>
  <c r="BC262" i="1"/>
  <c r="AE262" i="1"/>
  <c r="BK270" i="1"/>
  <c r="BC272" i="1"/>
  <c r="BG272" i="1"/>
  <c r="BJ272" i="1" s="1"/>
  <c r="AE272" i="1"/>
  <c r="AE278" i="1"/>
  <c r="BG278" i="1"/>
  <c r="BJ278" i="1" s="1"/>
  <c r="AC278" i="1"/>
  <c r="AF290" i="1"/>
  <c r="BC290" i="1" s="1"/>
  <c r="BK290" i="1" s="1"/>
  <c r="AX315" i="1"/>
  <c r="BC315" i="1"/>
  <c r="BK315" i="1" s="1"/>
  <c r="AF315" i="1"/>
  <c r="AE315" i="1"/>
  <c r="BG145" i="1"/>
  <c r="BJ145" i="1" s="1"/>
  <c r="AE145" i="1"/>
  <c r="AC145" i="1"/>
  <c r="BG148" i="1"/>
  <c r="BJ148" i="1" s="1"/>
  <c r="AX151" i="1"/>
  <c r="BC152" i="1"/>
  <c r="BK152" i="1" s="1"/>
  <c r="AF153" i="1"/>
  <c r="BC153" i="1" s="1"/>
  <c r="BK153" i="1" s="1"/>
  <c r="AC159" i="1"/>
  <c r="AE159" i="1"/>
  <c r="BG164" i="1"/>
  <c r="BJ164" i="1" s="1"/>
  <c r="AE166" i="1"/>
  <c r="AC166" i="1"/>
  <c r="BJ172" i="1"/>
  <c r="BK172" i="1" s="1"/>
  <c r="AF174" i="1"/>
  <c r="BC174" i="1" s="1"/>
  <c r="BK174" i="1" s="1"/>
  <c r="BG174" i="1"/>
  <c r="BJ174" i="1" s="1"/>
  <c r="AX175" i="1"/>
  <c r="BG182" i="1"/>
  <c r="AE185" i="1"/>
  <c r="AC185" i="1"/>
  <c r="AX188" i="1"/>
  <c r="BG191" i="1"/>
  <c r="BJ191" i="1" s="1"/>
  <c r="BC191" i="1"/>
  <c r="BK191" i="1" s="1"/>
  <c r="AF191" i="1"/>
  <c r="AE192" i="1"/>
  <c r="AC192" i="1"/>
  <c r="BK194" i="1"/>
  <c r="AF195" i="1"/>
  <c r="BC195" i="1" s="1"/>
  <c r="BK195" i="1" s="1"/>
  <c r="AF197" i="1"/>
  <c r="BC197" i="1" s="1"/>
  <c r="AE197" i="1"/>
  <c r="BH197" i="1"/>
  <c r="BJ197" i="1" s="1"/>
  <c r="AX197" i="1"/>
  <c r="AX200" i="1"/>
  <c r="AF202" i="1"/>
  <c r="BC202" i="1" s="1"/>
  <c r="BK202" i="1" s="1"/>
  <c r="AX202" i="1"/>
  <c r="AX205" i="1"/>
  <c r="AF210" i="1"/>
  <c r="BC210" i="1" s="1"/>
  <c r="BK210" i="1" s="1"/>
  <c r="AE210" i="1"/>
  <c r="AX210" i="1"/>
  <c r="AE212" i="1"/>
  <c r="AC212" i="1"/>
  <c r="BG215" i="1"/>
  <c r="BJ215" i="1" s="1"/>
  <c r="AX216" i="1"/>
  <c r="BC221" i="1"/>
  <c r="BK221" i="1" s="1"/>
  <c r="AE221" i="1"/>
  <c r="AE223" i="1"/>
  <c r="AC223" i="1"/>
  <c r="BG229" i="1"/>
  <c r="BJ229" i="1" s="1"/>
  <c r="AF229" i="1"/>
  <c r="BC229" i="1" s="1"/>
  <c r="BK229" i="1" s="1"/>
  <c r="AX229" i="1"/>
  <c r="AE229" i="1"/>
  <c r="BH229" i="1"/>
  <c r="AC231" i="1"/>
  <c r="BG231" i="1"/>
  <c r="BJ231" i="1" s="1"/>
  <c r="AE231" i="1"/>
  <c r="BG240" i="1"/>
  <c r="BC240" i="1"/>
  <c r="AF240" i="1"/>
  <c r="AX240" i="1"/>
  <c r="AE240" i="1"/>
  <c r="BH240" i="1"/>
  <c r="AC242" i="1"/>
  <c r="AE242" i="1"/>
  <c r="BC244" i="1"/>
  <c r="BK244" i="1" s="1"/>
  <c r="AE244" i="1"/>
  <c r="AX244" i="1"/>
  <c r="BK258" i="1"/>
  <c r="BK279" i="1"/>
  <c r="BH283" i="1"/>
  <c r="AX283" i="1"/>
  <c r="BG283" i="1"/>
  <c r="AF283" i="1"/>
  <c r="BC283" i="1" s="1"/>
  <c r="AE283" i="1"/>
  <c r="BC286" i="1"/>
  <c r="AE286" i="1"/>
  <c r="BK293" i="1"/>
  <c r="AX297" i="1"/>
  <c r="BC297" i="1"/>
  <c r="BK297" i="1" s="1"/>
  <c r="AE297" i="1"/>
  <c r="AE184" i="1"/>
  <c r="AE186" i="1"/>
  <c r="AE193" i="1"/>
  <c r="AE200" i="1"/>
  <c r="AE202" i="1"/>
  <c r="AE205" i="1"/>
  <c r="AE207" i="1"/>
  <c r="BG208" i="1"/>
  <c r="BJ208" i="1" s="1"/>
  <c r="BH209" i="1"/>
  <c r="BJ209" i="1" s="1"/>
  <c r="AE211" i="1"/>
  <c r="AE213" i="1"/>
  <c r="AE216" i="1"/>
  <c r="AE219" i="1"/>
  <c r="AE224" i="1"/>
  <c r="BC232" i="1"/>
  <c r="BK232" i="1" s="1"/>
  <c r="AE232" i="1"/>
  <c r="AX233" i="1"/>
  <c r="BC236" i="1"/>
  <c r="BC239" i="1"/>
  <c r="BK239" i="1" s="1"/>
  <c r="AX246" i="1"/>
  <c r="BC250" i="1"/>
  <c r="BK250" i="1" s="1"/>
  <c r="AF250" i="1"/>
  <c r="AE250" i="1"/>
  <c r="BG253" i="1"/>
  <c r="BJ253" i="1" s="1"/>
  <c r="BC253" i="1"/>
  <c r="BK253" i="1" s="1"/>
  <c r="AF253" i="1"/>
  <c r="AE253" i="1"/>
  <c r="AX253" i="1"/>
  <c r="AX254" i="1"/>
  <c r="BC254" i="1"/>
  <c r="BK254" i="1" s="1"/>
  <c r="AE254" i="1"/>
  <c r="AX262" i="1"/>
  <c r="BK263" i="1"/>
  <c r="AX265" i="1"/>
  <c r="AF266" i="1"/>
  <c r="BC266" i="1" s="1"/>
  <c r="BK266" i="1" s="1"/>
  <c r="AE266" i="1"/>
  <c r="AX266" i="1"/>
  <c r="AE267" i="1"/>
  <c r="AX267" i="1"/>
  <c r="BG274" i="1"/>
  <c r="BJ274" i="1" s="1"/>
  <c r="AF274" i="1"/>
  <c r="BC274" i="1" s="1"/>
  <c r="BK274" i="1" s="1"/>
  <c r="AX277" i="1"/>
  <c r="AE282" i="1"/>
  <c r="BK285" i="1"/>
  <c r="AX286" i="1"/>
  <c r="AE288" i="1"/>
  <c r="AC288" i="1"/>
  <c r="BG288" i="1"/>
  <c r="BJ288" i="1" s="1"/>
  <c r="AE289" i="1"/>
  <c r="AE290" i="1"/>
  <c r="BG290" i="1"/>
  <c r="BJ290" i="1" s="1"/>
  <c r="AC290" i="1"/>
  <c r="AX290" i="1"/>
  <c r="AX292" i="1"/>
  <c r="AF292" i="1"/>
  <c r="BC292" i="1" s="1"/>
  <c r="BK292" i="1" s="1"/>
  <c r="AE293" i="1"/>
  <c r="AC293" i="1"/>
  <c r="BG293" i="1"/>
  <c r="BJ293" i="1" s="1"/>
  <c r="BC295" i="1"/>
  <c r="AE296" i="1"/>
  <c r="BC298" i="1"/>
  <c r="BK298" i="1" s="1"/>
  <c r="AF301" i="1"/>
  <c r="BC301" i="1" s="1"/>
  <c r="BK301" i="1" s="1"/>
  <c r="AX301" i="1"/>
  <c r="BG302" i="1"/>
  <c r="BJ302" i="1" s="1"/>
  <c r="AF302" i="1"/>
  <c r="BC302" i="1" s="1"/>
  <c r="BK302" i="1" s="1"/>
  <c r="AX302" i="1"/>
  <c r="BG303" i="1"/>
  <c r="BJ303" i="1" s="1"/>
  <c r="AF303" i="1"/>
  <c r="BC303" i="1" s="1"/>
  <c r="BK303" i="1" s="1"/>
  <c r="AX303" i="1"/>
  <c r="BC305" i="1"/>
  <c r="BK305" i="1" s="1"/>
  <c r="AF305" i="1"/>
  <c r="AX305" i="1"/>
  <c r="BK312" i="1"/>
  <c r="AE314" i="1"/>
  <c r="AX316" i="1"/>
  <c r="AX317" i="1"/>
  <c r="BC317" i="1"/>
  <c r="BK317" i="1" s="1"/>
  <c r="BG319" i="1"/>
  <c r="BJ319" i="1" s="1"/>
  <c r="AF319" i="1"/>
  <c r="BC319" i="1" s="1"/>
  <c r="BK319" i="1" s="1"/>
  <c r="AX319" i="1"/>
  <c r="AE319" i="1"/>
  <c r="AF329" i="1"/>
  <c r="BC329" i="1" s="1"/>
  <c r="BK329" i="1" s="1"/>
  <c r="AX329" i="1"/>
  <c r="AE329" i="1"/>
  <c r="AX336" i="1"/>
  <c r="AE336" i="1"/>
  <c r="BC336" i="1"/>
  <c r="BK336" i="1" s="1"/>
  <c r="AE351" i="1"/>
  <c r="AC351" i="1"/>
  <c r="AE359" i="1"/>
  <c r="BG359" i="1"/>
  <c r="BJ359" i="1" s="1"/>
  <c r="AC359" i="1"/>
  <c r="BG377" i="1"/>
  <c r="BJ377" i="1" s="1"/>
  <c r="AE377" i="1"/>
  <c r="AC377" i="1"/>
  <c r="BG184" i="1"/>
  <c r="BG186" i="1"/>
  <c r="BJ186" i="1" s="1"/>
  <c r="BG193" i="1"/>
  <c r="BJ193" i="1" s="1"/>
  <c r="BG200" i="1"/>
  <c r="BJ200" i="1" s="1"/>
  <c r="BG205" i="1"/>
  <c r="BJ205" i="1" s="1"/>
  <c r="BG207" i="1"/>
  <c r="AX208" i="1"/>
  <c r="BG211" i="1"/>
  <c r="BG213" i="1"/>
  <c r="BJ213" i="1" s="1"/>
  <c r="BG219" i="1"/>
  <c r="BJ219" i="1" s="1"/>
  <c r="BG224" i="1"/>
  <c r="BJ224" i="1" s="1"/>
  <c r="BG225" i="1"/>
  <c r="BJ225" i="1" s="1"/>
  <c r="BC234" i="1"/>
  <c r="BK234" i="1" s="1"/>
  <c r="AE234" i="1"/>
  <c r="AX237" i="1"/>
  <c r="BK247" i="1"/>
  <c r="AX251" i="1"/>
  <c r="BG265" i="1"/>
  <c r="AE265" i="1"/>
  <c r="AC265" i="1"/>
  <c r="BC268" i="1"/>
  <c r="BK268" i="1" s="1"/>
  <c r="AX287" i="1"/>
  <c r="BC287" i="1"/>
  <c r="BK287" i="1" s="1"/>
  <c r="AE298" i="1"/>
  <c r="AC298" i="1"/>
  <c r="BG298" i="1"/>
  <c r="BJ298" i="1" s="1"/>
  <c r="BC300" i="1"/>
  <c r="BK300" i="1" s="1"/>
  <c r="BG304" i="1"/>
  <c r="BC304" i="1"/>
  <c r="AF304" i="1"/>
  <c r="AX308" i="1"/>
  <c r="BC308" i="1"/>
  <c r="BK308" i="1" s="1"/>
  <c r="BC310" i="1"/>
  <c r="BK310" i="1" s="1"/>
  <c r="AF310" i="1"/>
  <c r="AX310" i="1"/>
  <c r="BC320" i="1"/>
  <c r="BK320" i="1" s="1"/>
  <c r="AE320" i="1"/>
  <c r="AE322" i="1"/>
  <c r="BC322" i="1"/>
  <c r="BK327" i="1"/>
  <c r="AX332" i="1"/>
  <c r="AE332" i="1"/>
  <c r="BC332" i="1"/>
  <c r="BK332" i="1" s="1"/>
  <c r="BG357" i="1"/>
  <c r="BJ357" i="1" s="1"/>
  <c r="AF357" i="1"/>
  <c r="BC357" i="1" s="1"/>
  <c r="BK357" i="1" s="1"/>
  <c r="AX357" i="1"/>
  <c r="AE368" i="1"/>
  <c r="AC368" i="1"/>
  <c r="BG368" i="1"/>
  <c r="BJ368" i="1" s="1"/>
  <c r="AE370" i="1"/>
  <c r="AC370" i="1"/>
  <c r="BG370" i="1"/>
  <c r="BJ370" i="1" s="1"/>
  <c r="BK375" i="1"/>
  <c r="AX375" i="1"/>
  <c r="BK407" i="1"/>
  <c r="AE417" i="1"/>
  <c r="AC417" i="1"/>
  <c r="AC186" i="1"/>
  <c r="AC202" i="1"/>
  <c r="AC219" i="1"/>
  <c r="AE225" i="1"/>
  <c r="BG228" i="1"/>
  <c r="BC228" i="1"/>
  <c r="AF228" i="1"/>
  <c r="BH228" i="1"/>
  <c r="BH230" i="1"/>
  <c r="BG230" i="1"/>
  <c r="BJ230" i="1" s="1"/>
  <c r="AF230" i="1"/>
  <c r="BC230" i="1" s="1"/>
  <c r="AX234" i="1"/>
  <c r="AE235" i="1"/>
  <c r="BG236" i="1"/>
  <c r="BJ236" i="1" s="1"/>
  <c r="BG239" i="1"/>
  <c r="BJ239" i="1" s="1"/>
  <c r="BG241" i="1"/>
  <c r="BJ241" i="1" s="1"/>
  <c r="AF241" i="1"/>
  <c r="BC241" i="1" s="1"/>
  <c r="BK241" i="1" s="1"/>
  <c r="BK245" i="1"/>
  <c r="AX248" i="1"/>
  <c r="AC249" i="1"/>
  <c r="BG249" i="1"/>
  <c r="BJ249" i="1" s="1"/>
  <c r="AE255" i="1"/>
  <c r="BG255" i="1"/>
  <c r="BJ255" i="1" s="1"/>
  <c r="AC255" i="1"/>
  <c r="AX255" i="1"/>
  <c r="BK256" i="1"/>
  <c r="AE260" i="1"/>
  <c r="BG260" i="1"/>
  <c r="BJ260" i="1" s="1"/>
  <c r="AC260" i="1"/>
  <c r="AX260" i="1"/>
  <c r="BK261" i="1"/>
  <c r="AX264" i="1"/>
  <c r="BH265" i="1"/>
  <c r="BC267" i="1"/>
  <c r="BK275" i="1"/>
  <c r="BH277" i="1"/>
  <c r="BG277" i="1"/>
  <c r="BJ277" i="1" s="1"/>
  <c r="AF277" i="1"/>
  <c r="BC277" i="1"/>
  <c r="AF281" i="1"/>
  <c r="BC281" i="1" s="1"/>
  <c r="BK281" i="1" s="1"/>
  <c r="AX281" i="1"/>
  <c r="BG282" i="1"/>
  <c r="BJ282" i="1" s="1"/>
  <c r="AF282" i="1"/>
  <c r="BC282" i="1" s="1"/>
  <c r="BK282" i="1" s="1"/>
  <c r="AX282" i="1"/>
  <c r="AX288" i="1"/>
  <c r="AX289" i="1"/>
  <c r="BG289" i="1"/>
  <c r="BJ289" i="1" s="1"/>
  <c r="BC289" i="1"/>
  <c r="AX293" i="1"/>
  <c r="AF294" i="1"/>
  <c r="BC294" i="1" s="1"/>
  <c r="BK294" i="1" s="1"/>
  <c r="AE294" i="1"/>
  <c r="AX294" i="1"/>
  <c r="BH304" i="1"/>
  <c r="AX306" i="1"/>
  <c r="BG306" i="1"/>
  <c r="BJ306" i="1" s="1"/>
  <c r="BC306" i="1"/>
  <c r="BK306" i="1" s="1"/>
  <c r="AF306" i="1"/>
  <c r="BC307" i="1"/>
  <c r="BK307" i="1" s="1"/>
  <c r="BC309" i="1"/>
  <c r="AX313" i="1"/>
  <c r="BG314" i="1"/>
  <c r="BJ314" i="1" s="1"/>
  <c r="BC314" i="1"/>
  <c r="BK314" i="1" s="1"/>
  <c r="AF314" i="1"/>
  <c r="AX314" i="1"/>
  <c r="AE316" i="1"/>
  <c r="AC316" i="1"/>
  <c r="BG316" i="1"/>
  <c r="BJ316" i="1" s="1"/>
  <c r="AE318" i="1"/>
  <c r="BG318" i="1"/>
  <c r="BJ318" i="1" s="1"/>
  <c r="AC318" i="1"/>
  <c r="AX326" i="1"/>
  <c r="AE326" i="1"/>
  <c r="BC326" i="1"/>
  <c r="BK326" i="1" s="1"/>
  <c r="BC328" i="1"/>
  <c r="BK328" i="1" s="1"/>
  <c r="AF328" i="1"/>
  <c r="AX328" i="1"/>
  <c r="BC344" i="1"/>
  <c r="BK344" i="1" s="1"/>
  <c r="AX344" i="1"/>
  <c r="BH352" i="1"/>
  <c r="AX352" i="1"/>
  <c r="BG352" i="1"/>
  <c r="BJ352" i="1" s="1"/>
  <c r="AF352" i="1"/>
  <c r="BC352" i="1" s="1"/>
  <c r="BK352" i="1" s="1"/>
  <c r="BG354" i="1"/>
  <c r="BJ354" i="1" s="1"/>
  <c r="AF354" i="1"/>
  <c r="BC354" i="1" s="1"/>
  <c r="BK354" i="1" s="1"/>
  <c r="AX354" i="1"/>
  <c r="BC361" i="1"/>
  <c r="BK361" i="1" s="1"/>
  <c r="AX361" i="1"/>
  <c r="AF401" i="1"/>
  <c r="BC401" i="1" s="1"/>
  <c r="BK401" i="1" s="1"/>
  <c r="BG401" i="1"/>
  <c r="BJ401" i="1" s="1"/>
  <c r="AX401" i="1"/>
  <c r="BG237" i="1"/>
  <c r="BJ237" i="1" s="1"/>
  <c r="BG246" i="1"/>
  <c r="BJ246" i="1" s="1"/>
  <c r="BG248" i="1"/>
  <c r="BJ248" i="1" s="1"/>
  <c r="BG251" i="1"/>
  <c r="BJ251" i="1" s="1"/>
  <c r="BG262" i="1"/>
  <c r="BJ262" i="1" s="1"/>
  <c r="BG264" i="1"/>
  <c r="BJ264" i="1" s="1"/>
  <c r="BG267" i="1"/>
  <c r="BJ267" i="1" s="1"/>
  <c r="BG270" i="1"/>
  <c r="BJ270" i="1" s="1"/>
  <c r="BG280" i="1"/>
  <c r="BJ280" i="1" s="1"/>
  <c r="BG284" i="1"/>
  <c r="BJ284" i="1" s="1"/>
  <c r="BG286" i="1"/>
  <c r="BJ286" i="1" s="1"/>
  <c r="BG295" i="1"/>
  <c r="BJ295" i="1" s="1"/>
  <c r="AE308" i="1"/>
  <c r="AE317" i="1"/>
  <c r="AX320" i="1"/>
  <c r="BC323" i="1"/>
  <c r="BK323" i="1" s="1"/>
  <c r="BG323" i="1"/>
  <c r="BJ323" i="1" s="1"/>
  <c r="BC330" i="1"/>
  <c r="BK330" i="1" s="1"/>
  <c r="BC333" i="1"/>
  <c r="BG334" i="1"/>
  <c r="BJ334" i="1" s="1"/>
  <c r="AE335" i="1"/>
  <c r="BC337" i="1"/>
  <c r="BK337" i="1" s="1"/>
  <c r="AF337" i="1"/>
  <c r="AX337" i="1"/>
  <c r="AX338" i="1"/>
  <c r="BC338" i="1"/>
  <c r="BK338" i="1" s="1"/>
  <c r="AX339" i="1"/>
  <c r="BG340" i="1"/>
  <c r="BJ340" i="1" s="1"/>
  <c r="AF340" i="1"/>
  <c r="BC340" i="1" s="1"/>
  <c r="BK340" i="1" s="1"/>
  <c r="AX340" i="1"/>
  <c r="AE342" i="1"/>
  <c r="AC342" i="1"/>
  <c r="BG342" i="1"/>
  <c r="BJ342" i="1" s="1"/>
  <c r="BC343" i="1"/>
  <c r="BK343" i="1" s="1"/>
  <c r="BC345" i="1"/>
  <c r="BK345" i="1" s="1"/>
  <c r="AE346" i="1"/>
  <c r="BK348" i="1"/>
  <c r="AX348" i="1"/>
  <c r="AE352" i="1"/>
  <c r="AC352" i="1"/>
  <c r="BC353" i="1"/>
  <c r="BK353" i="1" s="1"/>
  <c r="AX358" i="1"/>
  <c r="BC358" i="1"/>
  <c r="BK358" i="1" s="1"/>
  <c r="AF358" i="1"/>
  <c r="AF359" i="1"/>
  <c r="BC359" i="1" s="1"/>
  <c r="BK359" i="1" s="1"/>
  <c r="AX363" i="1"/>
  <c r="BG363" i="1"/>
  <c r="BJ363" i="1" s="1"/>
  <c r="AF364" i="1"/>
  <c r="BC364" i="1" s="1"/>
  <c r="BK364" i="1" s="1"/>
  <c r="BH364" i="1"/>
  <c r="AX364" i="1"/>
  <c r="BG375" i="1"/>
  <c r="BJ375" i="1" s="1"/>
  <c r="AE375" i="1"/>
  <c r="AC375" i="1"/>
  <c r="AX376" i="1"/>
  <c r="AF376" i="1"/>
  <c r="BC376" i="1" s="1"/>
  <c r="BK376" i="1" s="1"/>
  <c r="AE379" i="1"/>
  <c r="BC379" i="1"/>
  <c r="AE382" i="1"/>
  <c r="BG382" i="1"/>
  <c r="BJ382" i="1" s="1"/>
  <c r="AC382" i="1"/>
  <c r="AX422" i="1"/>
  <c r="AF422" i="1"/>
  <c r="BC422" i="1" s="1"/>
  <c r="BK422" i="1" s="1"/>
  <c r="AE422" i="1"/>
  <c r="AC226" i="1"/>
  <c r="AE256" i="1"/>
  <c r="AC257" i="1"/>
  <c r="AE261" i="1"/>
  <c r="AE263" i="1"/>
  <c r="AC264" i="1"/>
  <c r="AE269" i="1"/>
  <c r="AE275" i="1"/>
  <c r="AE279" i="1"/>
  <c r="AE285" i="1"/>
  <c r="AE287" i="1"/>
  <c r="AE291" i="1"/>
  <c r="AC292" i="1"/>
  <c r="AE312" i="1"/>
  <c r="BC321" i="1"/>
  <c r="BK321" i="1" s="1"/>
  <c r="AF321" i="1"/>
  <c r="AE321" i="1"/>
  <c r="AX321" i="1"/>
  <c r="BC324" i="1"/>
  <c r="BK324" i="1" s="1"/>
  <c r="BC325" i="1"/>
  <c r="BG325" i="1"/>
  <c r="BJ325" i="1" s="1"/>
  <c r="BG327" i="1"/>
  <c r="BJ327" i="1" s="1"/>
  <c r="AE328" i="1"/>
  <c r="AE331" i="1"/>
  <c r="BG333" i="1"/>
  <c r="BJ333" i="1" s="1"/>
  <c r="AE333" i="1"/>
  <c r="BK339" i="1"/>
  <c r="AX341" i="1"/>
  <c r="BC341" i="1"/>
  <c r="BK341" i="1" s="1"/>
  <c r="AF341" i="1"/>
  <c r="AE345" i="1"/>
  <c r="BG348" i="1"/>
  <c r="BJ348" i="1" s="1"/>
  <c r="AE348" i="1"/>
  <c r="AC348" i="1"/>
  <c r="BH349" i="1"/>
  <c r="AX349" i="1"/>
  <c r="BG349" i="1"/>
  <c r="AF349" i="1"/>
  <c r="BC349" i="1" s="1"/>
  <c r="BH350" i="1"/>
  <c r="AX350" i="1"/>
  <c r="BG350" i="1"/>
  <c r="AF350" i="1"/>
  <c r="BC350" i="1" s="1"/>
  <c r="AE353" i="1"/>
  <c r="AC353" i="1"/>
  <c r="BG353" i="1"/>
  <c r="BJ353" i="1" s="1"/>
  <c r="AE354" i="1"/>
  <c r="BK356" i="1"/>
  <c r="AE357" i="1"/>
  <c r="AE363" i="1"/>
  <c r="AC363" i="1"/>
  <c r="AF365" i="1"/>
  <c r="BC365" i="1" s="1"/>
  <c r="BK365" i="1" s="1"/>
  <c r="AX365" i="1"/>
  <c r="BG366" i="1"/>
  <c r="BJ366" i="1" s="1"/>
  <c r="AF366" i="1"/>
  <c r="BC366" i="1" s="1"/>
  <c r="BK366" i="1" s="1"/>
  <c r="AX366" i="1"/>
  <c r="AX367" i="1"/>
  <c r="BC367" i="1"/>
  <c r="BK367" i="1" s="1"/>
  <c r="AX368" i="1"/>
  <c r="AX369" i="1"/>
  <c r="BC369" i="1"/>
  <c r="BK369" i="1" s="1"/>
  <c r="AX370" i="1"/>
  <c r="BG371" i="1"/>
  <c r="BJ371" i="1" s="1"/>
  <c r="AF371" i="1"/>
  <c r="BC371" i="1" s="1"/>
  <c r="BK371" i="1" s="1"/>
  <c r="AX371" i="1"/>
  <c r="BG381" i="1"/>
  <c r="BJ381" i="1" s="1"/>
  <c r="AE381" i="1"/>
  <c r="AC381" i="1"/>
  <c r="BC386" i="1"/>
  <c r="BC414" i="1"/>
  <c r="BK414" i="1" s="1"/>
  <c r="AX414" i="1"/>
  <c r="AE420" i="1"/>
  <c r="AC420" i="1"/>
  <c r="BG420" i="1"/>
  <c r="BJ420" i="1" s="1"/>
  <c r="BK318" i="1"/>
  <c r="AX318" i="1"/>
  <c r="AX322" i="1"/>
  <c r="BG335" i="1"/>
  <c r="BJ335" i="1" s="1"/>
  <c r="BC335" i="1"/>
  <c r="BK335" i="1" s="1"/>
  <c r="AF335" i="1"/>
  <c r="AX335" i="1"/>
  <c r="AE339" i="1"/>
  <c r="AC339" i="1"/>
  <c r="BG339" i="1"/>
  <c r="BJ339" i="1" s="1"/>
  <c r="AX342" i="1"/>
  <c r="BH351" i="1"/>
  <c r="AX351" i="1"/>
  <c r="BG351" i="1"/>
  <c r="BJ351" i="1" s="1"/>
  <c r="BC360" i="1"/>
  <c r="AF360" i="1"/>
  <c r="BH360" i="1"/>
  <c r="BJ360" i="1" s="1"/>
  <c r="AX360" i="1"/>
  <c r="AX362" i="1"/>
  <c r="AF362" i="1"/>
  <c r="BC362" i="1" s="1"/>
  <c r="BK362" i="1" s="1"/>
  <c r="BJ364" i="1"/>
  <c r="BK368" i="1"/>
  <c r="BK370" i="1"/>
  <c r="AX372" i="1"/>
  <c r="BG372" i="1"/>
  <c r="BJ372" i="1" s="1"/>
  <c r="AF372" i="1"/>
  <c r="BC372" i="1" s="1"/>
  <c r="BK372" i="1" s="1"/>
  <c r="AF373" i="1"/>
  <c r="BC373" i="1" s="1"/>
  <c r="BK373" i="1" s="1"/>
  <c r="AX373" i="1"/>
  <c r="AX374" i="1"/>
  <c r="BC374" i="1"/>
  <c r="BK374" i="1" s="1"/>
  <c r="BC378" i="1"/>
  <c r="BK378" i="1" s="1"/>
  <c r="AF378" i="1"/>
  <c r="AX378" i="1"/>
  <c r="AE378" i="1"/>
  <c r="AX380" i="1"/>
  <c r="BC380" i="1"/>
  <c r="BG384" i="1"/>
  <c r="BJ384" i="1" s="1"/>
  <c r="AF384" i="1"/>
  <c r="BC384" i="1"/>
  <c r="BK384" i="1" s="1"/>
  <c r="BH384" i="1"/>
  <c r="AX384" i="1"/>
  <c r="BG399" i="1"/>
  <c r="BJ399" i="1" s="1"/>
  <c r="AF399" i="1"/>
  <c r="BC399" i="1" s="1"/>
  <c r="BK399" i="1" s="1"/>
  <c r="AX399" i="1"/>
  <c r="BC402" i="1"/>
  <c r="BK402" i="1" s="1"/>
  <c r="AF402" i="1"/>
  <c r="AX402" i="1"/>
  <c r="BC433" i="1"/>
  <c r="AF433" i="1"/>
  <c r="AX433" i="1"/>
  <c r="BH433" i="1"/>
  <c r="AE433" i="1"/>
  <c r="BG433" i="1"/>
  <c r="AC435" i="1"/>
  <c r="AE435" i="1"/>
  <c r="BG322" i="1"/>
  <c r="BJ322" i="1" s="1"/>
  <c r="AE338" i="1"/>
  <c r="AE343" i="1"/>
  <c r="AE347" i="1"/>
  <c r="AE367" i="1"/>
  <c r="AE369" i="1"/>
  <c r="AE374" i="1"/>
  <c r="BC377" i="1"/>
  <c r="BK377" i="1" s="1"/>
  <c r="AF382" i="1"/>
  <c r="BC382" i="1" s="1"/>
  <c r="BK382" i="1" s="1"/>
  <c r="BC383" i="1"/>
  <c r="BJ383" i="1"/>
  <c r="AE384" i="1"/>
  <c r="AX385" i="1"/>
  <c r="BC385" i="1"/>
  <c r="BK385" i="1" s="1"/>
  <c r="AX388" i="1"/>
  <c r="BG389" i="1"/>
  <c r="BJ389" i="1" s="1"/>
  <c r="BC389" i="1"/>
  <c r="BK389" i="1" s="1"/>
  <c r="AF389" i="1"/>
  <c r="AX389" i="1"/>
  <c r="AX390" i="1"/>
  <c r="BC390" i="1"/>
  <c r="BK390" i="1" s="1"/>
  <c r="AX391" i="1"/>
  <c r="BC392" i="1"/>
  <c r="BK392" i="1" s="1"/>
  <c r="AF392" i="1"/>
  <c r="AX392" i="1"/>
  <c r="AX394" i="1"/>
  <c r="AX395" i="1"/>
  <c r="AX397" i="1"/>
  <c r="BC397" i="1"/>
  <c r="BK397" i="1" s="1"/>
  <c r="AE397" i="1"/>
  <c r="BC398" i="1"/>
  <c r="BK398" i="1" s="1"/>
  <c r="AE399" i="1"/>
  <c r="AE401" i="1"/>
  <c r="AX404" i="1"/>
  <c r="AX405" i="1"/>
  <c r="BC405" i="1"/>
  <c r="BK405" i="1" s="1"/>
  <c r="AX406" i="1"/>
  <c r="AX408" i="1"/>
  <c r="AE412" i="1"/>
  <c r="AE419" i="1"/>
  <c r="BH425" i="1"/>
  <c r="AX425" i="1"/>
  <c r="BG425" i="1"/>
  <c r="BJ425" i="1" s="1"/>
  <c r="AF425" i="1"/>
  <c r="BC425" i="1" s="1"/>
  <c r="BK425" i="1" s="1"/>
  <c r="BH426" i="1"/>
  <c r="AX426" i="1"/>
  <c r="BG426" i="1"/>
  <c r="BJ426" i="1" s="1"/>
  <c r="BC426" i="1"/>
  <c r="BK426" i="1" s="1"/>
  <c r="AF426" i="1"/>
  <c r="BC427" i="1"/>
  <c r="BK427" i="1" s="1"/>
  <c r="AF428" i="1"/>
  <c r="BC428" i="1" s="1"/>
  <c r="BK428" i="1" s="1"/>
  <c r="BG434" i="1"/>
  <c r="AF434" i="1"/>
  <c r="BC434" i="1" s="1"/>
  <c r="AX434" i="1"/>
  <c r="BH434" i="1"/>
  <c r="AE434" i="1"/>
  <c r="AE344" i="1"/>
  <c r="AE356" i="1"/>
  <c r="AE361" i="1"/>
  <c r="BC381" i="1"/>
  <c r="BK381" i="1" s="1"/>
  <c r="BH386" i="1"/>
  <c r="BG386" i="1"/>
  <c r="BJ386" i="1" s="1"/>
  <c r="AE387" i="1"/>
  <c r="AC387" i="1"/>
  <c r="AE402" i="1"/>
  <c r="AX403" i="1"/>
  <c r="BG403" i="1"/>
  <c r="BJ403" i="1" s="1"/>
  <c r="BC403" i="1"/>
  <c r="BK403" i="1" s="1"/>
  <c r="AF403" i="1"/>
  <c r="BK404" i="1"/>
  <c r="BH409" i="1"/>
  <c r="AX409" i="1"/>
  <c r="BG409" i="1"/>
  <c r="BC409" i="1"/>
  <c r="AF409" i="1"/>
  <c r="BH410" i="1"/>
  <c r="AX410" i="1"/>
  <c r="BG410" i="1"/>
  <c r="BJ410" i="1" s="1"/>
  <c r="AF410" i="1"/>
  <c r="BC410" i="1" s="1"/>
  <c r="BK410" i="1" s="1"/>
  <c r="BH411" i="1"/>
  <c r="AX411" i="1"/>
  <c r="BG411" i="1"/>
  <c r="BJ411" i="1" s="1"/>
  <c r="BC411" i="1"/>
  <c r="BK411" i="1" s="1"/>
  <c r="AF411" i="1"/>
  <c r="AE415" i="1"/>
  <c r="AX415" i="1"/>
  <c r="AX416" i="1"/>
  <c r="BC416" i="1"/>
  <c r="BK416" i="1" s="1"/>
  <c r="BC421" i="1"/>
  <c r="BK421" i="1" s="1"/>
  <c r="AF421" i="1"/>
  <c r="AX421" i="1"/>
  <c r="BK424" i="1"/>
  <c r="AE429" i="1"/>
  <c r="BG429" i="1"/>
  <c r="BJ429" i="1" s="1"/>
  <c r="BC429" i="1"/>
  <c r="BK429" i="1" s="1"/>
  <c r="AC452" i="1"/>
  <c r="AE452" i="1"/>
  <c r="BG452" i="1"/>
  <c r="BJ452" i="1" s="1"/>
  <c r="AX379" i="1"/>
  <c r="BJ380" i="1"/>
  <c r="AE386" i="1"/>
  <c r="AC386" i="1"/>
  <c r="BK388" i="1"/>
  <c r="AE391" i="1"/>
  <c r="AC391" i="1"/>
  <c r="BG391" i="1"/>
  <c r="BJ391" i="1" s="1"/>
  <c r="AX393" i="1"/>
  <c r="BC393" i="1"/>
  <c r="BK393" i="1" s="1"/>
  <c r="AF393" i="1"/>
  <c r="AE394" i="1"/>
  <c r="AC394" i="1"/>
  <c r="BG394" i="1"/>
  <c r="BJ394" i="1" s="1"/>
  <c r="BK395" i="1"/>
  <c r="AE398" i="1"/>
  <c r="AC398" i="1"/>
  <c r="AX400" i="1"/>
  <c r="AE404" i="1"/>
  <c r="AC404" i="1"/>
  <c r="BG404" i="1"/>
  <c r="BJ404" i="1" s="1"/>
  <c r="BG406" i="1"/>
  <c r="BJ406" i="1" s="1"/>
  <c r="AE406" i="1"/>
  <c r="AC406" i="1"/>
  <c r="BK408" i="1"/>
  <c r="BC413" i="1"/>
  <c r="AF413" i="1"/>
  <c r="BH413" i="1"/>
  <c r="BJ413" i="1" s="1"/>
  <c r="AX413" i="1"/>
  <c r="BK415" i="1"/>
  <c r="AX417" i="1"/>
  <c r="BG417" i="1"/>
  <c r="BJ417" i="1" s="1"/>
  <c r="AF418" i="1"/>
  <c r="BC418" i="1" s="1"/>
  <c r="BK418" i="1" s="1"/>
  <c r="AX418" i="1"/>
  <c r="AX419" i="1"/>
  <c r="BG419" i="1"/>
  <c r="BJ419" i="1" s="1"/>
  <c r="AF419" i="1"/>
  <c r="BC419" i="1" s="1"/>
  <c r="BK419" i="1" s="1"/>
  <c r="BC420" i="1"/>
  <c r="BK420" i="1" s="1"/>
  <c r="AE423" i="1"/>
  <c r="BG423" i="1"/>
  <c r="BJ423" i="1" s="1"/>
  <c r="AC423" i="1"/>
  <c r="BC432" i="1"/>
  <c r="BK432" i="1" s="1"/>
  <c r="AX432" i="1"/>
  <c r="AE432" i="1"/>
  <c r="BG435" i="1"/>
  <c r="BC435" i="1"/>
  <c r="AF435" i="1"/>
  <c r="AX435" i="1"/>
  <c r="BH435" i="1"/>
  <c r="AC437" i="1"/>
  <c r="AE437" i="1"/>
  <c r="AE440" i="1"/>
  <c r="AC440" i="1"/>
  <c r="BG379" i="1"/>
  <c r="BJ379" i="1" s="1"/>
  <c r="AE385" i="1"/>
  <c r="AE390" i="1"/>
  <c r="BG400" i="1"/>
  <c r="BJ400" i="1" s="1"/>
  <c r="AE405" i="1"/>
  <c r="BG407" i="1"/>
  <c r="BJ407" i="1" s="1"/>
  <c r="AE416" i="1"/>
  <c r="AE427" i="1"/>
  <c r="BC430" i="1"/>
  <c r="BK430" i="1" s="1"/>
  <c r="AF440" i="1"/>
  <c r="BC440" i="1" s="1"/>
  <c r="AX441" i="1"/>
  <c r="AX442" i="1"/>
  <c r="BC442" i="1"/>
  <c r="BK442" i="1" s="1"/>
  <c r="AE442" i="1"/>
  <c r="BC444" i="1"/>
  <c r="BK444" i="1" s="1"/>
  <c r="BH444" i="1"/>
  <c r="AX444" i="1"/>
  <c r="BK445" i="1"/>
  <c r="AE388" i="1"/>
  <c r="AC393" i="1"/>
  <c r="AE408" i="1"/>
  <c r="AE414" i="1"/>
  <c r="AE424" i="1"/>
  <c r="BH431" i="1"/>
  <c r="BJ431" i="1" s="1"/>
  <c r="AC431" i="1"/>
  <c r="BG436" i="1"/>
  <c r="BJ436" i="1" s="1"/>
  <c r="AC436" i="1"/>
  <c r="AF437" i="1"/>
  <c r="BC437" i="1" s="1"/>
  <c r="BK437" i="1" s="1"/>
  <c r="AX437" i="1"/>
  <c r="AX439" i="1"/>
  <c r="BC439" i="1"/>
  <c r="BK439" i="1" s="1"/>
  <c r="AE439" i="1"/>
  <c r="BH443" i="1"/>
  <c r="BG443" i="1"/>
  <c r="BJ443" i="1" s="1"/>
  <c r="AE444" i="1"/>
  <c r="AC444" i="1"/>
  <c r="BK446" i="1"/>
  <c r="AX446" i="1"/>
  <c r="BC447" i="1"/>
  <c r="BK447" i="1" s="1"/>
  <c r="AE447" i="1"/>
  <c r="BK456" i="1"/>
  <c r="BG467" i="1"/>
  <c r="AF467" i="1"/>
  <c r="BC467" i="1" s="1"/>
  <c r="AE467" i="1"/>
  <c r="BH467" i="1"/>
  <c r="AX467" i="1"/>
  <c r="AX429" i="1"/>
  <c r="BC436" i="1"/>
  <c r="BK436" i="1" s="1"/>
  <c r="AF436" i="1"/>
  <c r="BH440" i="1"/>
  <c r="BG440" i="1"/>
  <c r="AE441" i="1"/>
  <c r="AC441" i="1"/>
  <c r="BG441" i="1"/>
  <c r="BJ441" i="1" s="1"/>
  <c r="AE443" i="1"/>
  <c r="AC443" i="1"/>
  <c r="BJ444" i="1"/>
  <c r="AE449" i="1"/>
  <c r="AC449" i="1"/>
  <c r="BK458" i="1"/>
  <c r="AE460" i="1"/>
  <c r="AC460" i="1"/>
  <c r="BH464" i="1"/>
  <c r="BG464" i="1"/>
  <c r="BJ464" i="1" s="1"/>
  <c r="AF464" i="1"/>
  <c r="BC464" i="1" s="1"/>
  <c r="BK464" i="1" s="1"/>
  <c r="AE464" i="1"/>
  <c r="BK471" i="1"/>
  <c r="AX447" i="1"/>
  <c r="AX448" i="1"/>
  <c r="AX450" i="1"/>
  <c r="BC452" i="1"/>
  <c r="BC455" i="1"/>
  <c r="BK455" i="1" s="1"/>
  <c r="AX456" i="1"/>
  <c r="BC457" i="1"/>
  <c r="BK457" i="1" s="1"/>
  <c r="AX458" i="1"/>
  <c r="BC460" i="1"/>
  <c r="BK460" i="1" s="1"/>
  <c r="BK461" i="1"/>
  <c r="AX462" i="1"/>
  <c r="BG462" i="1"/>
  <c r="BJ462" i="1" s="1"/>
  <c r="BC463" i="1"/>
  <c r="BK463" i="1" s="1"/>
  <c r="AE463" i="1"/>
  <c r="AE469" i="1"/>
  <c r="AC469" i="1"/>
  <c r="BC488" i="1"/>
  <c r="BK488" i="1" s="1"/>
  <c r="AE488" i="1"/>
  <c r="AX488" i="1"/>
  <c r="AX492" i="1"/>
  <c r="AE492" i="1"/>
  <c r="BC492" i="1"/>
  <c r="BK492" i="1" s="1"/>
  <c r="AF496" i="1"/>
  <c r="BC496" i="1" s="1"/>
  <c r="BK496" i="1" s="1"/>
  <c r="AE445" i="1"/>
  <c r="AF449" i="1"/>
  <c r="BC449" i="1" s="1"/>
  <c r="BK449" i="1" s="1"/>
  <c r="AE451" i="1"/>
  <c r="AC454" i="1"/>
  <c r="AE454" i="1"/>
  <c r="AE455" i="1"/>
  <c r="AE457" i="1"/>
  <c r="AF460" i="1"/>
  <c r="BC462" i="1"/>
  <c r="BK462" i="1" s="1"/>
  <c r="AX464" i="1"/>
  <c r="AE465" i="1"/>
  <c r="BC469" i="1"/>
  <c r="BG469" i="1"/>
  <c r="BJ469" i="1" s="1"/>
  <c r="AX470" i="1"/>
  <c r="BC484" i="1"/>
  <c r="BK484" i="1" s="1"/>
  <c r="AF484" i="1"/>
  <c r="AX484" i="1"/>
  <c r="AE495" i="1"/>
  <c r="AC495" i="1"/>
  <c r="BG495" i="1"/>
  <c r="BJ495" i="1" s="1"/>
  <c r="BC448" i="1"/>
  <c r="AF448" i="1"/>
  <c r="BG448" i="1"/>
  <c r="BJ448" i="1" s="1"/>
  <c r="AE453" i="1"/>
  <c r="AC453" i="1"/>
  <c r="AX453" i="1"/>
  <c r="BC454" i="1"/>
  <c r="BK454" i="1" s="1"/>
  <c r="AF459" i="1"/>
  <c r="BC459" i="1" s="1"/>
  <c r="BK459" i="1" s="1"/>
  <c r="AX460" i="1"/>
  <c r="AX463" i="1"/>
  <c r="AF466" i="1"/>
  <c r="BC466" i="1" s="1"/>
  <c r="BK466" i="1" s="1"/>
  <c r="AE466" i="1"/>
  <c r="BH466" i="1"/>
  <c r="BJ466" i="1" s="1"/>
  <c r="AX466" i="1"/>
  <c r="AX468" i="1"/>
  <c r="AF472" i="1"/>
  <c r="BC472" i="1" s="1"/>
  <c r="BK472" i="1" s="1"/>
  <c r="AE472" i="1"/>
  <c r="AX472" i="1"/>
  <c r="AX487" i="1"/>
  <c r="AE487" i="1"/>
  <c r="BC487" i="1"/>
  <c r="BK487" i="1" s="1"/>
  <c r="BC493" i="1"/>
  <c r="BK493" i="1" s="1"/>
  <c r="AE493" i="1"/>
  <c r="AX493" i="1"/>
  <c r="AE468" i="1"/>
  <c r="AE470" i="1"/>
  <c r="BC473" i="1"/>
  <c r="BK473" i="1" s="1"/>
  <c r="AF473" i="1"/>
  <c r="BG473" i="1"/>
  <c r="BJ473" i="1" s="1"/>
  <c r="AC475" i="1"/>
  <c r="AE475" i="1"/>
  <c r="BC486" i="1"/>
  <c r="BK486" i="1" s="1"/>
  <c r="AE486" i="1"/>
  <c r="BC495" i="1"/>
  <c r="BK495" i="1" s="1"/>
  <c r="AE497" i="1"/>
  <c r="AC497" i="1"/>
  <c r="AF498" i="1"/>
  <c r="BC498" i="1" s="1"/>
  <c r="BK498" i="1" s="1"/>
  <c r="BG468" i="1"/>
  <c r="BJ468" i="1" s="1"/>
  <c r="BG470" i="1"/>
  <c r="AE474" i="1"/>
  <c r="AC474" i="1"/>
  <c r="AF476" i="1"/>
  <c r="BC476" i="1" s="1"/>
  <c r="BK476" i="1" s="1"/>
  <c r="BG476" i="1"/>
  <c r="BJ476" i="1" s="1"/>
  <c r="AC478" i="1"/>
  <c r="AE478" i="1"/>
  <c r="BC481" i="1"/>
  <c r="BK481" i="1" s="1"/>
  <c r="AF481" i="1"/>
  <c r="AE481" i="1"/>
  <c r="AX481" i="1"/>
  <c r="AE483" i="1"/>
  <c r="AC483" i="1"/>
  <c r="BK485" i="1"/>
  <c r="BK497" i="1"/>
  <c r="AX473" i="1"/>
  <c r="BC474" i="1"/>
  <c r="BK474" i="1" s="1"/>
  <c r="AF475" i="1"/>
  <c r="BC475" i="1" s="1"/>
  <c r="BK475" i="1" s="1"/>
  <c r="AE477" i="1"/>
  <c r="AC477" i="1"/>
  <c r="AX477" i="1"/>
  <c r="BC478" i="1"/>
  <c r="BK478" i="1" s="1"/>
  <c r="AE480" i="1"/>
  <c r="BG480" i="1"/>
  <c r="BJ480" i="1" s="1"/>
  <c r="AC480" i="1"/>
  <c r="BC483" i="1"/>
  <c r="BK483" i="1" s="1"/>
  <c r="BG483" i="1"/>
  <c r="BJ483" i="1" s="1"/>
  <c r="AX486" i="1"/>
  <c r="BG489" i="1"/>
  <c r="BJ489" i="1" s="1"/>
  <c r="BC489" i="1"/>
  <c r="BK489" i="1" s="1"/>
  <c r="AF489" i="1"/>
  <c r="AE490" i="1"/>
  <c r="AC490" i="1"/>
  <c r="BC491" i="1"/>
  <c r="BK491" i="1" s="1"/>
  <c r="AF491" i="1"/>
  <c r="AX491" i="1"/>
  <c r="AF494" i="1"/>
  <c r="BC494" i="1" s="1"/>
  <c r="BK494" i="1" s="1"/>
  <c r="AX496" i="1"/>
  <c r="AE482" i="1"/>
  <c r="AE484" i="1"/>
  <c r="AE491" i="1"/>
  <c r="AE496" i="1"/>
  <c r="AE498" i="1"/>
  <c r="BG482" i="1"/>
  <c r="BG496" i="1"/>
  <c r="BJ496" i="1" s="1"/>
  <c r="BG498" i="1"/>
  <c r="BJ498" i="1" s="1"/>
  <c r="AD514" i="1"/>
  <c r="AD524" i="1" s="1"/>
  <c r="AC484" i="1"/>
  <c r="AC491" i="1"/>
  <c r="BK283" i="1" l="1"/>
  <c r="BK171" i="1"/>
  <c r="BK168" i="1"/>
  <c r="BK197" i="1"/>
  <c r="BK23" i="1"/>
  <c r="BJ25" i="1"/>
  <c r="BK25" i="1" s="1"/>
  <c r="BJ482" i="1"/>
  <c r="BK482" i="1"/>
  <c r="BK480" i="1"/>
  <c r="BJ440" i="1"/>
  <c r="BK440" i="1" s="1"/>
  <c r="BJ409" i="1"/>
  <c r="BJ434" i="1"/>
  <c r="BK434" i="1" s="1"/>
  <c r="BK383" i="1"/>
  <c r="BJ433" i="1"/>
  <c r="BK406" i="1"/>
  <c r="BK400" i="1"/>
  <c r="BJ350" i="1"/>
  <c r="BK350" i="1" s="1"/>
  <c r="BJ228" i="1"/>
  <c r="BK228" i="1" s="1"/>
  <c r="BK322" i="1"/>
  <c r="BK316" i="1"/>
  <c r="BJ304" i="1"/>
  <c r="BJ207" i="1"/>
  <c r="BK207" i="1" s="1"/>
  <c r="BJ240" i="1"/>
  <c r="BK240" i="1" s="1"/>
  <c r="BJ182" i="1"/>
  <c r="BK182" i="1" s="1"/>
  <c r="BK218" i="1"/>
  <c r="BK209" i="1"/>
  <c r="BC178" i="1"/>
  <c r="BK178" i="1" s="1"/>
  <c r="BJ171" i="1"/>
  <c r="BJ170" i="1"/>
  <c r="BK170" i="1" s="1"/>
  <c r="BK280" i="1"/>
  <c r="BK264" i="1"/>
  <c r="BK246" i="1"/>
  <c r="BJ227" i="1"/>
  <c r="BK188" i="1"/>
  <c r="BJ108" i="1"/>
  <c r="BK108" i="1" s="1"/>
  <c r="BK248" i="1"/>
  <c r="BK143" i="1"/>
  <c r="BK288" i="1"/>
  <c r="BJ198" i="1"/>
  <c r="BK198" i="1" s="1"/>
  <c r="BK104" i="1"/>
  <c r="BK131" i="1"/>
  <c r="BK173" i="1"/>
  <c r="BK160" i="1"/>
  <c r="BC134" i="1"/>
  <c r="BK134" i="1" s="1"/>
  <c r="BK43" i="1"/>
  <c r="BK443" i="1"/>
  <c r="BK85" i="1"/>
  <c r="BK75" i="1"/>
  <c r="BK62" i="1"/>
  <c r="BK135" i="1"/>
  <c r="AE499" i="1"/>
  <c r="BK96" i="1"/>
  <c r="BK24" i="1"/>
  <c r="BK20" i="1"/>
  <c r="BK413" i="1"/>
  <c r="BK284" i="1"/>
  <c r="BK342" i="1"/>
  <c r="BK159" i="1"/>
  <c r="BG499" i="1"/>
  <c r="BK448" i="1"/>
  <c r="BK441" i="1"/>
  <c r="BK433" i="1"/>
  <c r="BK360" i="1"/>
  <c r="BJ349" i="1"/>
  <c r="BK349" i="1" s="1"/>
  <c r="BK379" i="1"/>
  <c r="BK277" i="1"/>
  <c r="BJ184" i="1"/>
  <c r="BK184" i="1" s="1"/>
  <c r="BK295" i="1"/>
  <c r="BK286" i="1"/>
  <c r="BJ283" i="1"/>
  <c r="BK262" i="1"/>
  <c r="BK148" i="1"/>
  <c r="BJ276" i="1"/>
  <c r="BK276" i="1" s="1"/>
  <c r="BK255" i="1"/>
  <c r="BK224" i="1"/>
  <c r="BK145" i="1"/>
  <c r="BK67" i="1"/>
  <c r="BK213" i="1"/>
  <c r="BK196" i="1"/>
  <c r="BJ120" i="1"/>
  <c r="BK120" i="1" s="1"/>
  <c r="BK92" i="1"/>
  <c r="BJ154" i="1"/>
  <c r="BK154" i="1" s="1"/>
  <c r="BJ113" i="1"/>
  <c r="BK113" i="1" s="1"/>
  <c r="AW499" i="1"/>
  <c r="S512" i="1" s="1"/>
  <c r="S515" i="1" s="1"/>
  <c r="S520" i="1" s="1"/>
  <c r="BJ121" i="1"/>
  <c r="BK121" i="1" s="1"/>
  <c r="BK119" i="1"/>
  <c r="BJ117" i="1"/>
  <c r="BK117" i="1" s="1"/>
  <c r="BK71" i="1"/>
  <c r="BK68" i="1"/>
  <c r="BK49" i="1"/>
  <c r="BK32" i="1"/>
  <c r="AX499" i="1"/>
  <c r="AF499" i="1"/>
  <c r="S510" i="1" s="1"/>
  <c r="BK56" i="1"/>
  <c r="BK81" i="1"/>
  <c r="BK29" i="1"/>
  <c r="BK16" i="1"/>
  <c r="BK126" i="1"/>
  <c r="BK50" i="1"/>
  <c r="BK409" i="1"/>
  <c r="BK423" i="1"/>
  <c r="BK304" i="1"/>
  <c r="BJ265" i="1"/>
  <c r="BK265" i="1" s="1"/>
  <c r="BK227" i="1"/>
  <c r="BK88" i="1"/>
  <c r="AQ499" i="1"/>
  <c r="AS5" i="1"/>
  <c r="BK468" i="1"/>
  <c r="BK394" i="1"/>
  <c r="BJ470" i="1"/>
  <c r="BK470" i="1" s="1"/>
  <c r="BK469" i="1"/>
  <c r="BK452" i="1"/>
  <c r="BJ467" i="1"/>
  <c r="BK467" i="1" s="1"/>
  <c r="BJ435" i="1"/>
  <c r="BK435" i="1" s="1"/>
  <c r="BK391" i="1"/>
  <c r="BK431" i="1"/>
  <c r="BK380" i="1"/>
  <c r="BK386" i="1"/>
  <c r="BK325" i="1"/>
  <c r="BK333" i="1"/>
  <c r="BK363" i="1"/>
  <c r="BK309" i="1"/>
  <c r="BK289" i="1"/>
  <c r="BK267" i="1"/>
  <c r="BK230" i="1"/>
  <c r="BK225" i="1"/>
  <c r="BJ211" i="1"/>
  <c r="BK211" i="1"/>
  <c r="BK417" i="1"/>
  <c r="BK236" i="1"/>
  <c r="BK219" i="1"/>
  <c r="BK272" i="1"/>
  <c r="BK260" i="1"/>
  <c r="BK201" i="1"/>
  <c r="BK164" i="1"/>
  <c r="BK251" i="1"/>
  <c r="BK186" i="1"/>
  <c r="BK144" i="1"/>
  <c r="BJ87" i="1"/>
  <c r="BK87" i="1" s="1"/>
  <c r="BK208" i="1"/>
  <c r="BK249" i="1"/>
  <c r="BK214" i="1"/>
  <c r="BK193" i="1"/>
  <c r="BJ159" i="1"/>
  <c r="BJ125" i="1"/>
  <c r="BK125" i="1" s="1"/>
  <c r="BK105" i="1"/>
  <c r="BK351" i="1"/>
  <c r="BJ217" i="1"/>
  <c r="BK217" i="1"/>
  <c r="BJ133" i="1"/>
  <c r="BK133" i="1" s="1"/>
  <c r="BJ60" i="1"/>
  <c r="BK60" i="1" s="1"/>
  <c r="BK47" i="1"/>
  <c r="BK205" i="1"/>
  <c r="BK48" i="1"/>
  <c r="BH499" i="1"/>
  <c r="BC5" i="1"/>
  <c r="BJ26" i="1"/>
  <c r="BK26" i="1" s="1"/>
  <c r="BK41" i="1"/>
  <c r="BK35" i="1"/>
  <c r="BJ53" i="1"/>
  <c r="BK53" i="1" s="1"/>
  <c r="BK33" i="1"/>
  <c r="BK28" i="1"/>
  <c r="BK8" i="1"/>
  <c r="BC499" i="1" l="1"/>
  <c r="BK5" i="1"/>
  <c r="BK499" i="1" s="1"/>
  <c r="BJ499" i="1"/>
  <c r="AS499" i="1"/>
  <c r="AU5" i="1"/>
  <c r="AU4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5" authorId="0" shapeId="0" xr:uid="{8776C4C3-1D80-4753-83D1-506121B2A4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6" authorId="0" shapeId="0" xr:uid="{DAAC4FDF-C18C-4DF8-A9E6-67BC08C059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8" authorId="0" shapeId="0" xr:uid="{F512AF7D-5DB3-4A50-B69F-E88FEC0B83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</t>
        </r>
      </text>
    </comment>
    <comment ref="S13" authorId="0" shapeId="0" xr:uid="{A1D3248F-FF21-4604-A84A-0AE5790AA4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S18" authorId="0" shapeId="0" xr:uid="{AF8B81BA-AE68-4975-B030-285B302884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19" authorId="0" shapeId="0" xr:uid="{39E0BE8F-5154-45D4-92AC-57F5A93BF7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MAIL-09.03.26</t>
        </r>
      </text>
    </comment>
    <comment ref="S23" authorId="0" shapeId="0" xr:uid="{4178040B-65BC-4772-9808-BDA1B3AF71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da-270426</t>
        </r>
      </text>
    </comment>
    <comment ref="S26" authorId="0" shapeId="0" xr:uid="{8FB12AA9-1B59-4E3B-A089-90AF20E5D53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27" authorId="0" shapeId="0" xr:uid="{F44A3426-4920-45D5-863E-426C649214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28" authorId="0" shapeId="0" xr:uid="{16AC7E83-5CF5-4207-ABF2-0E0208A0CE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2" authorId="0" shapeId="0" xr:uid="{2F7F2343-53B0-4BA2-BA0E-6BE48622DC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Z34" authorId="0" shapeId="0" xr:uid="{8A8DA7D9-39FB-496B-B154-8D10F5245B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DESPATCH NOT RECEIVED</t>
        </r>
      </text>
    </comment>
    <comment ref="Z35" authorId="0" shapeId="0" xr:uid="{26F43B4B-2418-4B90-B5CB-CA260CC190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DESPATCH NOT RECEIVED</t>
        </r>
      </text>
    </comment>
    <comment ref="S37" authorId="0" shapeId="0" xr:uid="{428B46F2-3DF8-451B-8EFB-0B9FB793D4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38" authorId="0" shapeId="0" xr:uid="{116B966A-A533-41AC-9F13-BB976350C1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39" authorId="0" shapeId="0" xr:uid="{BAF658EC-AE70-499D-A80F-B08359D592C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40" authorId="0" shapeId="0" xr:uid="{7D33150A-1107-4A5F-AA4C-B118303BF05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41" authorId="0" shapeId="0" xr:uid="{B61AE83C-C5A6-440D-81DE-3AF2AB095E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50" authorId="0" shapeId="0" xr:uid="{538906EC-6DEE-4C38-820D-7B236C6DB8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AJ50" authorId="0" shapeId="0" xr:uid="{4EA1DCF7-982D-49A0-BB7F-B21380CD37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RFID
</t>
        </r>
      </text>
    </comment>
    <comment ref="S55" authorId="0" shapeId="0" xr:uid="{E4C42A95-8886-421A-B46B-E84CEDAB95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57" authorId="0" shapeId="0" xr:uid="{8BDADAC6-146F-40A7-8081-4DF037EAB0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60" authorId="0" shapeId="0" xr:uid="{5C4364A4-7CC7-47B6-8DF1-47C42D7194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61" authorId="0" shapeId="0" xr:uid="{AB4BA68C-2838-49B8-9F55-DFAEB88F48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62" authorId="0" shapeId="0" xr:uid="{1F775FE6-5D9C-44E6-83C2-93E8832F9E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63" authorId="0" shapeId="0" xr:uid="{8AA02459-5DB2-4701-B315-6F00A61858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68" authorId="0" shapeId="0" xr:uid="{B38AB9E9-04E0-4825-9844-8C954D8099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S73" authorId="0" shapeId="0" xr:uid="{C05F85F3-2275-4933-9EF3-A82E6DB748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S74" authorId="0" shapeId="0" xr:uid="{40C85A8D-42B8-4DB8-82E4-271E7DCB03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75" authorId="0" shapeId="0" xr:uid="{DCFA2B7A-13F4-4FE8-850E-AB9629DC67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78" authorId="0" shapeId="0" xr:uid="{542A5BD1-EA06-48DD-A092-6C24313390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84" authorId="0" shapeId="0" xr:uid="{B7A2F09C-8EFE-497E-8EC5-1ADF7D5806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-27.04.26</t>
        </r>
      </text>
    </comment>
    <comment ref="S85" authorId="0" shapeId="0" xr:uid="{C58ECC2E-1DAC-4F23-AA5D-81FBCE52CD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86" authorId="0" shapeId="0" xr:uid="{9F574703-3AC1-4D3B-BC96-1D39C4E2FB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87" authorId="0" shapeId="0" xr:uid="{3E46C960-80A8-4F32-B729-70CF9F7BCC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-26.03.26</t>
        </r>
      </text>
    </comment>
    <comment ref="S88" authorId="0" shapeId="0" xr:uid="{7127B235-C2D6-4A83-8103-BBC500C28C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-26.03.26</t>
        </r>
      </text>
    </comment>
    <comment ref="S89" authorId="0" shapeId="0" xr:uid="{11358A1A-5903-4ED7-B5E0-181BFAEF86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S92" authorId="0" shapeId="0" xr:uid="{40AABC3B-CBFE-446E-B758-B2E34A25CCC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S97" authorId="0" shapeId="0" xr:uid="{73027694-1366-4FB5-B6D2-5BA21BE01A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00" authorId="0" shapeId="0" xr:uid="{8D7DC6D8-AE22-4506-8A3C-F38947F2F5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-27.04.26</t>
        </r>
      </text>
    </comment>
    <comment ref="S101" authorId="0" shapeId="0" xr:uid="{79A09FB7-D4BA-4F27-BE81-F031351E80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</t>
        </r>
      </text>
    </comment>
    <comment ref="S102" authorId="0" shapeId="0" xr:uid="{349542EA-9BE7-47BF-A809-36CC5C1F2D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</t>
        </r>
      </text>
    </comment>
    <comment ref="S103" authorId="0" shapeId="0" xr:uid="{80A4D213-4209-4F6C-9861-0102801D97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S105" authorId="0" shapeId="0" xr:uid="{6B08BD2F-A7EE-4C2C-B570-DE52F8C514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16.05.26- mailmreceived </t>
        </r>
      </text>
    </comment>
    <comment ref="S106" authorId="0" shapeId="0" xr:uid="{67C995CF-9424-456C-9A55-E47D5E07AE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S107" authorId="0" shapeId="0" xr:uid="{AB129A23-2884-45B4-B901-440E5A05DD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08" authorId="0" shapeId="0" xr:uid="{7CD96930-872A-42E2-A40A-F36D454F4D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10" authorId="0" shapeId="0" xr:uid="{B1881588-BF96-40B3-9B96-E0AC01E795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SAJAL-16.04.26</t>
        </r>
      </text>
    </comment>
    <comment ref="S113" authorId="0" shapeId="0" xr:uid="{DAFBDD12-267B-48AE-86F4-15932B3A86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116" authorId="0" shapeId="0" xr:uid="{B76A878D-4439-4B92-BCF2-DA478C8998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17" authorId="0" shapeId="0" xr:uid="{34A45778-0CFA-4C50-9D77-B5017A864A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MAIL26.03.26</t>
        </r>
      </text>
    </comment>
    <comment ref="S120" authorId="0" shapeId="0" xr:uid="{48308E3C-A90E-4684-8F1C-67B3A917A6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21" authorId="0" shapeId="0" xr:uid="{CF3D027F-D1DB-4BA4-B6CC-A7219F5840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24" authorId="0" shapeId="0" xr:uid="{C5C7A3CB-252C-476B-8C0D-9084981298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125" authorId="0" shapeId="0" xr:uid="{0DD9203D-F1F7-48EA-8920-16C2537792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126" authorId="0" shapeId="0" xr:uid="{28B6ECD4-1764-436B-935E-5876AB718E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27" authorId="0" shapeId="0" xr:uid="{5C526071-01F6-49F8-BD91-B433AFE9E0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133" authorId="0" shapeId="0" xr:uid="{02A589BF-9774-43C3-9CA6-EF3B911A93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da-270426</t>
        </r>
      </text>
    </comment>
    <comment ref="S137" authorId="0" shapeId="0" xr:uid="{B9567EEE-670F-4474-9BF8-E586B7D3E4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</t>
        </r>
      </text>
    </comment>
    <comment ref="BB139" authorId="0" shapeId="0" xr:uid="{A202E328-D9F2-4B85-9515-673D2234BC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COMPANY DEBITED 924/-</t>
        </r>
      </text>
    </comment>
    <comment ref="BD139" authorId="0" shapeId="0" xr:uid="{C3EFF1BB-FB56-43BC-925C-786DBC7C39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CASH TOLL 
</t>
        </r>
      </text>
    </comment>
    <comment ref="S147" authorId="0" shapeId="0" xr:uid="{75BC9250-C1F4-40F9-9C88-5B3428D19F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48" authorId="0" shapeId="0" xr:uid="{D2554CE5-CBFD-46D4-9BB3-A86D3C8646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149" authorId="0" shapeId="0" xr:uid="{E1EC5A53-46B8-4BBB-933C-FDBDC57BF9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MAIL CONF
</t>
        </r>
      </text>
    </comment>
    <comment ref="S155" authorId="0" shapeId="0" xr:uid="{B4639BCE-C55A-442C-8A4B-4E8757E429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58" authorId="0" shapeId="0" xr:uid="{A46A4288-07F8-4187-A5C8-CA9208C6F3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65" authorId="0" shapeId="0" xr:uid="{68BBEBAB-5A74-40AF-AF85-13899DBC9B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-25.03.26</t>
        </r>
      </text>
    </comment>
    <comment ref="S166" authorId="0" shapeId="0" xr:uid="{132F314E-2062-4FBF-BA84-D7E86C4A13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-25.03.26</t>
        </r>
      </text>
    </comment>
    <comment ref="S168" authorId="0" shapeId="0" xr:uid="{AB1180DD-DF14-46F0-9739-5979AF6EB5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</t>
        </r>
      </text>
    </comment>
    <comment ref="S171" authorId="0" shapeId="0" xr:uid="{F7AE5D38-B0D7-47F5-B784-31FC89E6CA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175" authorId="0" shapeId="0" xr:uid="{4707C0D4-245A-4668-862D-34D94DBFAC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21.03.26</t>
        </r>
      </text>
    </comment>
    <comment ref="S176" authorId="0" shapeId="0" xr:uid="{1F92096C-64F4-4192-A0CE-D4EDE05349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</t>
        </r>
      </text>
    </comment>
    <comment ref="S180" authorId="0" shapeId="0" xr:uid="{43A32479-AD22-47B7-8114-CD5724A602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195" authorId="0" shapeId="0" xr:uid="{AEE9F047-B7A5-48CC-8201-80C1831870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196" authorId="0" shapeId="0" xr:uid="{DCEAF577-39DA-4012-962E-DABC9B9984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197" authorId="0" shapeId="0" xr:uid="{47AFA47E-F957-4365-B092-C224764BE2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
</t>
        </r>
      </text>
    </comment>
    <comment ref="S211" authorId="0" shapeId="0" xr:uid="{DC347A06-C354-4265-AF6F-416853A73D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-21.03.26</t>
        </r>
      </text>
    </comment>
    <comment ref="S233" authorId="0" shapeId="0" xr:uid="{DE9B315E-B9DA-490E-A9D8-E62A4973C2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MAIL26.03.26</t>
        </r>
      </text>
    </comment>
    <comment ref="S239" authorId="0" shapeId="0" xr:uid="{227D73FB-ABCB-4B0D-9F2E-395C9AE2CC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 MAIL CONF-25.03.26</t>
        </r>
      </text>
    </comment>
    <comment ref="S247" authorId="0" shapeId="0" xr:uid="{BDA47D6F-C14D-483D-84FB-1B1EF880C5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249" authorId="0" shapeId="0" xr:uid="{F22BF996-1499-4D1F-91FB-E3C3FD29A0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DUPL</t>
        </r>
      </text>
    </comment>
    <comment ref="AJ249" authorId="0" shapeId="0" xr:uid="{964C34A5-328F-46E2-8ACD-60E326000E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RFID</t>
        </r>
      </text>
    </comment>
    <comment ref="AL249" authorId="0" shapeId="0" xr:uid="{F041D9C0-DDE5-4733-949D-AA83985EC3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GPS </t>
        </r>
      </text>
    </comment>
    <comment ref="S253" authorId="0" shapeId="0" xr:uid="{1DA5DB06-4AD2-4CA9-AF7A-4834BC33BF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-26.03.26</t>
        </r>
      </text>
    </comment>
    <comment ref="S257" authorId="0" shapeId="0" xr:uid="{48BE81F8-E9AD-48C4-A52D-88A7FEE09B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mail-07.05.26</t>
        </r>
      </text>
    </comment>
    <comment ref="S258" authorId="0" shapeId="0" xr:uid="{C2179AE5-E014-4D3F-9C48-85A0439102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259" authorId="0" shapeId="0" xr:uid="{9FA4A9AF-1533-42FC-994D-87B86E76B9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 MAIL CONF-25.03.26</t>
        </r>
      </text>
    </comment>
    <comment ref="S260" authorId="0" shapeId="0" xr:uid="{7C8B1F1C-3E88-4EE6-A45D-1017390037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262" authorId="0" shapeId="0" xr:uid="{5380D231-7434-4E3F-B799-BF7641333A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263" authorId="0" shapeId="0" xr:uid="{AEFD3B1F-318A-424B-895B-E86840F980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19.05.26</t>
        </r>
      </text>
    </comment>
    <comment ref="S264" authorId="0" shapeId="0" xr:uid="{ABA6B531-EA0D-4652-8649-6C35E072D2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02.05.26- BY MAIL</t>
        </r>
      </text>
    </comment>
    <comment ref="S265" authorId="0" shapeId="0" xr:uid="{5646D270-035A-4F10-B3A1-796BB1D841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02.05.26- BY MAIL</t>
        </r>
      </text>
    </comment>
    <comment ref="S266" authorId="0" shapeId="0" xr:uid="{C5A02FE9-22D1-4F7B-B410-2058DBB6FB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mail27.03.26</t>
        </r>
      </text>
    </comment>
    <comment ref="S267" authorId="0" shapeId="0" xr:uid="{91E6EA9F-6CD9-4CE9-BF58-F90FEACE60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mail27.03.26</t>
        </r>
      </text>
    </comment>
    <comment ref="S269" authorId="0" shapeId="0" xr:uid="{BD4A99A6-D716-41CD-91B2-D80ABE807B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276" authorId="0" shapeId="0" xr:uid="{D2A50BD3-A462-4C33-A0A7-7687B5DA0F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277" authorId="0" shapeId="0" xr:uid="{86DD2D18-8D74-4EA3-BE2C-D42F2881C9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Z287" authorId="0" shapeId="0" xr:uid="{97278240-6656-4B66-8069-018AF1ADAE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despatch not receive</t>
        </r>
      </text>
    </comment>
    <comment ref="S288" authorId="0" shapeId="0" xr:uid="{F3F85CD9-92CE-478D-B5D1-079ECA392A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 25.03.26</t>
        </r>
      </text>
    </comment>
    <comment ref="S292" authorId="0" shapeId="0" xr:uid="{4C5FA92C-7461-494F-902F-30DE736E14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293" authorId="0" shapeId="0" xr:uid="{AB7B9239-3717-4A27-8954-31F7F2EF33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AJ294" authorId="0" shapeId="0" xr:uid="{8A6EE153-BF41-4087-9DC7-EC788E5465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RFID TAG</t>
        </r>
      </text>
    </comment>
    <comment ref="S298" authorId="0" shapeId="0" xr:uid="{4BB24AF2-DDFE-47BC-9DFC-C5CC54B7A2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S299" authorId="0" shapeId="0" xr:uid="{5A27F9DE-08A1-4107-B3C8-81A3AFC5FB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MAIL CONF -25.03.26</t>
        </r>
      </text>
    </comment>
    <comment ref="S301" authorId="0" shapeId="0" xr:uid="{E84ED9FA-1782-4898-8E96-3651B06606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MAIL CONF 21.03.26</t>
        </r>
      </text>
    </comment>
    <comment ref="S302" authorId="0" shapeId="0" xr:uid="{80F6BC9E-A049-4A1A-80EB-518C7F340D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mail-27.04.26</t>
        </r>
      </text>
    </comment>
    <comment ref="S310" authorId="0" shapeId="0" xr:uid="{A7438CB1-12D2-47AB-B9DE-C206D6FE48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12" authorId="0" shapeId="0" xr:uid="{A6B3900F-66D0-40BD-B3E0-3BA3BB77E1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13" authorId="0" shapeId="0" xr:uid="{B7AB0703-36AE-4362-8B29-39721C6ECB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15" authorId="0" shapeId="0" xr:uid="{E2CD77A8-75FC-4EE1-A23C-7504A30E12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320" authorId="0" shapeId="0" xr:uid="{803EE1C3-D773-47C5-8C13-59967A2677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323" authorId="0" shapeId="0" xr:uid="{DE73EDFA-7AFC-45DE-87BD-A8E1BDA850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 by mail 23.05.26</t>
        </r>
      </text>
    </comment>
    <comment ref="S346" authorId="0" shapeId="0" xr:uid="{BEA1916A-C45E-4593-AF8C-D56FFA1804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da-27.04.26</t>
        </r>
      </text>
    </comment>
    <comment ref="S347" authorId="0" shapeId="0" xr:uid="{79F3D25C-F816-452E-B50E-0249B9005A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dupl</t>
        </r>
      </text>
    </comment>
    <comment ref="S348" authorId="0" shapeId="0" xr:uid="{E61E2A4B-4440-4445-9F15-7060B652EA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dupl</t>
        </r>
      </text>
    </comment>
    <comment ref="S349" authorId="0" shapeId="0" xr:uid="{58802D27-753C-4FF5-BE0D-139BF1A5A7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50" authorId="0" shapeId="0" xr:uid="{D407011E-82D7-4C1F-8426-6F69CC78DB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51" authorId="0" shapeId="0" xr:uid="{9465F767-7B82-49A3-899D-2D102236C1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MAIUL CONF </t>
        </r>
      </text>
    </comment>
    <comment ref="S352" authorId="0" shapeId="0" xr:uid="{219B0FC6-A168-43BC-9396-524EA79E004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369" authorId="0" shapeId="0" xr:uid="{0E4C0FE7-9FF4-4CD4-99FA-A58CFB9622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380" authorId="0" shapeId="0" xr:uid="{F219B4B5-C671-4A34-9DE0-318954E7E2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20.04.26-by mail</t>
        </r>
      </text>
    </comment>
    <comment ref="S383" authorId="0" shapeId="0" xr:uid="{3D706DE6-5177-4DE7-BC5A-1BEFCD0EB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84" authorId="0" shapeId="0" xr:uid="{D876574F-73A0-473D-87D4-2A72DA8A71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86" authorId="0" shapeId="0" xr:uid="{AFDEA020-7AF9-46C0-9A38-E8191CD398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MAUIL</t>
        </r>
      </text>
    </comment>
    <comment ref="S388" authorId="0" shapeId="0" xr:uid="{7E4DBE9B-4C7C-4D07-B0C3-63AB9347B2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18.04.26-by mail</t>
        </r>
      </text>
    </comment>
    <comment ref="S389" authorId="0" shapeId="0" xr:uid="{B1B106AD-7E13-49A3-83F2-59B5321A31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392" authorId="0" shapeId="0" xr:uid="{6573DCD7-6D0A-4245-8C87-F88BD1A8E5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393" authorId="0" shapeId="0" xr:uid="{2CACD3B2-CB3A-4C0B-B449-DD195EC919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16.05.26- mailmreceived </t>
        </r>
      </text>
    </comment>
    <comment ref="S401" authorId="0" shapeId="0" xr:uid="{6F029170-36CB-4BF7-BA35-CAC441DDB18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BILLED -02.06.26 NON STAMP BILLED </t>
        </r>
      </text>
    </comment>
    <comment ref="S405" authorId="0" shapeId="0" xr:uid="{E3CBDD30-9895-4CAC-B79D-6E5B2598F9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 -30.03.26
</t>
        </r>
      </text>
    </comment>
    <comment ref="S406" authorId="0" shapeId="0" xr:uid="{54393FDD-0094-4A22-98D8-6B0548E7B0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mail22.04.26</t>
        </r>
      </text>
    </comment>
    <comment ref="S407" authorId="0" shapeId="0" xr:uid="{FE8E9E5F-A8F5-422A-960A-C3AEB9371C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08" authorId="0" shapeId="0" xr:uid="{1195C9F4-AA23-49A6-96A6-F7D019406C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410" authorId="0" shapeId="0" xr:uid="{BBC4A2FC-C400-41EE-8874-8CAF71A5EF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CONF</t>
        </r>
      </text>
    </comment>
    <comment ref="S411" authorId="0" shapeId="0" xr:uid="{97DAF517-ED8B-4787-A3D4-527C94F9DE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413" authorId="0" shapeId="0" xr:uid="{A26A49FC-4402-409D-9DFF-02381A945F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 07.05.26 by mail</t>
        </r>
      </text>
    </comment>
    <comment ref="S414" authorId="0" shapeId="0" xr:uid="{AC22B9DA-5408-46DC-92DA-63E254B7BE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received 09.04.26</t>
        </r>
      </text>
    </comment>
    <comment ref="S415" authorId="0" shapeId="0" xr:uid="{943620BF-0180-4FBD-A2CD-71AC89D7E1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received 09.04.26</t>
        </r>
      </text>
    </comment>
    <comment ref="S421" authorId="0" shapeId="0" xr:uid="{198D0489-9C60-4C62-9DF9-399EF7A1AF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24" authorId="0" shapeId="0" xr:uid="{116ED269-E051-4A15-BC3C-32C3DC6CF6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30" authorId="0" shapeId="0" xr:uid="{2546E17C-8632-4271-8973-18CFFB1A2B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MAIL</t>
        </r>
      </text>
    </comment>
    <comment ref="S431" authorId="0" shapeId="0" xr:uid="{5D3E84A5-9B39-41DA-B74A-2743E19927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mail-20.04.26</t>
        </r>
      </text>
    </comment>
    <comment ref="S432" authorId="0" shapeId="0" xr:uid="{D3AEAF64-4AC8-4090-A8AB-C4606228C6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mail-20.04.26</t>
        </r>
      </text>
    </comment>
    <comment ref="S439" authorId="0" shapeId="0" xr:uid="{C0032AB0-F5BD-4109-8D5B-429BAEE99F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09.04.26</t>
        </r>
      </text>
    </comment>
    <comment ref="S440" authorId="0" shapeId="0" xr:uid="{0DF3F9F6-64D1-4D88-B63B-C82CFEE875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42" authorId="0" shapeId="0" xr:uid="{B1D601B2-F1DD-4412-B7FE-1076D5AB68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mail-21.04.26</t>
        </r>
      </text>
    </comment>
    <comment ref="S443" authorId="0" shapeId="0" xr:uid="{E315719F-583F-4F65-BE2E-B61098F5DC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44" authorId="0" shapeId="0" xr:uid="{D19A4B15-E0C7-4660-A896-E107679105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45" authorId="0" shapeId="0" xr:uid="{3998392E-8044-4B62-A9B3-7A3A6F6FDD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may 07.26 by mail</t>
        </r>
      </text>
    </comment>
    <comment ref="S446" authorId="0" shapeId="0" xr:uid="{40BFB7E6-9832-412A-8318-65AD7F0EEF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may 07.26 by mail</t>
        </r>
      </text>
    </comment>
    <comment ref="S453" authorId="0" shapeId="0" xr:uid="{101AA879-4AD3-49DF-8116-A2BA61607A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16.05.26- mailmreceived </t>
        </r>
      </text>
    </comment>
    <comment ref="S456" authorId="0" shapeId="0" xr:uid="{C9A4676F-2087-4930-9259-B5136D4625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stamp by sandip da-10.04.26</t>
        </r>
      </text>
    </comment>
    <comment ref="S457" authorId="0" shapeId="0" xr:uid="{8F14E63F-593C-4367-8591-7AFF484EAE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mail-21.04.26</t>
        </r>
      </text>
    </comment>
    <comment ref="S460" authorId="0" shapeId="0" xr:uid="{0B3407F9-BDCD-4A74-922B-30989A490C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sawarup-06.05.26</t>
        </r>
      </text>
    </comment>
    <comment ref="S466" authorId="0" shapeId="0" xr:uid="{BB8880A8-45B8-4CAF-A7E7-E04A4C8101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67" authorId="0" shapeId="0" xr:uid="{192B8B74-9059-4E6E-A826-E7D105706B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STAMP BY NASIBUL 05.05.26</t>
        </r>
      </text>
    </comment>
    <comment ref="S471" authorId="0" shapeId="0" xr:uid="{C020EB96-1D3B-466C-873F-3B021FB7D4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by mail-07.05.26</t>
        </r>
      </text>
    </comment>
    <comment ref="S472" authorId="0" shapeId="0" xr:uid="{0A4F246E-ECED-4DF8-BD1B-EE2C965FD5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-22.04.26</t>
        </r>
      </text>
    </comment>
    <comment ref="S475" authorId="0" shapeId="0" xr:uid="{B2A48267-D5B6-4561-90EF-4DE0613C0C9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NON STAMPBUT BILLED</t>
        </r>
      </text>
    </comment>
    <comment ref="S478" authorId="0" shapeId="0" xr:uid="{7A77E140-E72D-4CB1-9FE5-2BDB638C41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STAMP TH MAIL</t>
        </r>
      </text>
    </comment>
    <comment ref="S481" authorId="0" shapeId="0" xr:uid="{15DA6650-CECF-4439-86CD-34C7FEA6CA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21.04.26</t>
        </r>
      </text>
    </comment>
    <comment ref="S482" authorId="0" shapeId="0" xr:uid="{A4796108-9C98-40E6-B423-ED4497EC70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-22.04.26</t>
        </r>
      </text>
    </comment>
    <comment ref="S483" authorId="0" shapeId="0" xr:uid="{D8B23DA2-8A29-49ED-90CE-6F6BA39206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484" authorId="0" shapeId="0" xr:uid="{60218576-9132-4027-B2BC-A0E72F8EBB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</t>
        </r>
      </text>
    </comment>
    <comment ref="S486" authorId="0" shapeId="0" xr:uid="{3C07FFAD-A547-4FB9-8462-3EE5CCA3B3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02.05.26</t>
        </r>
      </text>
    </comment>
    <comment ref="S487" authorId="0" shapeId="0" xr:uid="{DA75B8BB-8ECA-4107-A40C-7A49E08737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by mail 09.04.26</t>
        </r>
      </text>
    </comment>
  </commentList>
</comments>
</file>

<file path=xl/sharedStrings.xml><?xml version="1.0" encoding="utf-8"?>
<sst xmlns="http://schemas.openxmlformats.org/spreadsheetml/2006/main" count="10215" uniqueCount="2687">
  <si>
    <t>CEMENT REGISTER</t>
  </si>
  <si>
    <t>MONTH OF -FEBRUARY-26</t>
  </si>
  <si>
    <t>SL NO</t>
  </si>
  <si>
    <t>LOADING DT</t>
  </si>
  <si>
    <t>RECEIVING DATE</t>
  </si>
  <si>
    <t>BILL NO</t>
  </si>
  <si>
    <t>BILL DATE</t>
  </si>
  <si>
    <t>By Portal</t>
  </si>
  <si>
    <t>SITE</t>
  </si>
  <si>
    <t>VEHICLE
NUMBER</t>
  </si>
  <si>
    <t>VEHICLE NUMBER</t>
  </si>
  <si>
    <t>UNLOADING STATUS</t>
  </si>
  <si>
    <t>E-WAY BILL NO</t>
  </si>
  <si>
    <t>DN</t>
  </si>
  <si>
    <t>E-WAY BILL VALIDITY</t>
  </si>
  <si>
    <t>GCN NO.</t>
  </si>
  <si>
    <t>INVOICE NO.</t>
  </si>
  <si>
    <t>SHIPMENT NO.</t>
  </si>
  <si>
    <t>CHALLAN
STATUS</t>
  </si>
  <si>
    <t>WHEEL</t>
  </si>
  <si>
    <t>Bill Type</t>
  </si>
  <si>
    <t>DESTINATION</t>
  </si>
  <si>
    <t>PARTY NAME</t>
  </si>
  <si>
    <t>Unloading status</t>
  </si>
  <si>
    <t xml:space="preserve">Billing Rate </t>
  </si>
  <si>
    <t>MT</t>
  </si>
  <si>
    <t>PARTY RATE</t>
  </si>
  <si>
    <t>Billing
 Amount</t>
  </si>
  <si>
    <t>BILLING ER 95 % (PARTY PAYABLE)</t>
  </si>
  <si>
    <t>AMOUNT</t>
  </si>
  <si>
    <t>PROFIT</t>
  </si>
  <si>
    <t>TDS@1%</t>
  </si>
  <si>
    <t xml:space="preserve">ADVANCE </t>
  </si>
  <si>
    <t>Site Cash</t>
  </si>
  <si>
    <t>Bank TF</t>
  </si>
  <si>
    <t>Others deduction</t>
  </si>
  <si>
    <t>GPS Monitaring  Charge</t>
  </si>
  <si>
    <t xml:space="preserve">GPS DEVICE </t>
  </si>
  <si>
    <t>PUMP NAME</t>
  </si>
  <si>
    <t>HSD SLIP NO</t>
  </si>
  <si>
    <t>HSD BILL NO</t>
  </si>
  <si>
    <t>K.M AS PER RATE CHART (UP+DOWN)</t>
  </si>
  <si>
    <t>FUEL REQUIRED</t>
  </si>
  <si>
    <t>HSD (LTR)</t>
  </si>
  <si>
    <t>BALANCE</t>
  </si>
  <si>
    <t>EXTRA ALLOWED</t>
  </si>
  <si>
    <t>ACTUAL EXTRA</t>
  </si>
  <si>
    <t>HSD
RATE</t>
  </si>
  <si>
    <t>HSD
AMOUNT</t>
  </si>
  <si>
    <t>% OF ADV</t>
  </si>
  <si>
    <t>TRAVELLING
EXP</t>
  </si>
  <si>
    <t>SHORTAGE (BAG)</t>
  </si>
  <si>
    <t>SHORTAGE (RATE)</t>
  </si>
  <si>
    <t>SHORTAGE(AMOUNT</t>
  </si>
  <si>
    <t>NET
AMOUNT</t>
  </si>
  <si>
    <t>UP
TOLL</t>
  </si>
  <si>
    <t>DOWN
TOLL</t>
  </si>
  <si>
    <t xml:space="preserve">EXTRA
UNLOADING </t>
  </si>
  <si>
    <t xml:space="preserve">DEDICATED </t>
  </si>
  <si>
    <t>10W EXTRA 8.5%</t>
  </si>
  <si>
    <t>RAFTER</t>
  </si>
  <si>
    <t xml:space="preserve">INCENTIVE TDS </t>
  </si>
  <si>
    <t>GROSS AMOUNT</t>
  </si>
  <si>
    <t>OWNER
NAME</t>
  </si>
  <si>
    <t>Duration</t>
  </si>
  <si>
    <t>Detaintion</t>
  </si>
  <si>
    <t xml:space="preserve">Transporting Coast </t>
  </si>
  <si>
    <t xml:space="preserve">	NVCL/25-26-0426</t>
  </si>
  <si>
    <t>NVCL</t>
  </si>
  <si>
    <t>WB</t>
  </si>
  <si>
    <t>39B</t>
  </si>
  <si>
    <t>0034</t>
  </si>
  <si>
    <t>881651912632</t>
  </si>
  <si>
    <t>STAMP</t>
  </si>
  <si>
    <t>10W</t>
  </si>
  <si>
    <t>SO</t>
  </si>
  <si>
    <t>Raghunathpur- 723133</t>
  </si>
  <si>
    <t>KHAITAN TRADING COMPANY</t>
  </si>
  <si>
    <t>INDIAN H/W-260+120BAGS</t>
  </si>
  <si>
    <t>SAS</t>
  </si>
  <si>
    <t>505</t>
  </si>
  <si>
    <t>SAS/25-26/234</t>
  </si>
  <si>
    <t>MANAS SARKAR</t>
  </si>
  <si>
    <t>D+1</t>
  </si>
  <si>
    <t>HIT PINCODE</t>
  </si>
  <si>
    <t>881651912661</t>
  </si>
  <si>
    <t>DAC/25-26-0274</t>
  </si>
  <si>
    <t>NVL</t>
  </si>
  <si>
    <t>67A</t>
  </si>
  <si>
    <t>9375</t>
  </si>
  <si>
    <t>851651951553</t>
  </si>
  <si>
    <t>12W</t>
  </si>
  <si>
    <t>NT</t>
  </si>
  <si>
    <t>Dumdum mdg- 700028</t>
  </si>
  <si>
    <t>L.K. BUILDERS</t>
  </si>
  <si>
    <t>511</t>
  </si>
  <si>
    <t>ABHIJIT GHOSH</t>
  </si>
  <si>
    <t>DAC/25-26-0286</t>
  </si>
  <si>
    <t>65D</t>
  </si>
  <si>
    <t>7397</t>
  </si>
  <si>
    <t>801651952829</t>
  </si>
  <si>
    <t>Netaji nagar- 700040</t>
  </si>
  <si>
    <t>PLUM ONE STOP SOLUTIONS PRIVATE LIM</t>
  </si>
  <si>
    <t>8017896028-25MT</t>
  </si>
  <si>
    <t>508</t>
  </si>
  <si>
    <t>SATYANARAYAN GHOSH</t>
  </si>
  <si>
    <t>57C</t>
  </si>
  <si>
    <t>7436</t>
  </si>
  <si>
    <t>821651956744</t>
  </si>
  <si>
    <t>510</t>
  </si>
  <si>
    <t>HARADHAN MONDAL</t>
  </si>
  <si>
    <t>DAC/25-26-0278</t>
  </si>
  <si>
    <t>39A</t>
  </si>
  <si>
    <t>5062</t>
  </si>
  <si>
    <t>811651960094</t>
  </si>
  <si>
    <t>506</t>
  </si>
  <si>
    <t>SUBHAS SANTRA</t>
  </si>
  <si>
    <t>37E</t>
  </si>
  <si>
    <t>6348</t>
  </si>
  <si>
    <t>841651960514</t>
  </si>
  <si>
    <t>507</t>
  </si>
  <si>
    <t>RAKESH GUIN</t>
  </si>
  <si>
    <t>23C</t>
  </si>
  <si>
    <t>9555</t>
  </si>
  <si>
    <t>801651963409</t>
  </si>
  <si>
    <t>DEWANDIGHI</t>
  </si>
  <si>
    <t>AIC IRON INDUSTRIES PRIVATE LIMITED</t>
  </si>
  <si>
    <t>509</t>
  </si>
  <si>
    <t>SK MUSTAFFA</t>
  </si>
  <si>
    <t>NEAR PINCODE</t>
  </si>
  <si>
    <t xml:space="preserve">	DAC/25-26-0287</t>
  </si>
  <si>
    <t>29A</t>
  </si>
  <si>
    <t>8166</t>
  </si>
  <si>
    <t>801652059129</t>
  </si>
  <si>
    <t>Purulia h.p.o.- 7231</t>
  </si>
  <si>
    <t>JAI BALAJI CONSTRUCTION</t>
  </si>
  <si>
    <t>SUKHEN BAURI-8293598496-500BAGS</t>
  </si>
  <si>
    <t>512</t>
  </si>
  <si>
    <t>UDAY MALIK</t>
  </si>
  <si>
    <t>D+2</t>
  </si>
  <si>
    <t xml:space="preserve">	NVCL/25-26-0424</t>
  </si>
  <si>
    <t>41F</t>
  </si>
  <si>
    <t>2315</t>
  </si>
  <si>
    <t>861652099628</t>
  </si>
  <si>
    <t>Golapganj- 732201</t>
  </si>
  <si>
    <t>UJJAL HARDWARE</t>
  </si>
  <si>
    <t>513</t>
  </si>
  <si>
    <t>MIR AHASAN ALI</t>
  </si>
  <si>
    <t>GEOFENCE HIT</t>
  </si>
  <si>
    <t>861652099769</t>
  </si>
  <si>
    <t>9201</t>
  </si>
  <si>
    <t>861652215589</t>
  </si>
  <si>
    <t>Khodambari- 721650</t>
  </si>
  <si>
    <t>RAJASRI TRADERS</t>
  </si>
  <si>
    <t>514</t>
  </si>
  <si>
    <t>SURAJ SINGH</t>
  </si>
  <si>
    <t>891652215450</t>
  </si>
  <si>
    <t>6898</t>
  </si>
  <si>
    <t>881652219714</t>
  </si>
  <si>
    <t>741150-BASHARKHOLA</t>
  </si>
  <si>
    <t>ROJA STEEL</t>
  </si>
  <si>
    <t>MAA BUILDERS-8641860904-380BAGS</t>
  </si>
  <si>
    <t>515</t>
  </si>
  <si>
    <t>BHOLA YADAV</t>
  </si>
  <si>
    <t>841652219994</t>
  </si>
  <si>
    <t xml:space="preserve">	NVCL/25-26-0476</t>
  </si>
  <si>
    <t>41H</t>
  </si>
  <si>
    <t>0254</t>
  </si>
  <si>
    <t>851652228498</t>
  </si>
  <si>
    <t>Canning town s.o.- 7</t>
  </si>
  <si>
    <t>GUPTA BUILDING SOLUTION PRIVATE LIM</t>
  </si>
  <si>
    <t>9733548428-500BAGS</t>
  </si>
  <si>
    <t>516</t>
  </si>
  <si>
    <t>SOURAV GHOSH</t>
  </si>
  <si>
    <t>D+3</t>
  </si>
  <si>
    <t>PINCODE</t>
  </si>
  <si>
    <t>NVCL/25-26-0439</t>
  </si>
  <si>
    <t>8916</t>
  </si>
  <si>
    <t>831652229156</t>
  </si>
  <si>
    <t>Mohanpur-814154</t>
  </si>
  <si>
    <t>SHREE KRISHNA STORES</t>
  </si>
  <si>
    <t>518</t>
  </si>
  <si>
    <t>DIPALI ASSOCIATE</t>
  </si>
  <si>
    <t>D+5</t>
  </si>
  <si>
    <t>PANAGARH</t>
  </si>
  <si>
    <t>NVCL/25-26-0478</t>
  </si>
  <si>
    <t>3467</t>
  </si>
  <si>
    <t>821652229463</t>
  </si>
  <si>
    <t>6W</t>
  </si>
  <si>
    <t>Anara- 723126</t>
  </si>
  <si>
    <t>MAA GANDHESWARI SUPPLIER</t>
  </si>
  <si>
    <t>517</t>
  </si>
  <si>
    <t>JAYANTA MAJI</t>
  </si>
  <si>
    <t>NVCL/26-27-0058</t>
  </si>
  <si>
    <t>2373</t>
  </si>
  <si>
    <t>861652288226</t>
  </si>
  <si>
    <t>8100919228</t>
  </si>
  <si>
    <t>2025252521091900</t>
  </si>
  <si>
    <t>LANGULIA</t>
  </si>
  <si>
    <t>CHOWDHURY HARDWARE</t>
  </si>
  <si>
    <t>KGN H/W-8101521277-280BAGS, 7001087929-100BAGS</t>
  </si>
  <si>
    <t>519</t>
  </si>
  <si>
    <t xml:space="preserve">	NVCL/25-26-0425</t>
  </si>
  <si>
    <t>0800</t>
  </si>
  <si>
    <t>861652300702</t>
  </si>
  <si>
    <t>8100919253</t>
  </si>
  <si>
    <t>2025252521091914</t>
  </si>
  <si>
    <t>GOLAPBAG-731121</t>
  </si>
  <si>
    <t>GOBINDA STEEL</t>
  </si>
  <si>
    <t>520</t>
  </si>
  <si>
    <t>861652300504</t>
  </si>
  <si>
    <t>8100919252</t>
  </si>
  <si>
    <t>2025252521091913</t>
  </si>
  <si>
    <t>0</t>
  </si>
  <si>
    <t xml:space="preserve">	NVCL/25-26-0456</t>
  </si>
  <si>
    <t>0802</t>
  </si>
  <si>
    <t>881652328742</t>
  </si>
  <si>
    <t>8100919304</t>
  </si>
  <si>
    <t>2025252521091929</t>
  </si>
  <si>
    <t>GARHBETA</t>
  </si>
  <si>
    <t>SHREE DURGA MARBLE</t>
  </si>
  <si>
    <t>9735593732-280BAGS,8101594681-100BAGS</t>
  </si>
  <si>
    <t>521</t>
  </si>
  <si>
    <t>NVCL/26-27-0038</t>
  </si>
  <si>
    <t>9266</t>
  </si>
  <si>
    <t>851652313400</t>
  </si>
  <si>
    <t>8100919273</t>
  </si>
  <si>
    <t>2025252521091918</t>
  </si>
  <si>
    <t>NAHATA</t>
  </si>
  <si>
    <t>PRADIP KUMAR SAHA</t>
  </si>
  <si>
    <t>SHIBNATH DAS-400+100BAGS</t>
  </si>
  <si>
    <t>522</t>
  </si>
  <si>
    <t>BABLU BAR</t>
  </si>
  <si>
    <t>821652913063</t>
  </si>
  <si>
    <t>8100919271</t>
  </si>
  <si>
    <t>2025252521091917</t>
  </si>
  <si>
    <t>41J</t>
  </si>
  <si>
    <t>9798</t>
  </si>
  <si>
    <t>821652674775</t>
  </si>
  <si>
    <t>8100919951</t>
  </si>
  <si>
    <t>2025252521092014</t>
  </si>
  <si>
    <t>14W</t>
  </si>
  <si>
    <t>THARIHAT</t>
  </si>
  <si>
    <t>SHIVAM ENTERPRISE</t>
  </si>
  <si>
    <t>523</t>
  </si>
  <si>
    <t>UTTAM ROY</t>
  </si>
  <si>
    <t>4393</t>
  </si>
  <si>
    <t>821652698379</t>
  </si>
  <si>
    <t>8100920042</t>
  </si>
  <si>
    <t>2025252521092037</t>
  </si>
  <si>
    <t>PALGACHHI-732127</t>
  </si>
  <si>
    <t>B.S ENTERPRISE</t>
  </si>
  <si>
    <t>524</t>
  </si>
  <si>
    <t>ANIMESH BANERJEE</t>
  </si>
  <si>
    <t xml:space="preserve">	NVCL/25-26-0451</t>
  </si>
  <si>
    <t>0177</t>
  </si>
  <si>
    <t>821652737854</t>
  </si>
  <si>
    <t>8100920134</t>
  </si>
  <si>
    <t>2025252521092058</t>
  </si>
  <si>
    <t>BALIADANGA-732201</t>
  </si>
  <si>
    <t>525</t>
  </si>
  <si>
    <t>GOUTAM ROY</t>
  </si>
  <si>
    <t xml:space="preserve">	NVCL/25-26-0462</t>
  </si>
  <si>
    <t>41G</t>
  </si>
  <si>
    <t>1024</t>
  </si>
  <si>
    <t>891652947355</t>
  </si>
  <si>
    <t>8100920666</t>
  </si>
  <si>
    <t>2025252521092122</t>
  </si>
  <si>
    <t>HARISHCHANDRAPUR-73</t>
  </si>
  <si>
    <t>RIYA ENTERPRISE</t>
  </si>
  <si>
    <t>9733747264-500BAGS</t>
  </si>
  <si>
    <t>526</t>
  </si>
  <si>
    <t>821652949699</t>
  </si>
  <si>
    <t>8100920672</t>
  </si>
  <si>
    <t>2025252521092125</t>
  </si>
  <si>
    <t>SIMLA</t>
  </si>
  <si>
    <t>GOSWAMI CEMENT CENTER</t>
  </si>
  <si>
    <t>527</t>
  </si>
  <si>
    <t>4475</t>
  </si>
  <si>
    <t>811653000369</t>
  </si>
  <si>
    <t>8100920836</t>
  </si>
  <si>
    <t>DUMKA</t>
  </si>
  <si>
    <t>528</t>
  </si>
  <si>
    <t>FAIYAZ ALAM</t>
  </si>
  <si>
    <t>871653000338</t>
  </si>
  <si>
    <t>8100920835</t>
  </si>
  <si>
    <t xml:space="preserve">	NVCL/26-27-0154</t>
  </si>
  <si>
    <t>1080</t>
  </si>
  <si>
    <t>891653003755</t>
  </si>
  <si>
    <t>8100920914</t>
  </si>
  <si>
    <t>2025252521092203</t>
  </si>
  <si>
    <t>529</t>
  </si>
  <si>
    <t>ANNAPURNA PRASAD</t>
  </si>
  <si>
    <t>4313</t>
  </si>
  <si>
    <t>891653003490</t>
  </si>
  <si>
    <t>8100920910</t>
  </si>
  <si>
    <t>2025252521092201</t>
  </si>
  <si>
    <t>RAIDIGHI</t>
  </si>
  <si>
    <t>ANIMA PAUL STEEL PVT LTD</t>
  </si>
  <si>
    <t>APTAB LASKAR-7864094922-500BAGS</t>
  </si>
  <si>
    <t>530</t>
  </si>
  <si>
    <t>841653003523</t>
  </si>
  <si>
    <t>8100920911</t>
  </si>
  <si>
    <t>2025252521092200</t>
  </si>
  <si>
    <t>NVCL/26-27-0153</t>
  </si>
  <si>
    <t>861653005637</t>
  </si>
  <si>
    <t>8100920923</t>
  </si>
  <si>
    <t>2025252521092212</t>
  </si>
  <si>
    <t>NON STAMP</t>
  </si>
  <si>
    <t>KATWA</t>
  </si>
  <si>
    <t>MAJI HARDWARE</t>
  </si>
  <si>
    <t>JIBON GHATAK-300+200BAGS</t>
  </si>
  <si>
    <t>531</t>
  </si>
  <si>
    <t>801653005697</t>
  </si>
  <si>
    <t>8100920924</t>
  </si>
  <si>
    <t>2025252521092211</t>
  </si>
  <si>
    <t>6396</t>
  </si>
  <si>
    <t>851653006666</t>
  </si>
  <si>
    <t>8100920928</t>
  </si>
  <si>
    <t>2025252521092216</t>
  </si>
  <si>
    <t>ACHINTOLA</t>
  </si>
  <si>
    <t>K.G.N ENTERPRISE</t>
  </si>
  <si>
    <t>MD FARUQUE AHAMED-9733243301-200+300=500BAGS</t>
  </si>
  <si>
    <t>532</t>
  </si>
  <si>
    <t>821653008494</t>
  </si>
  <si>
    <t>8100920930</t>
  </si>
  <si>
    <t>2025252521092221</t>
  </si>
  <si>
    <t>NATUN DANGA</t>
  </si>
  <si>
    <t>MAA MANSA CEMENT</t>
  </si>
  <si>
    <t>533</t>
  </si>
  <si>
    <t>NVCL/25-26-0437</t>
  </si>
  <si>
    <t>831653012274</t>
  </si>
  <si>
    <t>8100920938</t>
  </si>
  <si>
    <t>2025252521092225</t>
  </si>
  <si>
    <t>534</t>
  </si>
  <si>
    <t xml:space="preserve">	NVCL/25-26-0441</t>
  </si>
  <si>
    <t>0801</t>
  </si>
  <si>
    <t>821653013526</t>
  </si>
  <si>
    <t>8100920950</t>
  </si>
  <si>
    <t>2025252521092236</t>
  </si>
  <si>
    <t>BOLPUR</t>
  </si>
  <si>
    <t>HASAN HARDWARE</t>
  </si>
  <si>
    <t>535</t>
  </si>
  <si>
    <t>NVCL/25-26-0438</t>
  </si>
  <si>
    <t>821653324569</t>
  </si>
  <si>
    <t>7600356435</t>
  </si>
  <si>
    <t>2025252521092326</t>
  </si>
  <si>
    <t>STO</t>
  </si>
  <si>
    <t>BANDEL</t>
  </si>
  <si>
    <t>NUVOCO VISTAS CORP LTD</t>
  </si>
  <si>
    <t>536</t>
  </si>
  <si>
    <t>NVCL/25-26-0452</t>
  </si>
  <si>
    <t>841653373640</t>
  </si>
  <si>
    <t>8100921621</t>
  </si>
  <si>
    <t>2025252521092354</t>
  </si>
  <si>
    <t>BAISHNABNAGAR-73221</t>
  </si>
  <si>
    <t>537</t>
  </si>
  <si>
    <t>881653374322</t>
  </si>
  <si>
    <t>8100921624</t>
  </si>
  <si>
    <t>2025252521092353</t>
  </si>
  <si>
    <t>6585</t>
  </si>
  <si>
    <t>801653336005</t>
  </si>
  <si>
    <t>7600356451</t>
  </si>
  <si>
    <t>2025252521092330</t>
  </si>
  <si>
    <t>539</t>
  </si>
  <si>
    <t>TUSHAR KANTI MONDAL</t>
  </si>
  <si>
    <t>5775</t>
  </si>
  <si>
    <t>808009353154</t>
  </si>
  <si>
    <t>8100921632</t>
  </si>
  <si>
    <t>2025252521092356</t>
  </si>
  <si>
    <t>538</t>
  </si>
  <si>
    <t>39C</t>
  </si>
  <si>
    <t>7433</t>
  </si>
  <si>
    <t>811653391896</t>
  </si>
  <si>
    <t>8100921065</t>
  </si>
  <si>
    <t>MADHUPUR</t>
  </si>
  <si>
    <t>PREETI ENTERPRISE</t>
  </si>
  <si>
    <t>8709894228-500BAGS</t>
  </si>
  <si>
    <t>540</t>
  </si>
  <si>
    <t>SUBHENDU GOSWAMI</t>
  </si>
  <si>
    <t xml:space="preserve">	NVCL/25-26-0442</t>
  </si>
  <si>
    <t>41K</t>
  </si>
  <si>
    <t>2967</t>
  </si>
  <si>
    <t>801653418853</t>
  </si>
  <si>
    <t>7600356525</t>
  </si>
  <si>
    <t>2025252521092379</t>
  </si>
  <si>
    <t>MEHERMA</t>
  </si>
  <si>
    <t>541</t>
  </si>
  <si>
    <t>NVCL/25-26-440</t>
  </si>
  <si>
    <t>39G</t>
  </si>
  <si>
    <t>6846</t>
  </si>
  <si>
    <t>821653435478</t>
  </si>
  <si>
    <t>8100921745</t>
  </si>
  <si>
    <t>2025252521092390</t>
  </si>
  <si>
    <t>KARMATAR-815552</t>
  </si>
  <si>
    <t>KISHAN CEMENT HOUSE</t>
  </si>
  <si>
    <t>542</t>
  </si>
  <si>
    <t>33C</t>
  </si>
  <si>
    <t>6016</t>
  </si>
  <si>
    <t>831653466228</t>
  </si>
  <si>
    <t>8100921848</t>
  </si>
  <si>
    <t>2025252521092399</t>
  </si>
  <si>
    <t>BARABHUM-723127</t>
  </si>
  <si>
    <t>PRANAB KUMAR KEDIA</t>
  </si>
  <si>
    <t>543</t>
  </si>
  <si>
    <t>INDRANIL ROY</t>
  </si>
  <si>
    <t>841653469949</t>
  </si>
  <si>
    <t>7600356570</t>
  </si>
  <si>
    <t>2025252521092346</t>
  </si>
  <si>
    <t>544</t>
  </si>
  <si>
    <t>NVCL/26-27-0020</t>
  </si>
  <si>
    <t>851653465809</t>
  </si>
  <si>
    <t>8100921844</t>
  </si>
  <si>
    <t>2025252521092400</t>
  </si>
  <si>
    <t>RAMPURHAT-731224</t>
  </si>
  <si>
    <t>BANSAL MARBLE</t>
  </si>
  <si>
    <t>RAJ LAXMI H/W-7001531011-500BAGS</t>
  </si>
  <si>
    <t>545</t>
  </si>
  <si>
    <t>861653573530</t>
  </si>
  <si>
    <t>8100922337</t>
  </si>
  <si>
    <t>2025252521092548</t>
  </si>
  <si>
    <t>KUKURA-713423</t>
  </si>
  <si>
    <t>DEY BUILDERS</t>
  </si>
  <si>
    <t>546</t>
  </si>
  <si>
    <t>CROSS PINCODE</t>
  </si>
  <si>
    <t>831653573784</t>
  </si>
  <si>
    <t>8100922339</t>
  </si>
  <si>
    <t>2025252521092550</t>
  </si>
  <si>
    <t>DALLI HAJI ENT-500BAGS</t>
  </si>
  <si>
    <t>547</t>
  </si>
  <si>
    <t>NVCL/25-26-0443</t>
  </si>
  <si>
    <t>881653585276</t>
  </si>
  <si>
    <t>8100922378</t>
  </si>
  <si>
    <t>2025252521092568</t>
  </si>
  <si>
    <t>553</t>
  </si>
  <si>
    <t>831653598576</t>
  </si>
  <si>
    <t>8100922412</t>
  </si>
  <si>
    <t>2025252521092576</t>
  </si>
  <si>
    <t>KALIACHAK</t>
  </si>
  <si>
    <t>548</t>
  </si>
  <si>
    <t>DEVIATION</t>
  </si>
  <si>
    <t>801653606180</t>
  </si>
  <si>
    <t>8100922431</t>
  </si>
  <si>
    <t>2025252521092578</t>
  </si>
  <si>
    <t>BAKSHIPUR-741155</t>
  </si>
  <si>
    <t>KARTICK CHANDRA DAS</t>
  </si>
  <si>
    <t>9641300331-380BAGS</t>
  </si>
  <si>
    <t>549</t>
  </si>
  <si>
    <t>801653606841</t>
  </si>
  <si>
    <t>8100922435</t>
  </si>
  <si>
    <t>2025252521092577</t>
  </si>
  <si>
    <t>1813</t>
  </si>
  <si>
    <t>891653617134</t>
  </si>
  <si>
    <t>8100922449</t>
  </si>
  <si>
    <t>2025252521092585</t>
  </si>
  <si>
    <t>RATUA</t>
  </si>
  <si>
    <t>PINTU ENTERPRISE</t>
  </si>
  <si>
    <t>NUR ENT-9851473584-500BAGS</t>
  </si>
  <si>
    <t>552</t>
  </si>
  <si>
    <t>861653618026</t>
  </si>
  <si>
    <t>8100922450</t>
  </si>
  <si>
    <t>2025252521092586</t>
  </si>
  <si>
    <t>861653623033</t>
  </si>
  <si>
    <t>8100922462</t>
  </si>
  <si>
    <t>2025252521092591</t>
  </si>
  <si>
    <t>550</t>
  </si>
  <si>
    <t>851653622363</t>
  </si>
  <si>
    <t>8100922460</t>
  </si>
  <si>
    <t>2025252521092592</t>
  </si>
  <si>
    <t>841653626180</t>
  </si>
  <si>
    <t>8100922468</t>
  </si>
  <si>
    <t>2025252521092595</t>
  </si>
  <si>
    <t>MANDRO</t>
  </si>
  <si>
    <t>MURLI KUMAR BHAGAT</t>
  </si>
  <si>
    <t>551</t>
  </si>
  <si>
    <t>831653838980</t>
  </si>
  <si>
    <t>8100922924</t>
  </si>
  <si>
    <t>2025252521092614</t>
  </si>
  <si>
    <t>554</t>
  </si>
  <si>
    <t>NVCL/25-26-0477</t>
  </si>
  <si>
    <t>861653849837</t>
  </si>
  <si>
    <t>8100922958</t>
  </si>
  <si>
    <t>2025252521092617</t>
  </si>
  <si>
    <t>BASANTRAI-814155</t>
  </si>
  <si>
    <t>G.M ASSOCIATES</t>
  </si>
  <si>
    <t>7352387248-500BAGS</t>
  </si>
  <si>
    <t>555</t>
  </si>
  <si>
    <t>9434</t>
  </si>
  <si>
    <t>871653895060</t>
  </si>
  <si>
    <t>8100923083</t>
  </si>
  <si>
    <t>2025252521092640</t>
  </si>
  <si>
    <t>PATHERGAMA-814147</t>
  </si>
  <si>
    <t>KUNDAN KUMAR BHAGAT</t>
  </si>
  <si>
    <t>556</t>
  </si>
  <si>
    <t>KUSH SINGH</t>
  </si>
  <si>
    <t>801653929722</t>
  </si>
  <si>
    <t>7600357004</t>
  </si>
  <si>
    <t>2025252521092657</t>
  </si>
  <si>
    <t>NANDIGRAM</t>
  </si>
  <si>
    <t>558</t>
  </si>
  <si>
    <t>AT DEPO</t>
  </si>
  <si>
    <t>811653958026</t>
  </si>
  <si>
    <t>8100923270</t>
  </si>
  <si>
    <t>2025252521092679</t>
  </si>
  <si>
    <t>MAHESHKHUNT</t>
  </si>
  <si>
    <t>GUPTA STORES</t>
  </si>
  <si>
    <t>559</t>
  </si>
  <si>
    <t>811653969987</t>
  </si>
  <si>
    <t>8100923315</t>
  </si>
  <si>
    <t>2025252521092706</t>
  </si>
  <si>
    <t>SURI</t>
  </si>
  <si>
    <t>BIMALA DEVI JAIN</t>
  </si>
  <si>
    <t>560</t>
  </si>
  <si>
    <t>67B</t>
  </si>
  <si>
    <t>3669</t>
  </si>
  <si>
    <t>821653894231</t>
  </si>
  <si>
    <t>8100923076</t>
  </si>
  <si>
    <t>2025252521092639</t>
  </si>
  <si>
    <t>7488008099-300BAGS, 7464068573-300BAGS</t>
  </si>
  <si>
    <t>561</t>
  </si>
  <si>
    <t>801654062576</t>
  </si>
  <si>
    <t>8100923482</t>
  </si>
  <si>
    <t>562</t>
  </si>
  <si>
    <t xml:space="preserve">	NVCL/25-26-0461</t>
  </si>
  <si>
    <t>821654063096</t>
  </si>
  <si>
    <t>8100923619</t>
  </si>
  <si>
    <t>2025252521092782</t>
  </si>
  <si>
    <t>DAMODARPUR</t>
  </si>
  <si>
    <t>M.H TRADERS</t>
  </si>
  <si>
    <t>MOSTAFIJUR H/W-7076961330-500BAGS</t>
  </si>
  <si>
    <t>563</t>
  </si>
  <si>
    <t>NVCL/25-26-0444</t>
  </si>
  <si>
    <t>851654067419</t>
  </si>
  <si>
    <t>8100923636</t>
  </si>
  <si>
    <t>2025252521092789</t>
  </si>
  <si>
    <t>BISWAS TRADERS</t>
  </si>
  <si>
    <t>564</t>
  </si>
  <si>
    <t>trip not showing - mail done 08.03.26</t>
  </si>
  <si>
    <t>801654067089</t>
  </si>
  <si>
    <t>8100923635</t>
  </si>
  <si>
    <t>2025252521092790</t>
  </si>
  <si>
    <t>NVCL/25-26-0464</t>
  </si>
  <si>
    <t>861654167220</t>
  </si>
  <si>
    <t>8100923848</t>
  </si>
  <si>
    <t>2025252521092830</t>
  </si>
  <si>
    <t>PLASSEY</t>
  </si>
  <si>
    <t>8016260607-380BAGS</t>
  </si>
  <si>
    <t>565</t>
  </si>
  <si>
    <t>851654166196</t>
  </si>
  <si>
    <t>8100923843</t>
  </si>
  <si>
    <t>2025252521092831</t>
  </si>
  <si>
    <t>LOKPUR</t>
  </si>
  <si>
    <t>566</t>
  </si>
  <si>
    <t>NVCL/26-27-0011</t>
  </si>
  <si>
    <t>821654182119</t>
  </si>
  <si>
    <t>8100923884</t>
  </si>
  <si>
    <t>2025252521092833</t>
  </si>
  <si>
    <t>567</t>
  </si>
  <si>
    <t>5858</t>
  </si>
  <si>
    <t>851654201778</t>
  </si>
  <si>
    <t>8100923935</t>
  </si>
  <si>
    <t>2025252521092837</t>
  </si>
  <si>
    <t>SALAR</t>
  </si>
  <si>
    <t>ANJAN KUMAR RAJ</t>
  </si>
  <si>
    <t>568</t>
  </si>
  <si>
    <t>RUHUL SK</t>
  </si>
  <si>
    <t>841654229157</t>
  </si>
  <si>
    <t>8100924002</t>
  </si>
  <si>
    <t>2025252521092852</t>
  </si>
  <si>
    <t>569</t>
  </si>
  <si>
    <t>841654276223</t>
  </si>
  <si>
    <t>8100924125</t>
  </si>
  <si>
    <t>2025252521092874</t>
  </si>
  <si>
    <t>MARPA</t>
  </si>
  <si>
    <t>BHAGWAN TRADERS</t>
  </si>
  <si>
    <t>570</t>
  </si>
  <si>
    <t>DAC/26-27-0019</t>
  </si>
  <si>
    <t>851654274262</t>
  </si>
  <si>
    <t>8100923483</t>
  </si>
  <si>
    <t>GHAGHRA</t>
  </si>
  <si>
    <t>HASSAN TRADERS</t>
  </si>
  <si>
    <t>9931193080-500BAGS</t>
  </si>
  <si>
    <t>571</t>
  </si>
  <si>
    <t>841654356666</t>
  </si>
  <si>
    <t>8100924369</t>
  </si>
  <si>
    <t>2025252521092932</t>
  </si>
  <si>
    <t>SEEMA TRADING CO</t>
  </si>
  <si>
    <t>RUSTOM CONSTRUCTION-6296429231-500BAGS</t>
  </si>
  <si>
    <t>572</t>
  </si>
  <si>
    <t>801654355715</t>
  </si>
  <si>
    <t>8100924367</t>
  </si>
  <si>
    <t>2025252521092931</t>
  </si>
  <si>
    <t>851654382453</t>
  </si>
  <si>
    <t>8100924426</t>
  </si>
  <si>
    <t>2025252521092941</t>
  </si>
  <si>
    <t>SALIGRAM</t>
  </si>
  <si>
    <t>RAJYASREE GHOSH</t>
  </si>
  <si>
    <t>TINA BISWAS-9153579341-380BAGS</t>
  </si>
  <si>
    <t>557/573</t>
  </si>
  <si>
    <t>801654381637</t>
  </si>
  <si>
    <t>8100924425</t>
  </si>
  <si>
    <t>2025252521092942</t>
  </si>
  <si>
    <t>NVCL/25-26-0463</t>
  </si>
  <si>
    <t>831654540828</t>
  </si>
  <si>
    <t>8100925030</t>
  </si>
  <si>
    <t>2025252521093120</t>
  </si>
  <si>
    <t>KARIMPUR</t>
  </si>
  <si>
    <t>DEYS HARDWARE</t>
  </si>
  <si>
    <t>SHAIKH H/W-9932740042-380BAGS</t>
  </si>
  <si>
    <t>574</t>
  </si>
  <si>
    <t>D</t>
  </si>
  <si>
    <t xml:space="preserve">	NVCL/25-26-0485</t>
  </si>
  <si>
    <t>2382</t>
  </si>
  <si>
    <t>861654557690</t>
  </si>
  <si>
    <t>8100925113</t>
  </si>
  <si>
    <t>2025252521093157</t>
  </si>
  <si>
    <t>GODDA</t>
  </si>
  <si>
    <t>575</t>
  </si>
  <si>
    <t>ANIMESH MUKHERJEE</t>
  </si>
  <si>
    <t>801654566812</t>
  </si>
  <si>
    <t>8100925139</t>
  </si>
  <si>
    <t>2025252521093171</t>
  </si>
  <si>
    <t>FARAKKA</t>
  </si>
  <si>
    <t>576</t>
  </si>
  <si>
    <t>881654568768</t>
  </si>
  <si>
    <t>8100925145</t>
  </si>
  <si>
    <t>2025252521093173</t>
  </si>
  <si>
    <t>9661853152-500BAGS</t>
  </si>
  <si>
    <t>577</t>
  </si>
  <si>
    <t>NVCL/25-26-0466</t>
  </si>
  <si>
    <t>8879</t>
  </si>
  <si>
    <t>851654571121</t>
  </si>
  <si>
    <t>8100925149</t>
  </si>
  <si>
    <t>2025252521093176</t>
  </si>
  <si>
    <t>GOPIKANDAR</t>
  </si>
  <si>
    <t>AJAY BIJAY</t>
  </si>
  <si>
    <t xml:space="preserve">500 BG RECEIVED ON PAD </t>
  </si>
  <si>
    <t>578</t>
  </si>
  <si>
    <t>DILIP PANJA</t>
  </si>
  <si>
    <t>831654571141</t>
  </si>
  <si>
    <t>7600357650</t>
  </si>
  <si>
    <t>2025252521093177</t>
  </si>
  <si>
    <t>DHANBAD</t>
  </si>
  <si>
    <t>579</t>
  </si>
  <si>
    <t>881654569732</t>
  </si>
  <si>
    <t>8100925146</t>
  </si>
  <si>
    <t>2025252521093175</t>
  </si>
  <si>
    <t>RAJGRAM</t>
  </si>
  <si>
    <t>MOBASSAR HARDWARE</t>
  </si>
  <si>
    <t>580</t>
  </si>
  <si>
    <t>0926</t>
  </si>
  <si>
    <t>821654559722</t>
  </si>
  <si>
    <t>8100925119</t>
  </si>
  <si>
    <t>2025252521093160</t>
  </si>
  <si>
    <t>MIRUAL</t>
  </si>
  <si>
    <t>GHOSH HARDWARE</t>
  </si>
  <si>
    <t>581</t>
  </si>
  <si>
    <t>SUMAN GHOSH</t>
  </si>
  <si>
    <t>841654597380</t>
  </si>
  <si>
    <t>8100925230</t>
  </si>
  <si>
    <t>2025252521093222</t>
  </si>
  <si>
    <t>JHALDA</t>
  </si>
  <si>
    <t>BISWANATH MAHATO -8670274268-380BAGS</t>
  </si>
  <si>
    <t>582</t>
  </si>
  <si>
    <t>831654671313</t>
  </si>
  <si>
    <t>8100923749</t>
  </si>
  <si>
    <t>RAMSETHU ELECTRICAL &amp; MECHANICAL</t>
  </si>
  <si>
    <t>583</t>
  </si>
  <si>
    <t xml:space="preserve">	NVCL/26-27-0107</t>
  </si>
  <si>
    <t>851654682522</t>
  </si>
  <si>
    <t>8100925617</t>
  </si>
  <si>
    <t>2025252521093243</t>
  </si>
  <si>
    <t>8910829704-240BAGS , 9831811497-260BAGS</t>
  </si>
  <si>
    <t>584</t>
  </si>
  <si>
    <t>3049</t>
  </si>
  <si>
    <t>871654703311</t>
  </si>
  <si>
    <t>8100925300</t>
  </si>
  <si>
    <t>SAPTAR</t>
  </si>
  <si>
    <t>7979984319-500BAGS</t>
  </si>
  <si>
    <t>585</t>
  </si>
  <si>
    <t>GORACHAND DUTTA</t>
  </si>
  <si>
    <t>9696</t>
  </si>
  <si>
    <t>861654720094</t>
  </si>
  <si>
    <t>8100925858</t>
  </si>
  <si>
    <t>2025252521093261</t>
  </si>
  <si>
    <t>RAMGARH</t>
  </si>
  <si>
    <t>586</t>
  </si>
  <si>
    <t>BIPLAB GOSWAMI</t>
  </si>
  <si>
    <t>881654720230</t>
  </si>
  <si>
    <t>8100925859</t>
  </si>
  <si>
    <t>2025252521093262</t>
  </si>
  <si>
    <t>821654756646</t>
  </si>
  <si>
    <t>8100926112</t>
  </si>
  <si>
    <t>2025252521093300</t>
  </si>
  <si>
    <t>ARABINDA HADWARE</t>
  </si>
  <si>
    <t>9434161643-380BAGS</t>
  </si>
  <si>
    <t>587</t>
  </si>
  <si>
    <t>NVCL/26-27-0001</t>
  </si>
  <si>
    <t>841654757830</t>
  </si>
  <si>
    <t>8100926121</t>
  </si>
  <si>
    <t>2025252521093303</t>
  </si>
  <si>
    <t>BARSHA TELECOM</t>
  </si>
  <si>
    <t>8945998209-500BAGS</t>
  </si>
  <si>
    <t>588</t>
  </si>
  <si>
    <t>NVCL/26-27-0106</t>
  </si>
  <si>
    <t>871654763782</t>
  </si>
  <si>
    <t>8100926148</t>
  </si>
  <si>
    <t>2025252521093308</t>
  </si>
  <si>
    <t>HUTMURA</t>
  </si>
  <si>
    <t>MEHATAB HARDWARE</t>
  </si>
  <si>
    <t>ANKITA H/W-9614653074-500BAGS</t>
  </si>
  <si>
    <t>589</t>
  </si>
  <si>
    <t>801654841230</t>
  </si>
  <si>
    <t>8100926667</t>
  </si>
  <si>
    <t>2025252521093383</t>
  </si>
  <si>
    <t>CHINADHAB</t>
  </si>
  <si>
    <t>8789614060-200BAGS , 9570680495-100BAGS , 6200173040-200BAGS</t>
  </si>
  <si>
    <t>591</t>
  </si>
  <si>
    <t>NVCL/25-26-0465</t>
  </si>
  <si>
    <t>801654869823</t>
  </si>
  <si>
    <t>8100926775</t>
  </si>
  <si>
    <t>2025252521093422</t>
  </si>
  <si>
    <t>KASTAGORIA</t>
  </si>
  <si>
    <t>ROY BROTHERS IRON STORES</t>
  </si>
  <si>
    <t>7001615706-140BAGS,S.S ENT-240BAGS</t>
  </si>
  <si>
    <t>592</t>
  </si>
  <si>
    <t>881654870001</t>
  </si>
  <si>
    <t>8100926777</t>
  </si>
  <si>
    <t>2025252521093421</t>
  </si>
  <si>
    <t>53B</t>
  </si>
  <si>
    <t>7628</t>
  </si>
  <si>
    <t>851654874666</t>
  </si>
  <si>
    <t>7600358218</t>
  </si>
  <si>
    <t>2025252521093429</t>
  </si>
  <si>
    <t>593</t>
  </si>
  <si>
    <t>AROBINDO ROY</t>
  </si>
  <si>
    <t>NVCL/26-27-0039</t>
  </si>
  <si>
    <t>811654879544</t>
  </si>
  <si>
    <t>8100926826</t>
  </si>
  <si>
    <t>2025252521093444</t>
  </si>
  <si>
    <t>BELIATORE</t>
  </si>
  <si>
    <t>PINAKI TIWARI</t>
  </si>
  <si>
    <t>SADIP KR GHOSH-7602183105-380BAGS</t>
  </si>
  <si>
    <t>594</t>
  </si>
  <si>
    <t>881654880448</t>
  </si>
  <si>
    <t>8100926843</t>
  </si>
  <si>
    <t>2025252521093457</t>
  </si>
  <si>
    <t>SARAIYAHAT</t>
  </si>
  <si>
    <t>500 BG -9162994242</t>
  </si>
  <si>
    <t>595</t>
  </si>
  <si>
    <t>811654880421</t>
  </si>
  <si>
    <t>8100926842</t>
  </si>
  <si>
    <t>2025252521093456</t>
  </si>
  <si>
    <t>-</t>
  </si>
  <si>
    <t>811654844175</t>
  </si>
  <si>
    <t>8100926680</t>
  </si>
  <si>
    <t>2025252521093386</t>
  </si>
  <si>
    <t>ARSHA</t>
  </si>
  <si>
    <t>MAA TARA CONSTRUCTION</t>
  </si>
  <si>
    <t>SHIV DURGA ENT-9679268775-380BAGS</t>
  </si>
  <si>
    <t>596</t>
  </si>
  <si>
    <t>881654898412</t>
  </si>
  <si>
    <t>8100926962</t>
  </si>
  <si>
    <t>2025252521093502</t>
  </si>
  <si>
    <t>DEONAPUR</t>
  </si>
  <si>
    <t>R.S ENTERPRISE</t>
  </si>
  <si>
    <t>597</t>
  </si>
  <si>
    <t>821654898290</t>
  </si>
  <si>
    <t>8100926961</t>
  </si>
  <si>
    <t>2025252521093500</t>
  </si>
  <si>
    <t>811654860832</t>
  </si>
  <si>
    <t>8100926735</t>
  </si>
  <si>
    <t>2025252521093401</t>
  </si>
  <si>
    <t>590/600</t>
  </si>
  <si>
    <t>NVCL/25-26-0483</t>
  </si>
  <si>
    <t>841655128035</t>
  </si>
  <si>
    <t>8100927465</t>
  </si>
  <si>
    <t>2025252521093547</t>
  </si>
  <si>
    <t>PATADANGA</t>
  </si>
  <si>
    <t>9732140150-220BAGS , AAYESH H/W-9232737862-160BAGS</t>
  </si>
  <si>
    <t>598</t>
  </si>
  <si>
    <t>861655198328</t>
  </si>
  <si>
    <t>8100927630</t>
  </si>
  <si>
    <t>2025252521093562</t>
  </si>
  <si>
    <t>201</t>
  </si>
  <si>
    <t>831655197115</t>
  </si>
  <si>
    <t>8100927628</t>
  </si>
  <si>
    <t>2025252521093561</t>
  </si>
  <si>
    <t>871655191049</t>
  </si>
  <si>
    <t>8100927613</t>
  </si>
  <si>
    <t>2025252521093558</t>
  </si>
  <si>
    <t>PAWAN ENTERPRISE</t>
  </si>
  <si>
    <t>6295520188-380BAGS</t>
  </si>
  <si>
    <t>202</t>
  </si>
  <si>
    <t>891655239064</t>
  </si>
  <si>
    <t>8100927756</t>
  </si>
  <si>
    <t>2025252521093581</t>
  </si>
  <si>
    <t>KANACHI</t>
  </si>
  <si>
    <t>9064069207-380BAGS</t>
  </si>
  <si>
    <t>203</t>
  </si>
  <si>
    <t>41P</t>
  </si>
  <si>
    <t>4782</t>
  </si>
  <si>
    <t>881655270734</t>
  </si>
  <si>
    <t>8100927888</t>
  </si>
  <si>
    <t>2025252521093603</t>
  </si>
  <si>
    <t>MULUK</t>
  </si>
  <si>
    <t>204</t>
  </si>
  <si>
    <t>ABDUL MOYIM MONDAL</t>
  </si>
  <si>
    <t>891655299943</t>
  </si>
  <si>
    <t>7600358571</t>
  </si>
  <si>
    <t>2025252521093644</t>
  </si>
  <si>
    <t>COSSIPORE</t>
  </si>
  <si>
    <t>205</t>
  </si>
  <si>
    <t xml:space="preserve">	NVCL/26-27-0083</t>
  </si>
  <si>
    <t>811655316970</t>
  </si>
  <si>
    <t>8100928141</t>
  </si>
  <si>
    <t>2025252521093706</t>
  </si>
  <si>
    <t>KUKHUDIHI</t>
  </si>
  <si>
    <t>MAHAVEER HARDWARE</t>
  </si>
  <si>
    <t xml:space="preserve">380 bg received </t>
  </si>
  <si>
    <t>206</t>
  </si>
  <si>
    <t>831655317106</t>
  </si>
  <si>
    <t>8100928143</t>
  </si>
  <si>
    <t>2025252521093707</t>
  </si>
  <si>
    <t>871655387271</t>
  </si>
  <si>
    <t>8100928608</t>
  </si>
  <si>
    <t>2025252521093799</t>
  </si>
  <si>
    <t>DHULIYAN</t>
  </si>
  <si>
    <t>7797122235-500BAGS</t>
  </si>
  <si>
    <t>207</t>
  </si>
  <si>
    <t>851655385505</t>
  </si>
  <si>
    <t>8100928591</t>
  </si>
  <si>
    <t>2025252521093792</t>
  </si>
  <si>
    <t>7477859495-500BAGS-SEKH ENT</t>
  </si>
  <si>
    <t>208</t>
  </si>
  <si>
    <t>801655404735</t>
  </si>
  <si>
    <t>8100928705</t>
  </si>
  <si>
    <t>2025252521093836</t>
  </si>
  <si>
    <t>MPPC STEEL P LTD</t>
  </si>
  <si>
    <t>RAZA STORE-9973789604-500BAGS</t>
  </si>
  <si>
    <t>209</t>
  </si>
  <si>
    <t>NVCL/25-26-0453</t>
  </si>
  <si>
    <t>8924</t>
  </si>
  <si>
    <t>841655404005</t>
  </si>
  <si>
    <t>8100928699</t>
  </si>
  <si>
    <t>2025252521093833</t>
  </si>
  <si>
    <t>210</t>
  </si>
  <si>
    <t>801655409293</t>
  </si>
  <si>
    <t>8100928735</t>
  </si>
  <si>
    <t>2025252521093826</t>
  </si>
  <si>
    <t>211</t>
  </si>
  <si>
    <t>821655416129</t>
  </si>
  <si>
    <t>8100928769</t>
  </si>
  <si>
    <t>2025252521093858</t>
  </si>
  <si>
    <t>213</t>
  </si>
  <si>
    <t xml:space="preserve">	NVCL/25-26-0450</t>
  </si>
  <si>
    <t>891655403883</t>
  </si>
  <si>
    <t>8100928698</t>
  </si>
  <si>
    <t>2025252521093832</t>
  </si>
  <si>
    <t>214</t>
  </si>
  <si>
    <t>801655430884</t>
  </si>
  <si>
    <t>8100928820</t>
  </si>
  <si>
    <t>2025252521093876</t>
  </si>
  <si>
    <t>KGN H/W-8101521277-380BAGS</t>
  </si>
  <si>
    <t>215</t>
  </si>
  <si>
    <t>811655436687</t>
  </si>
  <si>
    <t>7600358839</t>
  </si>
  <si>
    <t>2025252521093885</t>
  </si>
  <si>
    <t>PALASIPARA</t>
  </si>
  <si>
    <t>599/216</t>
  </si>
  <si>
    <t>851655438812</t>
  </si>
  <si>
    <t>8100928473</t>
  </si>
  <si>
    <t>GUNNAJ TRADERS</t>
  </si>
  <si>
    <t>217</t>
  </si>
  <si>
    <t>861655439917</t>
  </si>
  <si>
    <t>8100928847</t>
  </si>
  <si>
    <t>2025252521093889</t>
  </si>
  <si>
    <t>218</t>
  </si>
  <si>
    <t>851655457424</t>
  </si>
  <si>
    <t>8100928481</t>
  </si>
  <si>
    <t>SUGABATHAN</t>
  </si>
  <si>
    <t>J.S.S STEEL</t>
  </si>
  <si>
    <t>7992404095-500BAGS</t>
  </si>
  <si>
    <t>219</t>
  </si>
  <si>
    <t>NVCL/25-26-0445</t>
  </si>
  <si>
    <t>851655490292</t>
  </si>
  <si>
    <t>8100928956</t>
  </si>
  <si>
    <t>2025252521093909</t>
  </si>
  <si>
    <t>KALYANI SIMANTA</t>
  </si>
  <si>
    <t>HARIPADA SARKAR</t>
  </si>
  <si>
    <t>212/229</t>
  </si>
  <si>
    <t>891655514341</t>
  </si>
  <si>
    <t>7600358894</t>
  </si>
  <si>
    <t>2025252521093918</t>
  </si>
  <si>
    <t>DEPO STAMP-498BAGS</t>
  </si>
  <si>
    <t>223</t>
  </si>
  <si>
    <t>891655483872</t>
  </si>
  <si>
    <t>7600358877</t>
  </si>
  <si>
    <t>2025252521093904</t>
  </si>
  <si>
    <t>222</t>
  </si>
  <si>
    <t>831655505628</t>
  </si>
  <si>
    <t>7600358886</t>
  </si>
  <si>
    <t>2025252521093914</t>
  </si>
  <si>
    <t>ABADA</t>
  </si>
  <si>
    <t>221</t>
  </si>
  <si>
    <t>851655541545</t>
  </si>
  <si>
    <t>8100929084</t>
  </si>
  <si>
    <t>2025252521093928</t>
  </si>
  <si>
    <t>LALMATIA</t>
  </si>
  <si>
    <t>A.K STORES</t>
  </si>
  <si>
    <t>7277724425-600BAGS</t>
  </si>
  <si>
    <t>225</t>
  </si>
  <si>
    <t>821655540853</t>
  </si>
  <si>
    <t>8100929082</t>
  </si>
  <si>
    <t>2025252521093927</t>
  </si>
  <si>
    <t>821655491395</t>
  </si>
  <si>
    <t>8100928958</t>
  </si>
  <si>
    <t>2025252521093906</t>
  </si>
  <si>
    <t>MOTHABARI</t>
  </si>
  <si>
    <t>ANUASARIYA HARDWARE</t>
  </si>
  <si>
    <t>224</t>
  </si>
  <si>
    <t>801655490875</t>
  </si>
  <si>
    <t>8100928957</t>
  </si>
  <si>
    <t>2025252521093905</t>
  </si>
  <si>
    <t>1234</t>
  </si>
  <si>
    <t>841655543311</t>
  </si>
  <si>
    <t>8100929090</t>
  </si>
  <si>
    <t>2025252521093929</t>
  </si>
  <si>
    <t>9801491403-200+300BAGS</t>
  </si>
  <si>
    <t>226</t>
  </si>
  <si>
    <t>841655543845</t>
  </si>
  <si>
    <t>8100929092</t>
  </si>
  <si>
    <t>2025252521093930</t>
  </si>
  <si>
    <t>878009355375</t>
  </si>
  <si>
    <t>8100928917</t>
  </si>
  <si>
    <t>2025252521093900</t>
  </si>
  <si>
    <t>227</t>
  </si>
  <si>
    <t>871655474672</t>
  </si>
  <si>
    <t>8100928916</t>
  </si>
  <si>
    <t>2025252521093899</t>
  </si>
  <si>
    <t>841655469103</t>
  </si>
  <si>
    <t>8100928903</t>
  </si>
  <si>
    <t>2025252521093897</t>
  </si>
  <si>
    <t>PAKUR</t>
  </si>
  <si>
    <t>SRI GANESH SALES</t>
  </si>
  <si>
    <t>228</t>
  </si>
  <si>
    <t>811655468693</t>
  </si>
  <si>
    <t>8100928900</t>
  </si>
  <si>
    <t>2025252521093896</t>
  </si>
  <si>
    <t>861655497960</t>
  </si>
  <si>
    <t>8100928969</t>
  </si>
  <si>
    <t>2025252521093911</t>
  </si>
  <si>
    <t>229</t>
  </si>
  <si>
    <t>801655885336</t>
  </si>
  <si>
    <t>8100930273</t>
  </si>
  <si>
    <t>2025252521094090</t>
  </si>
  <si>
    <t>BUJUNG</t>
  </si>
  <si>
    <t>ALAMIN RMC PVT LTD</t>
  </si>
  <si>
    <t>231</t>
  </si>
  <si>
    <t>811655884899</t>
  </si>
  <si>
    <t>8100930268</t>
  </si>
  <si>
    <t>2025252521094088</t>
  </si>
  <si>
    <t>MANNA TRADERS-9434375076-380BAGS</t>
  </si>
  <si>
    <t>232</t>
  </si>
  <si>
    <t>831655911148</t>
  </si>
  <si>
    <t>8100930452</t>
  </si>
  <si>
    <t>2025252521094117</t>
  </si>
  <si>
    <t>PROBHAT KR PAL-8768747339-500BAGS</t>
  </si>
  <si>
    <t>233</t>
  </si>
  <si>
    <t>831655940564</t>
  </si>
  <si>
    <t>8100930528</t>
  </si>
  <si>
    <t>2025252521094123</t>
  </si>
  <si>
    <t>234</t>
  </si>
  <si>
    <t>SAS/25-26/235</t>
  </si>
  <si>
    <t>891655944212</t>
  </si>
  <si>
    <t>8100930547</t>
  </si>
  <si>
    <t>2025252521094145</t>
  </si>
  <si>
    <t>KEUGURI-713130</t>
  </si>
  <si>
    <t>UTPAL GHOSH</t>
  </si>
  <si>
    <t>230/238</t>
  </si>
  <si>
    <t>801655946761</t>
  </si>
  <si>
    <t>8100930571</t>
  </si>
  <si>
    <t>2025252521094151</t>
  </si>
  <si>
    <t>ARJUNPUR</t>
  </si>
  <si>
    <t>BABLU  H/W-8617839935-500BAGS</t>
  </si>
  <si>
    <t>235</t>
  </si>
  <si>
    <t>881655948831</t>
  </si>
  <si>
    <t>8100930594</t>
  </si>
  <si>
    <t>2025252521094154</t>
  </si>
  <si>
    <t>BARASHAL</t>
  </si>
  <si>
    <t>ROY BROTHERS IRON STEEL</t>
  </si>
  <si>
    <t>236</t>
  </si>
  <si>
    <t>821655944013</t>
  </si>
  <si>
    <t>8100930545</t>
  </si>
  <si>
    <t>2025252521094144</t>
  </si>
  <si>
    <t>239</t>
  </si>
  <si>
    <t>821655943937</t>
  </si>
  <si>
    <t>8100930544</t>
  </si>
  <si>
    <t>2025252521094143</t>
  </si>
  <si>
    <t>PATHERGAMA</t>
  </si>
  <si>
    <t>NVCL/25-26-0446</t>
  </si>
  <si>
    <t>861655976542</t>
  </si>
  <si>
    <t>8100930730</t>
  </si>
  <si>
    <t>2025252521094186</t>
  </si>
  <si>
    <t>DEOGHAR</t>
  </si>
  <si>
    <t>MAA LAXMI AGENCY</t>
  </si>
  <si>
    <t>240</t>
  </si>
  <si>
    <t>811655977540</t>
  </si>
  <si>
    <t>8100930735</t>
  </si>
  <si>
    <t>2025252521094187</t>
  </si>
  <si>
    <t>831656103715</t>
  </si>
  <si>
    <t>8100931041</t>
  </si>
  <si>
    <t>2025252521094223</t>
  </si>
  <si>
    <t>SAROUNI BAZAR</t>
  </si>
  <si>
    <t>241</t>
  </si>
  <si>
    <t xml:space="preserve">	NVCL/25-26-0467</t>
  </si>
  <si>
    <t>821656363709</t>
  </si>
  <si>
    <t>8100931845</t>
  </si>
  <si>
    <t>2025252521094324</t>
  </si>
  <si>
    <t>BOLERBAZAR</t>
  </si>
  <si>
    <t>MISKA IRON STORE</t>
  </si>
  <si>
    <t>500 bg -8918896148-13.03.26</t>
  </si>
  <si>
    <t>242</t>
  </si>
  <si>
    <t>891656363023</t>
  </si>
  <si>
    <t>8100931836</t>
  </si>
  <si>
    <t>2025252521094323</t>
  </si>
  <si>
    <t>851656370104</t>
  </si>
  <si>
    <t>8100931891</t>
  </si>
  <si>
    <t>2025252521094330</t>
  </si>
  <si>
    <t>BHOJERHAT</t>
  </si>
  <si>
    <t>MS ENTERPRISE</t>
  </si>
  <si>
    <t>243</t>
  </si>
  <si>
    <t>831655954594</t>
  </si>
  <si>
    <t>8100930629</t>
  </si>
  <si>
    <t>2025252521094167</t>
  </si>
  <si>
    <t>8617629142-380BAGS</t>
  </si>
  <si>
    <t>237</t>
  </si>
  <si>
    <t>821656387093</t>
  </si>
  <si>
    <t>8100932005</t>
  </si>
  <si>
    <t>2025252521094353</t>
  </si>
  <si>
    <t>DEV STEEL</t>
  </si>
  <si>
    <t>244</t>
  </si>
  <si>
    <t>811656417470</t>
  </si>
  <si>
    <t>8100932325</t>
  </si>
  <si>
    <t>2025252521094447</t>
  </si>
  <si>
    <t>HINGANPUR-731236</t>
  </si>
  <si>
    <t>KHAN ENTERPRISE</t>
  </si>
  <si>
    <t>SEACOM SKILLS UNIVERSITY- KENDRA DANGAL-380BAGS</t>
  </si>
  <si>
    <t>246</t>
  </si>
  <si>
    <t>881656417877</t>
  </si>
  <si>
    <t>8100932327</t>
  </si>
  <si>
    <t>2025252521094448</t>
  </si>
  <si>
    <t>MAHADEV H/W-8170872275-380BAGS</t>
  </si>
  <si>
    <t>247</t>
  </si>
  <si>
    <t>821656417332</t>
  </si>
  <si>
    <t>8100932322</t>
  </si>
  <si>
    <t>2025252521094446</t>
  </si>
  <si>
    <t>248</t>
  </si>
  <si>
    <t>851656418516</t>
  </si>
  <si>
    <t>8100932336</t>
  </si>
  <si>
    <t>2025252521094451</t>
  </si>
  <si>
    <t>249</t>
  </si>
  <si>
    <t>DAC/25-26-0284</t>
  </si>
  <si>
    <t>871656434394</t>
  </si>
  <si>
    <t>8100932393</t>
  </si>
  <si>
    <t>BARHAIT</t>
  </si>
  <si>
    <t>SHRAVAN KUMAR BHAGAT</t>
  </si>
  <si>
    <t>250</t>
  </si>
  <si>
    <t>811656447039</t>
  </si>
  <si>
    <t>8100932397</t>
  </si>
  <si>
    <t>PARSA BAZAR</t>
  </si>
  <si>
    <t>200 BG BY -6200025213-15.03.26,300 BG -9123485797</t>
  </si>
  <si>
    <t>251</t>
  </si>
  <si>
    <t>REACH PINCODE BUT NOT STAY</t>
  </si>
  <si>
    <t>841656444097</t>
  </si>
  <si>
    <t>8100932536</t>
  </si>
  <si>
    <t>2025252521094537</t>
  </si>
  <si>
    <t>HALDIA</t>
  </si>
  <si>
    <t>M/S DAS ENTERPRISE</t>
  </si>
  <si>
    <t>25-mt sahoo builders -13.03.26</t>
  </si>
  <si>
    <t>252</t>
  </si>
  <si>
    <t>881656531292</t>
  </si>
  <si>
    <t>8100932832</t>
  </si>
  <si>
    <t>2025252521094582</t>
  </si>
  <si>
    <t>NEW HALDER BUILDERS</t>
  </si>
  <si>
    <t>253</t>
  </si>
  <si>
    <t>871656432541</t>
  </si>
  <si>
    <t>8100932484</t>
  </si>
  <si>
    <t>2025252521094509</t>
  </si>
  <si>
    <t>KHOPAKATHI</t>
  </si>
  <si>
    <t>JAHUR ENTERPRISE</t>
  </si>
  <si>
    <t>245/255</t>
  </si>
  <si>
    <t>881656443843</t>
  </si>
  <si>
    <t>8100932528</t>
  </si>
  <si>
    <t>2025252521094533</t>
  </si>
  <si>
    <t>CHANCHAL</t>
  </si>
  <si>
    <t>254</t>
  </si>
  <si>
    <t>881656666507</t>
  </si>
  <si>
    <t>8100933144</t>
  </si>
  <si>
    <t>2025252521094593</t>
  </si>
  <si>
    <t>257</t>
  </si>
  <si>
    <t>891656688450</t>
  </si>
  <si>
    <t>8100933233</t>
  </si>
  <si>
    <t>2025252521094609</t>
  </si>
  <si>
    <t>258</t>
  </si>
  <si>
    <t>821656688941</t>
  </si>
  <si>
    <t>8100933235</t>
  </si>
  <si>
    <t>2025252521094610</t>
  </si>
  <si>
    <t>NVCL/25-26-0449</t>
  </si>
  <si>
    <t>841656686392</t>
  </si>
  <si>
    <t>7600360107</t>
  </si>
  <si>
    <t>2025252521094600</t>
  </si>
  <si>
    <t>SHALIMAR</t>
  </si>
  <si>
    <t>259</t>
  </si>
  <si>
    <t>871656778122</t>
  </si>
  <si>
    <t>7600360172</t>
  </si>
  <si>
    <t>2025252521094614</t>
  </si>
  <si>
    <t>260</t>
  </si>
  <si>
    <t>861656888233</t>
  </si>
  <si>
    <t>7600360246</t>
  </si>
  <si>
    <t>2025252521094693</t>
  </si>
  <si>
    <t>261</t>
  </si>
  <si>
    <t>831656880610</t>
  </si>
  <si>
    <t>8100933831</t>
  </si>
  <si>
    <t>2025252521094680</t>
  </si>
  <si>
    <t>TEHATTA</t>
  </si>
  <si>
    <t>R.P MODAK</t>
  </si>
  <si>
    <t>262</t>
  </si>
  <si>
    <t>841656912383</t>
  </si>
  <si>
    <t>8100934028</t>
  </si>
  <si>
    <t>2025252521094736</t>
  </si>
  <si>
    <t>263</t>
  </si>
  <si>
    <t>NVCL/25-26-0454</t>
  </si>
  <si>
    <t>801656673970</t>
  </si>
  <si>
    <t>7600360089</t>
  </si>
  <si>
    <t>2025252521094594</t>
  </si>
  <si>
    <t>256</t>
  </si>
  <si>
    <t>861656992349</t>
  </si>
  <si>
    <t>8100934420</t>
  </si>
  <si>
    <t>2025252521094843</t>
  </si>
  <si>
    <t>264</t>
  </si>
  <si>
    <t>DAC/25-26-0285</t>
  </si>
  <si>
    <t>871656995846</t>
  </si>
  <si>
    <t>7600359957</t>
  </si>
  <si>
    <t>NU VISTA LTD</t>
  </si>
  <si>
    <t>265</t>
  </si>
  <si>
    <t>NVCL/26-27-0012</t>
  </si>
  <si>
    <t>821656998808</t>
  </si>
  <si>
    <t>7600360502</t>
  </si>
  <si>
    <t>2025252521094855</t>
  </si>
  <si>
    <t>266</t>
  </si>
  <si>
    <t>851657007649</t>
  </si>
  <si>
    <t>7600360514</t>
  </si>
  <si>
    <t>2025252521094867</t>
  </si>
  <si>
    <t>268</t>
  </si>
  <si>
    <t>871657006837</t>
  </si>
  <si>
    <t>8100934517</t>
  </si>
  <si>
    <t>2025252521094864</t>
  </si>
  <si>
    <t>270</t>
  </si>
  <si>
    <t>831657006992</t>
  </si>
  <si>
    <t>8100934518</t>
  </si>
  <si>
    <t>2025252521094865</t>
  </si>
  <si>
    <t>881657040391</t>
  </si>
  <si>
    <t>8100934663</t>
  </si>
  <si>
    <t>2025252521094886</t>
  </si>
  <si>
    <t>ITAGORIA</t>
  </si>
  <si>
    <t>9002763319-260BAGS</t>
  </si>
  <si>
    <t>269</t>
  </si>
  <si>
    <t>831657045106</t>
  </si>
  <si>
    <t>8100934671</t>
  </si>
  <si>
    <t>2025252521094889</t>
  </si>
  <si>
    <t>7098246475-500BAGS</t>
  </si>
  <si>
    <t>271</t>
  </si>
  <si>
    <t>841657056325</t>
  </si>
  <si>
    <t>8100934703</t>
  </si>
  <si>
    <t>2025252521094897</t>
  </si>
  <si>
    <t>272</t>
  </si>
  <si>
    <t>NVCL/26-27-0061</t>
  </si>
  <si>
    <t>861657455490</t>
  </si>
  <si>
    <t>8100936086</t>
  </si>
  <si>
    <t>2025252521095073</t>
  </si>
  <si>
    <t>INDUS</t>
  </si>
  <si>
    <t>380 bg received-9734382664-15.03.26</t>
  </si>
  <si>
    <t>273</t>
  </si>
  <si>
    <t>891657459491</t>
  </si>
  <si>
    <t>8100936124</t>
  </si>
  <si>
    <t>2025252521095089</t>
  </si>
  <si>
    <t>GAJOL-732124</t>
  </si>
  <si>
    <t>SARKAR SUPPLIERS</t>
  </si>
  <si>
    <t>274</t>
  </si>
  <si>
    <t>851657459358</t>
  </si>
  <si>
    <t>8100936123</t>
  </si>
  <si>
    <t>2025252521095087</t>
  </si>
  <si>
    <t>831657459039</t>
  </si>
  <si>
    <t>8100936119</t>
  </si>
  <si>
    <t>2025252521095084</t>
  </si>
  <si>
    <t>THAKURGHANGTI</t>
  </si>
  <si>
    <t>NAMIS ENTERPRISE</t>
  </si>
  <si>
    <t>275</t>
  </si>
  <si>
    <t>NVCL/25-26-0447</t>
  </si>
  <si>
    <t>871657463496</t>
  </si>
  <si>
    <t>8100936157</t>
  </si>
  <si>
    <t>2025252521095101</t>
  </si>
  <si>
    <t>S.D ENTERPRISE</t>
  </si>
  <si>
    <t>276</t>
  </si>
  <si>
    <t>871657468587</t>
  </si>
  <si>
    <t>8100936196</t>
  </si>
  <si>
    <t>2025252521095114</t>
  </si>
  <si>
    <t>277</t>
  </si>
  <si>
    <t>811657470089</t>
  </si>
  <si>
    <t>8100936206</t>
  </si>
  <si>
    <t>2025252521095118</t>
  </si>
  <si>
    <t>881657479243</t>
  </si>
  <si>
    <t>7600361009</t>
  </si>
  <si>
    <t>2025252521095136</t>
  </si>
  <si>
    <t>278</t>
  </si>
  <si>
    <t>831657478063</t>
  </si>
  <si>
    <t>8100936249</t>
  </si>
  <si>
    <t>2025252521095133</t>
  </si>
  <si>
    <t>MEHERMA-814160</t>
  </si>
  <si>
    <t>NIRMAL TRADING AGENCY</t>
  </si>
  <si>
    <t>279</t>
  </si>
  <si>
    <t>861657463336</t>
  </si>
  <si>
    <t>8100936156</t>
  </si>
  <si>
    <t>2025252521095100</t>
  </si>
  <si>
    <t>500 bg received -7908735558</t>
  </si>
  <si>
    <t>283</t>
  </si>
  <si>
    <t>881657499634</t>
  </si>
  <si>
    <t>8100936367</t>
  </si>
  <si>
    <t>2025252521095170</t>
  </si>
  <si>
    <t>380 gopal cement centre -9933474529-15.3.26</t>
  </si>
  <si>
    <t>280</t>
  </si>
  <si>
    <t>811657499688</t>
  </si>
  <si>
    <t>8100936368</t>
  </si>
  <si>
    <t>2025252521095171</t>
  </si>
  <si>
    <t>861657490037</t>
  </si>
  <si>
    <t>7600361016</t>
  </si>
  <si>
    <t>2025252521095152</t>
  </si>
  <si>
    <t>281</t>
  </si>
  <si>
    <t>871657488345</t>
  </si>
  <si>
    <t>8100936282</t>
  </si>
  <si>
    <t>2025252521095148</t>
  </si>
  <si>
    <t>KHEJURI</t>
  </si>
  <si>
    <t>MIDDYA CONSTRUCTION</t>
  </si>
  <si>
    <t>500 bgs received -9734479469</t>
  </si>
  <si>
    <t>282</t>
  </si>
  <si>
    <t>861657680724</t>
  </si>
  <si>
    <t>7600360739</t>
  </si>
  <si>
    <t>285</t>
  </si>
  <si>
    <t>841657472141</t>
  </si>
  <si>
    <t>8100936219</t>
  </si>
  <si>
    <t>2025252521095123</t>
  </si>
  <si>
    <t>110 BY MAHA LAXMI TRADERS-1503.26,390 BG RAZA STORE -15.03.26</t>
  </si>
  <si>
    <t>286</t>
  </si>
  <si>
    <t>871657700843</t>
  </si>
  <si>
    <t>8100937045</t>
  </si>
  <si>
    <t>2025252521095273</t>
  </si>
  <si>
    <t>287</t>
  </si>
  <si>
    <t>821657776740</t>
  </si>
  <si>
    <t>8100936175</t>
  </si>
  <si>
    <t>KENDUADIHI</t>
  </si>
  <si>
    <t>SAMANTA INFRACON</t>
  </si>
  <si>
    <t>SAMANTA INFRACON-15.03.26</t>
  </si>
  <si>
    <t>288</t>
  </si>
  <si>
    <t>DAC/25-26-0282</t>
  </si>
  <si>
    <t>821657915637</t>
  </si>
  <si>
    <t>7600361208</t>
  </si>
  <si>
    <t>289</t>
  </si>
  <si>
    <t>851657923598</t>
  </si>
  <si>
    <t>8100937761</t>
  </si>
  <si>
    <t>2025252521095406</t>
  </si>
  <si>
    <t>ARAMBAGH ho-712601</t>
  </si>
  <si>
    <t>GOUR CHANDRA DEY &amp; SONS</t>
  </si>
  <si>
    <t>299/267</t>
  </si>
  <si>
    <t>801657948385</t>
  </si>
  <si>
    <t>8100937955</t>
  </si>
  <si>
    <t>2025252521095463</t>
  </si>
  <si>
    <t>291</t>
  </si>
  <si>
    <t>881657945661</t>
  </si>
  <si>
    <t>8100937937</t>
  </si>
  <si>
    <t>2025252521095444</t>
  </si>
  <si>
    <t>SALAR-742401</t>
  </si>
  <si>
    <t>294</t>
  </si>
  <si>
    <t>851657972280</t>
  </si>
  <si>
    <t>7600361572</t>
  </si>
  <si>
    <t>2025252521095487</t>
  </si>
  <si>
    <t>292</t>
  </si>
  <si>
    <t>841657973897</t>
  </si>
  <si>
    <t>8100938090</t>
  </si>
  <si>
    <t>2025252521095489</t>
  </si>
  <si>
    <t>293</t>
  </si>
  <si>
    <t>841657970520</t>
  </si>
  <si>
    <t>7600361175</t>
  </si>
  <si>
    <t>295</t>
  </si>
  <si>
    <t>881658579469</t>
  </si>
  <si>
    <t>8100940278</t>
  </si>
  <si>
    <t>2025252521095613</t>
  </si>
  <si>
    <t>PRANBALLAVPUR-74339</t>
  </si>
  <si>
    <t>ANNAPURNA BUILDING STORE</t>
  </si>
  <si>
    <t>297</t>
  </si>
  <si>
    <t>871658600948</t>
  </si>
  <si>
    <t>8100940349</t>
  </si>
  <si>
    <t>2025252521095623</t>
  </si>
  <si>
    <t>298</t>
  </si>
  <si>
    <t>811658647611</t>
  </si>
  <si>
    <t>8100940465</t>
  </si>
  <si>
    <t>2025252521095640</t>
  </si>
  <si>
    <t>500 bg by NOOR ISLAM MOLLA-9733548428</t>
  </si>
  <si>
    <t>299</t>
  </si>
  <si>
    <t>821658669858</t>
  </si>
  <si>
    <t>8100940542</t>
  </si>
  <si>
    <t>2025252521095659</t>
  </si>
  <si>
    <t>KIRNAHAR</t>
  </si>
  <si>
    <t>01</t>
  </si>
  <si>
    <t>831658648441</t>
  </si>
  <si>
    <t>8100940470</t>
  </si>
  <si>
    <t>2025252521095641</t>
  </si>
  <si>
    <t>SAINTHIA</t>
  </si>
  <si>
    <t>380 BG ON PAD -97342597751-18.03.26</t>
  </si>
  <si>
    <t>296/02</t>
  </si>
  <si>
    <t>891658642681</t>
  </si>
  <si>
    <t>8100940454</t>
  </si>
  <si>
    <t>2025252521095637</t>
  </si>
  <si>
    <t>KANKARTALA</t>
  </si>
  <si>
    <t>380 BG -9434634044</t>
  </si>
  <si>
    <t>04</t>
  </si>
  <si>
    <t>891658658240</t>
  </si>
  <si>
    <t>8100940518</t>
  </si>
  <si>
    <t>2025252521095652</t>
  </si>
  <si>
    <t>380 BG BY S R ENT -9800763857</t>
  </si>
  <si>
    <t>03</t>
  </si>
  <si>
    <t>871658658752</t>
  </si>
  <si>
    <t>8100940521</t>
  </si>
  <si>
    <t>2025252521095654</t>
  </si>
  <si>
    <t>NVCL/25-26-0448</t>
  </si>
  <si>
    <t>891658704118</t>
  </si>
  <si>
    <t>8100940665</t>
  </si>
  <si>
    <t>2025252521095702</t>
  </si>
  <si>
    <t>KASHIM BAZAR-732207</t>
  </si>
  <si>
    <t>HAQUE ENTERPRISE</t>
  </si>
  <si>
    <t>300</t>
  </si>
  <si>
    <t xml:space="preserve">circle geofence </t>
  </si>
  <si>
    <t>851658670565</t>
  </si>
  <si>
    <t>8100940548</t>
  </si>
  <si>
    <t>2025252521095656</t>
  </si>
  <si>
    <t>GOBRAHAT</t>
  </si>
  <si>
    <t>05</t>
  </si>
  <si>
    <t>871658698112</t>
  </si>
  <si>
    <t>8100940640</t>
  </si>
  <si>
    <t>2025252521095687</t>
  </si>
  <si>
    <t>500 BG SUBHA LAXMI ENT -9434755294/8159098141</t>
  </si>
  <si>
    <t>06</t>
  </si>
  <si>
    <t>851658727324</t>
  </si>
  <si>
    <t>8100939464</t>
  </si>
  <si>
    <t>07</t>
  </si>
  <si>
    <t xml:space="preserve">	NVCL/25-26-0480</t>
  </si>
  <si>
    <t>831658798337</t>
  </si>
  <si>
    <t>8100941174</t>
  </si>
  <si>
    <t>2025252521095814</t>
  </si>
  <si>
    <t>08</t>
  </si>
  <si>
    <t>851658800584</t>
  </si>
  <si>
    <t>8100941180</t>
  </si>
  <si>
    <t>2025252521095816</t>
  </si>
  <si>
    <t>09</t>
  </si>
  <si>
    <t>8216588042222</t>
  </si>
  <si>
    <t>8100941202</t>
  </si>
  <si>
    <t>2025252521095830</t>
  </si>
  <si>
    <t>500 BG -8083889144-18.03.26</t>
  </si>
  <si>
    <t>12</t>
  </si>
  <si>
    <t>861658805412</t>
  </si>
  <si>
    <t>8100941209</t>
  </si>
  <si>
    <t>2025252521095832</t>
  </si>
  <si>
    <t>RAGHUNATHGANJ</t>
  </si>
  <si>
    <t>380 crt - anayana cement -8391999858</t>
  </si>
  <si>
    <t>10</t>
  </si>
  <si>
    <t>881658801276</t>
  </si>
  <si>
    <t>8100941189</t>
  </si>
  <si>
    <t>2025252521095822</t>
  </si>
  <si>
    <t>JAYGURU ENT-9733683102-500BAGS</t>
  </si>
  <si>
    <t>11</t>
  </si>
  <si>
    <t>NVCL/26-27-0002</t>
  </si>
  <si>
    <t>851658810624</t>
  </si>
  <si>
    <t>8100941247</t>
  </si>
  <si>
    <t>2025252521095848</t>
  </si>
  <si>
    <t>380 BG -7001042929</t>
  </si>
  <si>
    <t>13</t>
  </si>
  <si>
    <t>871658811649</t>
  </si>
  <si>
    <t>7600362678</t>
  </si>
  <si>
    <t>2025252521095852</t>
  </si>
  <si>
    <t>14</t>
  </si>
  <si>
    <t>881659061006</t>
  </si>
  <si>
    <t>8100941973</t>
  </si>
  <si>
    <t>2025052521095924</t>
  </si>
  <si>
    <t>MOHIT ENT-9905304902-500BAGS</t>
  </si>
  <si>
    <t>15</t>
  </si>
  <si>
    <t>861659108774</t>
  </si>
  <si>
    <t>8100942104</t>
  </si>
  <si>
    <t>2025252521095951</t>
  </si>
  <si>
    <t>16</t>
  </si>
  <si>
    <t>811659114437</t>
  </si>
  <si>
    <t>8100942118</t>
  </si>
  <si>
    <t>2025252521095954</t>
  </si>
  <si>
    <t>17</t>
  </si>
  <si>
    <t>891659115393</t>
  </si>
  <si>
    <t>8100942119</t>
  </si>
  <si>
    <t>2025252521095953</t>
  </si>
  <si>
    <t>891659111346</t>
  </si>
  <si>
    <t>8100942115</t>
  </si>
  <si>
    <t>2025252521095952</t>
  </si>
  <si>
    <t>600 BG RAZA STORE -9973789604</t>
  </si>
  <si>
    <t>21</t>
  </si>
  <si>
    <t>831659124250</t>
  </si>
  <si>
    <t>8100942150</t>
  </si>
  <si>
    <t>2025252521095958</t>
  </si>
  <si>
    <t>SUTAHATA</t>
  </si>
  <si>
    <t>MAA TARA BUILDERS</t>
  </si>
  <si>
    <t>9932573197-RADHAKRISHNA SUPPLIERS-500BAGS</t>
  </si>
  <si>
    <t>18</t>
  </si>
  <si>
    <t>851659132134</t>
  </si>
  <si>
    <t>8100942172</t>
  </si>
  <si>
    <t>2025252521095963</t>
  </si>
  <si>
    <t>500 BG -7762098268/9939537767-18.03.26</t>
  </si>
  <si>
    <t>19</t>
  </si>
  <si>
    <t>8384</t>
  </si>
  <si>
    <t>851659127453</t>
  </si>
  <si>
    <t>8100942157</t>
  </si>
  <si>
    <t>2025252521095960</t>
  </si>
  <si>
    <t>KHUSI ENT -500 BG -8789614060</t>
  </si>
  <si>
    <t>284</t>
  </si>
  <si>
    <t>881659148424</t>
  </si>
  <si>
    <t>8100942214</t>
  </si>
  <si>
    <t>2025252521095967</t>
  </si>
  <si>
    <t>20</t>
  </si>
  <si>
    <t>871659160847</t>
  </si>
  <si>
    <t>7600362955</t>
  </si>
  <si>
    <t>2025252521095970</t>
  </si>
  <si>
    <t>BURDWAN</t>
  </si>
  <si>
    <t>22</t>
  </si>
  <si>
    <t>881659190496</t>
  </si>
  <si>
    <t>8100942319</t>
  </si>
  <si>
    <t>202525252109584</t>
  </si>
  <si>
    <t>300 BG -9931077512-16.03.26,200 BG -9939537767-18.03.26</t>
  </si>
  <si>
    <t>23</t>
  </si>
  <si>
    <t>841659184129</t>
  </si>
  <si>
    <t>8100942304</t>
  </si>
  <si>
    <t>2025252521095895</t>
  </si>
  <si>
    <t>380 bg sekh hw -7001973007-19.03.26</t>
  </si>
  <si>
    <t>24</t>
  </si>
  <si>
    <t>871659139230</t>
  </si>
  <si>
    <t>8100942153</t>
  </si>
  <si>
    <t>2025252521095966</t>
  </si>
  <si>
    <t>MAA LAXMI ENTERPRISE</t>
  </si>
  <si>
    <t>25</t>
  </si>
  <si>
    <t>851659234852</t>
  </si>
  <si>
    <t>8100942481</t>
  </si>
  <si>
    <t>2025252521096019</t>
  </si>
  <si>
    <t>26</t>
  </si>
  <si>
    <t>831659239819</t>
  </si>
  <si>
    <t>8100942512</t>
  </si>
  <si>
    <t>2025252521096024</t>
  </si>
  <si>
    <t>27</t>
  </si>
  <si>
    <t>NVCL/26-27-0084</t>
  </si>
  <si>
    <t>861659259902</t>
  </si>
  <si>
    <t>8100942616</t>
  </si>
  <si>
    <t>2025252521096044</t>
  </si>
  <si>
    <t>SONJ-731216</t>
  </si>
  <si>
    <t>BY ALOK ROY -18.3.26-FULL BAG RECEIVED</t>
  </si>
  <si>
    <t>28</t>
  </si>
  <si>
    <t>MD BAZAR-731127</t>
  </si>
  <si>
    <t>mondal stone product</t>
  </si>
  <si>
    <t>29</t>
  </si>
  <si>
    <t>801659350096</t>
  </si>
  <si>
    <t>8100941650</t>
  </si>
  <si>
    <t>9546516762-500BAGS</t>
  </si>
  <si>
    <t>30</t>
  </si>
  <si>
    <t>851659352336</t>
  </si>
  <si>
    <t>8100943121</t>
  </si>
  <si>
    <t>2025252521096169</t>
  </si>
  <si>
    <t>31</t>
  </si>
  <si>
    <t xml:space="preserve">	NVCL/25-26-0484</t>
  </si>
  <si>
    <t>871659356008</t>
  </si>
  <si>
    <t>8100943173</t>
  </si>
  <si>
    <t>2025252521096185</t>
  </si>
  <si>
    <t>32</t>
  </si>
  <si>
    <t>821659362633</t>
  </si>
  <si>
    <t>8100943206</t>
  </si>
  <si>
    <t>2025252521096203</t>
  </si>
  <si>
    <t>OLD MALDA-732128</t>
  </si>
  <si>
    <t>94340671014-500BAGS</t>
  </si>
  <si>
    <t>33</t>
  </si>
  <si>
    <t>NVCL/26-27-0114</t>
  </si>
  <si>
    <t>861659363766</t>
  </si>
  <si>
    <t>7600363307</t>
  </si>
  <si>
    <t>2025252521096205</t>
  </si>
  <si>
    <t>34</t>
  </si>
  <si>
    <t>851659372206</t>
  </si>
  <si>
    <t>8100943233</t>
  </si>
  <si>
    <t>2025252521096217</t>
  </si>
  <si>
    <t>UDAYNARAYANPUR</t>
  </si>
  <si>
    <t>JANA BUILDERS</t>
  </si>
  <si>
    <t>380 BG BY ADHIKARI BUILDERS -19.03.26</t>
  </si>
  <si>
    <t>35</t>
  </si>
  <si>
    <t>841659372063</t>
  </si>
  <si>
    <t>8100943230</t>
  </si>
  <si>
    <t>2025252521096216</t>
  </si>
  <si>
    <t>831659371335</t>
  </si>
  <si>
    <t>8100953228</t>
  </si>
  <si>
    <t>2025252521096215</t>
  </si>
  <si>
    <t>PARVEJ HARDWARE</t>
  </si>
  <si>
    <t>500 bg -9932270410-19.03.26</t>
  </si>
  <si>
    <t>36</t>
  </si>
  <si>
    <t>831659371476</t>
  </si>
  <si>
    <t>8100943229</t>
  </si>
  <si>
    <t>2025252521096214</t>
  </si>
  <si>
    <t>841659603864</t>
  </si>
  <si>
    <t>8100943772</t>
  </si>
  <si>
    <t>2025252521096243</t>
  </si>
  <si>
    <t>KASTOGORAI-731216</t>
  </si>
  <si>
    <t>37</t>
  </si>
  <si>
    <t>871659605278</t>
  </si>
  <si>
    <t>8100943776</t>
  </si>
  <si>
    <t>2025252521096245</t>
  </si>
  <si>
    <t>GOLAPGANJ</t>
  </si>
  <si>
    <t>500 BG BY SSADIQUL HW-19.3.26</t>
  </si>
  <si>
    <t>38</t>
  </si>
  <si>
    <t>871659634735</t>
  </si>
  <si>
    <t>8100943844</t>
  </si>
  <si>
    <t>2025252521096261</t>
  </si>
  <si>
    <t xml:space="preserve">25 mt -973204024 on pad </t>
  </si>
  <si>
    <t>39</t>
  </si>
  <si>
    <t>861659631030</t>
  </si>
  <si>
    <t>8100943838</t>
  </si>
  <si>
    <t>2025252521096258</t>
  </si>
  <si>
    <t>NOWAHATU-723213</t>
  </si>
  <si>
    <t>40</t>
  </si>
  <si>
    <t>821659629299</t>
  </si>
  <si>
    <t>8100943831</t>
  </si>
  <si>
    <t>2025252521096257</t>
  </si>
  <si>
    <t>851659638182</t>
  </si>
  <si>
    <t>8100943858</t>
  </si>
  <si>
    <t>2025252521096266</t>
  </si>
  <si>
    <t>41</t>
  </si>
  <si>
    <t>D+4</t>
  </si>
  <si>
    <t>821659637205</t>
  </si>
  <si>
    <t>8100943849</t>
  </si>
  <si>
    <t>2025252521096264</t>
  </si>
  <si>
    <t>851659658359</t>
  </si>
  <si>
    <t>8100943907</t>
  </si>
  <si>
    <t>2025252521096277</t>
  </si>
  <si>
    <t>9732040211-500BAGS</t>
  </si>
  <si>
    <t>42</t>
  </si>
  <si>
    <t>801659704123</t>
  </si>
  <si>
    <t>8100944025</t>
  </si>
  <si>
    <t>2025252521096316</t>
  </si>
  <si>
    <t>380 BG ON PAD -ADHIR MAL -19.03.26</t>
  </si>
  <si>
    <t>44</t>
  </si>
  <si>
    <t>811659703248</t>
  </si>
  <si>
    <t>8100944023</t>
  </si>
  <si>
    <t>2025252521096315</t>
  </si>
  <si>
    <t>851659715104</t>
  </si>
  <si>
    <t>8100944064</t>
  </si>
  <si>
    <t>2025252521096324</t>
  </si>
  <si>
    <t>8677805930-500BAGS</t>
  </si>
  <si>
    <t>45</t>
  </si>
  <si>
    <t>811659766155</t>
  </si>
  <si>
    <t>8100944234</t>
  </si>
  <si>
    <t>2025252521096377</t>
  </si>
  <si>
    <t>PORAIYAHAT</t>
  </si>
  <si>
    <t xml:space="preserve">PREM RANJAN </t>
  </si>
  <si>
    <t>46</t>
  </si>
  <si>
    <t>891659799324</t>
  </si>
  <si>
    <t>8100944368</t>
  </si>
  <si>
    <t>2025252521096402</t>
  </si>
  <si>
    <t>D.K RAJ &amp; CO</t>
  </si>
  <si>
    <t>8539989575-200BAGS, 8210274175-100BAGS, 6206661861-200BAGS</t>
  </si>
  <si>
    <t>47</t>
  </si>
  <si>
    <t>891659806257</t>
  </si>
  <si>
    <t>8100944395</t>
  </si>
  <si>
    <t>2025252521096412</t>
  </si>
  <si>
    <t>48</t>
  </si>
  <si>
    <t>841659888726</t>
  </si>
  <si>
    <t>8100944807</t>
  </si>
  <si>
    <t>2025252521096490</t>
  </si>
  <si>
    <t>50</t>
  </si>
  <si>
    <t>801659886744</t>
  </si>
  <si>
    <t>8100944801</t>
  </si>
  <si>
    <t>2025252521096483</t>
  </si>
  <si>
    <t>MALLARPUR</t>
  </si>
  <si>
    <t>380 BG DABE KR MONDAL -9907735036</t>
  </si>
  <si>
    <t>49</t>
  </si>
  <si>
    <t>881659898318</t>
  </si>
  <si>
    <t>8100944832</t>
  </si>
  <si>
    <t>2025252521096506</t>
  </si>
  <si>
    <t>600 bg -9931343695-20.03.26</t>
  </si>
  <si>
    <t>51</t>
  </si>
  <si>
    <t>811660173274</t>
  </si>
  <si>
    <t>8100944881</t>
  </si>
  <si>
    <t>53</t>
  </si>
  <si>
    <t>881660256208</t>
  </si>
  <si>
    <t>8100945493</t>
  </si>
  <si>
    <t>JHARKHAND TRADERS</t>
  </si>
  <si>
    <t>54</t>
  </si>
  <si>
    <t>851660255727</t>
  </si>
  <si>
    <t>8100945491</t>
  </si>
  <si>
    <t>861660239245</t>
  </si>
  <si>
    <t>8100945774</t>
  </si>
  <si>
    <t>2025252521096588</t>
  </si>
  <si>
    <t>JIRAT</t>
  </si>
  <si>
    <t>MONDAL H/W-9932131235-240BAGS,RAHUL DAS-9932903618-260BAGS</t>
  </si>
  <si>
    <t>55</t>
  </si>
  <si>
    <t>861660170551</t>
  </si>
  <si>
    <t>8100945557</t>
  </si>
  <si>
    <t>2025252521096545</t>
  </si>
  <si>
    <t>PARA</t>
  </si>
  <si>
    <t>PATRA H/W-6295879863-500BAGS</t>
  </si>
  <si>
    <t>52</t>
  </si>
  <si>
    <t>DAC/25-26-0283</t>
  </si>
  <si>
    <t>801660291995</t>
  </si>
  <si>
    <t>8100944882</t>
  </si>
  <si>
    <t>GUMANI</t>
  </si>
  <si>
    <t>S.S ENTERPRISE</t>
  </si>
  <si>
    <t>56</t>
  </si>
  <si>
    <t>801660306608</t>
  </si>
  <si>
    <t>8100946011</t>
  </si>
  <si>
    <t>2025252521096654</t>
  </si>
  <si>
    <t>57</t>
  </si>
  <si>
    <t>871660309707</t>
  </si>
  <si>
    <t>8100946023</t>
  </si>
  <si>
    <t>2025252521096660</t>
  </si>
  <si>
    <t>260 bg on pad -9064222240</t>
  </si>
  <si>
    <t>58</t>
  </si>
  <si>
    <t>868009360941</t>
  </si>
  <si>
    <t>8100946040</t>
  </si>
  <si>
    <t>2025252521096666</t>
  </si>
  <si>
    <t>S.K TRADING</t>
  </si>
  <si>
    <t>9572595995-600BAGS</t>
  </si>
  <si>
    <t>59</t>
  </si>
  <si>
    <t>811660341165</t>
  </si>
  <si>
    <t>8100946227</t>
  </si>
  <si>
    <t>2025252521096706</t>
  </si>
  <si>
    <t>NARAYAN TRADERS</t>
  </si>
  <si>
    <t>60</t>
  </si>
  <si>
    <t>861660341003</t>
  </si>
  <si>
    <t>8100946225</t>
  </si>
  <si>
    <t>2025252521096705</t>
  </si>
  <si>
    <t>851660350514</t>
  </si>
  <si>
    <t>7600364152</t>
  </si>
  <si>
    <t>61</t>
  </si>
  <si>
    <t>DAC/25-26-0293</t>
  </si>
  <si>
    <t>831660353533</t>
  </si>
  <si>
    <t>7600364158</t>
  </si>
  <si>
    <t>UDHWA</t>
  </si>
  <si>
    <t>62</t>
  </si>
  <si>
    <t>861660358371</t>
  </si>
  <si>
    <t>8100946355</t>
  </si>
  <si>
    <t>2025252521096741</t>
  </si>
  <si>
    <t>STEEL CRAFT</t>
  </si>
  <si>
    <t>ARBIND KR BHAGAT-9113392519-500BAGS</t>
  </si>
  <si>
    <t>63</t>
  </si>
  <si>
    <t>841660358292</t>
  </si>
  <si>
    <t>8100946352</t>
  </si>
  <si>
    <t>2025252521096740</t>
  </si>
  <si>
    <t>NVCL/26-27-0013</t>
  </si>
  <si>
    <t>841660428962</t>
  </si>
  <si>
    <t>8100946735</t>
  </si>
  <si>
    <t>2025252521096831</t>
  </si>
  <si>
    <t>DULMI-NADIHA-723102</t>
  </si>
  <si>
    <t>380 bg swapan bricks -7908299679</t>
  </si>
  <si>
    <t>65</t>
  </si>
  <si>
    <t>861660429619</t>
  </si>
  <si>
    <t>8100946736</t>
  </si>
  <si>
    <t>2025252521096832</t>
  </si>
  <si>
    <t>64</t>
  </si>
  <si>
    <t>SAS/25-26/236</t>
  </si>
  <si>
    <t>NVCL/26-27-0059</t>
  </si>
  <si>
    <t>841660436134</t>
  </si>
  <si>
    <t>8100946763</t>
  </si>
  <si>
    <t>2025252521096851</t>
  </si>
  <si>
    <t>DEBAGRAM</t>
  </si>
  <si>
    <t>SIDDHASWARI HARDWARE</t>
  </si>
  <si>
    <t>7908523429-380BAGS</t>
  </si>
  <si>
    <t>66</t>
  </si>
  <si>
    <t>NVCL/26-27-0010</t>
  </si>
  <si>
    <t>831660446648</t>
  </si>
  <si>
    <t>7600364412</t>
  </si>
  <si>
    <t>2025252521096868</t>
  </si>
  <si>
    <t>67</t>
  </si>
  <si>
    <t>821660461846</t>
  </si>
  <si>
    <t>8100946910</t>
  </si>
  <si>
    <t>2025252521096891</t>
  </si>
  <si>
    <t>70</t>
  </si>
  <si>
    <t>811660459653</t>
  </si>
  <si>
    <t>7600364171</t>
  </si>
  <si>
    <t>68</t>
  </si>
  <si>
    <t xml:space="preserve">	NVCL/25-26-0479</t>
  </si>
  <si>
    <t>811660467627</t>
  </si>
  <si>
    <t>7600364436</t>
  </si>
  <si>
    <t>2025252521096889</t>
  </si>
  <si>
    <t>69</t>
  </si>
  <si>
    <t>811660734604</t>
  </si>
  <si>
    <t>7600364679</t>
  </si>
  <si>
    <t>2025252521096965</t>
  </si>
  <si>
    <t>71</t>
  </si>
  <si>
    <t>871660750707</t>
  </si>
  <si>
    <t>2590202580</t>
  </si>
  <si>
    <t>2025252521096970</t>
  </si>
  <si>
    <t>72</t>
  </si>
  <si>
    <t>811660755564</t>
  </si>
  <si>
    <t>7600364633</t>
  </si>
  <si>
    <t>73</t>
  </si>
  <si>
    <t>871660768560</t>
  </si>
  <si>
    <t>8100947760</t>
  </si>
  <si>
    <t>2025252521096979</t>
  </si>
  <si>
    <t>CHANDPARA</t>
  </si>
  <si>
    <t>8637862347-13mt</t>
  </si>
  <si>
    <t>74</t>
  </si>
  <si>
    <t>TRIP NOT SHOWN MAIL DONE-21.03.26</t>
  </si>
  <si>
    <t>891660772570</t>
  </si>
  <si>
    <t>7600364647</t>
  </si>
  <si>
    <t>75</t>
  </si>
  <si>
    <t xml:space="preserve">	NVCL/26-27-0060</t>
  </si>
  <si>
    <t>891660720438</t>
  </si>
  <si>
    <t>8100947610</t>
  </si>
  <si>
    <t>2025252521096954</t>
  </si>
  <si>
    <t>KUSHIDA</t>
  </si>
  <si>
    <t>SARIF CONSTRUCTION-9932152065-500BAGS</t>
  </si>
  <si>
    <t>76</t>
  </si>
  <si>
    <t>861660721205</t>
  </si>
  <si>
    <t>8100947612</t>
  </si>
  <si>
    <t>2025252521096955</t>
  </si>
  <si>
    <t>841660802843</t>
  </si>
  <si>
    <t>8100947897</t>
  </si>
  <si>
    <t>2025252521096993</t>
  </si>
  <si>
    <t>77</t>
  </si>
  <si>
    <t>NVCL/26-27-0085</t>
  </si>
  <si>
    <t>881660812691</t>
  </si>
  <si>
    <t>8100947931</t>
  </si>
  <si>
    <t>2025252521097001</t>
  </si>
  <si>
    <t>KARNOJORA</t>
  </si>
  <si>
    <t>RADHA KRISHNA ENTERPRISE</t>
  </si>
  <si>
    <t>HARE KRISHNA HW -500BG -23.03.26</t>
  </si>
  <si>
    <t>78</t>
  </si>
  <si>
    <t>881660875793</t>
  </si>
  <si>
    <t>7600364688</t>
  </si>
  <si>
    <t>80</t>
  </si>
  <si>
    <t>801660866371</t>
  </si>
  <si>
    <t>8100948155</t>
  </si>
  <si>
    <t>2025252521097045</t>
  </si>
  <si>
    <t>GANGARAMPUR</t>
  </si>
  <si>
    <t>NATIONAL ENTERPRISE</t>
  </si>
  <si>
    <t>81</t>
  </si>
  <si>
    <t>DAC/25-26-0294</t>
  </si>
  <si>
    <t>JH</t>
  </si>
  <si>
    <t>10BY</t>
  </si>
  <si>
    <t>9023</t>
  </si>
  <si>
    <t>811660880486</t>
  </si>
  <si>
    <t>8100947751</t>
  </si>
  <si>
    <t>MAHESHPUR-816106</t>
  </si>
  <si>
    <t>SABBIR ENTERPRISES</t>
  </si>
  <si>
    <t>88</t>
  </si>
  <si>
    <t xml:space="preserve">	DAC/26-27-0002</t>
  </si>
  <si>
    <t>811660949914</t>
  </si>
  <si>
    <t>7600364694</t>
  </si>
  <si>
    <t>82</t>
  </si>
  <si>
    <t>811660959827</t>
  </si>
  <si>
    <t>8100948577</t>
  </si>
  <si>
    <t>2025252521097120</t>
  </si>
  <si>
    <t>mondal stone -received ok</t>
  </si>
  <si>
    <t>83</t>
  </si>
  <si>
    <t>NVCL/26-27-0003</t>
  </si>
  <si>
    <t>881660959633</t>
  </si>
  <si>
    <t>8100948573</t>
  </si>
  <si>
    <t>2025252521097114</t>
  </si>
  <si>
    <t>ASHOKNAGAR</t>
  </si>
  <si>
    <t>9775212424-500BAGS</t>
  </si>
  <si>
    <t>79</t>
  </si>
  <si>
    <t>831660959229</t>
  </si>
  <si>
    <t>8100947865</t>
  </si>
  <si>
    <t>DUMDUM</t>
  </si>
  <si>
    <t>L.K BUILDERS</t>
  </si>
  <si>
    <t>DAC/26-27-0050</t>
  </si>
  <si>
    <t>861660961083</t>
  </si>
  <si>
    <t>8100948483</t>
  </si>
  <si>
    <t>BELDA</t>
  </si>
  <si>
    <t>PRASANTA DEY</t>
  </si>
  <si>
    <t>500 BG -TAPAS KR HAZRA-22.03.26</t>
  </si>
  <si>
    <t>84</t>
  </si>
  <si>
    <t>821660963652</t>
  </si>
  <si>
    <t>8100947910</t>
  </si>
  <si>
    <t>85</t>
  </si>
  <si>
    <t>831660967743</t>
  </si>
  <si>
    <t>7600365053</t>
  </si>
  <si>
    <t>2025252521097139</t>
  </si>
  <si>
    <t>86</t>
  </si>
  <si>
    <t>801660967827</t>
  </si>
  <si>
    <t>7600365054</t>
  </si>
  <si>
    <t>2025252521097140</t>
  </si>
  <si>
    <t>87</t>
  </si>
  <si>
    <t>831661259454</t>
  </si>
  <si>
    <t>8100949640</t>
  </si>
  <si>
    <t>2025252521097262</t>
  </si>
  <si>
    <t>91</t>
  </si>
  <si>
    <t>811661300082</t>
  </si>
  <si>
    <t>8100949812</t>
  </si>
  <si>
    <t>2025252521097291</t>
  </si>
  <si>
    <t>92</t>
  </si>
  <si>
    <t>93</t>
  </si>
  <si>
    <t>881661316697</t>
  </si>
  <si>
    <t>8100949895</t>
  </si>
  <si>
    <t>2025252521097310</t>
  </si>
  <si>
    <t>94</t>
  </si>
  <si>
    <t>821661323040</t>
  </si>
  <si>
    <t>7600365369</t>
  </si>
  <si>
    <t>2025252521097317</t>
  </si>
  <si>
    <t>97</t>
  </si>
  <si>
    <t>NVCL/25-26-0481</t>
  </si>
  <si>
    <t>811661329214</t>
  </si>
  <si>
    <t>8100949952</t>
  </si>
  <si>
    <t>2025252521097321</t>
  </si>
  <si>
    <t>600 bg -22.03.26- binod bhagat</t>
  </si>
  <si>
    <t>95</t>
  </si>
  <si>
    <t>881661329301</t>
  </si>
  <si>
    <t>8100949953</t>
  </si>
  <si>
    <t>2025252521097322</t>
  </si>
  <si>
    <t>851661329753</t>
  </si>
  <si>
    <t>8100949955</t>
  </si>
  <si>
    <t>2025252521097323</t>
  </si>
  <si>
    <t>BALIAPUR-828201</t>
  </si>
  <si>
    <t>GORAI CEMENT AGENCY</t>
  </si>
  <si>
    <t>300 hundred bag -9934185448- sourav steel ,  300 bg sanjay kumar -7903748115-22.03.25</t>
  </si>
  <si>
    <t>96</t>
  </si>
  <si>
    <t>NVCL/25-26-0482</t>
  </si>
  <si>
    <t>831661335994</t>
  </si>
  <si>
    <t>8100949981</t>
  </si>
  <si>
    <t>2025252521097330</t>
  </si>
  <si>
    <t>500 bg anand kr mondal</t>
  </si>
  <si>
    <t>98</t>
  </si>
  <si>
    <t>NVCL/25-26-0489</t>
  </si>
  <si>
    <t>871661343113</t>
  </si>
  <si>
    <t>8100950042</t>
  </si>
  <si>
    <t>2025252521097334</t>
  </si>
  <si>
    <t>KUSUMGHATI</t>
  </si>
  <si>
    <t>99</t>
  </si>
  <si>
    <t>871661402526</t>
  </si>
  <si>
    <t>8100950323</t>
  </si>
  <si>
    <t>2025252521097356</t>
  </si>
  <si>
    <t>881661402727</t>
  </si>
  <si>
    <t>8100950326</t>
  </si>
  <si>
    <t>2025252521097358</t>
  </si>
  <si>
    <t>PIRTAND-815301</t>
  </si>
  <si>
    <t>JAGDAMBA CEMENT HOUSE</t>
  </si>
  <si>
    <t>100</t>
  </si>
  <si>
    <t>841661406657</t>
  </si>
  <si>
    <t>8100950344</t>
  </si>
  <si>
    <t>2025252521097364</t>
  </si>
  <si>
    <t>1</t>
  </si>
  <si>
    <t>881661408332</t>
  </si>
  <si>
    <t>8100950349</t>
  </si>
  <si>
    <t>2025252521097368</t>
  </si>
  <si>
    <t>2</t>
  </si>
  <si>
    <t>891661413764</t>
  </si>
  <si>
    <t>8100950378</t>
  </si>
  <si>
    <t>2025252521097381</t>
  </si>
  <si>
    <t>PURULIA</t>
  </si>
  <si>
    <t>PRADIP KUNDU</t>
  </si>
  <si>
    <t>3</t>
  </si>
  <si>
    <t>851661418176</t>
  </si>
  <si>
    <t>8100950433</t>
  </si>
  <si>
    <t>2025252521097397</t>
  </si>
  <si>
    <t>600 bg received -9110959715</t>
  </si>
  <si>
    <t>4</t>
  </si>
  <si>
    <t>831661418589</t>
  </si>
  <si>
    <t>8100950439</t>
  </si>
  <si>
    <t>2025252521097396</t>
  </si>
  <si>
    <t>851661432514</t>
  </si>
  <si>
    <t>8100950538</t>
  </si>
  <si>
    <t>2025252521097419</t>
  </si>
  <si>
    <t>uttam suppliers -500 bg -23.03.26</t>
  </si>
  <si>
    <t>5</t>
  </si>
  <si>
    <t>831661576692</t>
  </si>
  <si>
    <t>8100951341</t>
  </si>
  <si>
    <t>2025252521097483</t>
  </si>
  <si>
    <t>500 bg rana suppliers-8145966474</t>
  </si>
  <si>
    <t>6</t>
  </si>
  <si>
    <t>871661596296</t>
  </si>
  <si>
    <t>8100951470</t>
  </si>
  <si>
    <t>2025252521097494</t>
  </si>
  <si>
    <t>md faiyz islam -23.03.26-6296931312</t>
  </si>
  <si>
    <t>7</t>
  </si>
  <si>
    <t>TRIP NOT SHOWN MAIL DONE-23.03.26</t>
  </si>
  <si>
    <t>871661596449</t>
  </si>
  <si>
    <t>8100951475</t>
  </si>
  <si>
    <t>2025252521097490</t>
  </si>
  <si>
    <t>500 bg -9735082728-23.03.26</t>
  </si>
  <si>
    <t>8</t>
  </si>
  <si>
    <t>881661596583</t>
  </si>
  <si>
    <t>8110951476</t>
  </si>
  <si>
    <t>2025252521097492</t>
  </si>
  <si>
    <t>811661594614</t>
  </si>
  <si>
    <t>8100951445</t>
  </si>
  <si>
    <t>2025252521097486</t>
  </si>
  <si>
    <t>220 bg -swapan sekh -23.03.26</t>
  </si>
  <si>
    <t>9</t>
  </si>
  <si>
    <t>861661594693</t>
  </si>
  <si>
    <t>8100951446</t>
  </si>
  <si>
    <t>2025252521097485</t>
  </si>
  <si>
    <t>160bg -6294828684</t>
  </si>
  <si>
    <t>NVCL/26-27-0126</t>
  </si>
  <si>
    <t>831661615908</t>
  </si>
  <si>
    <t>8100951581</t>
  </si>
  <si>
    <t>2025252521097525</t>
  </si>
  <si>
    <t>BISOR</t>
  </si>
  <si>
    <t>HASSAN HARDWARE</t>
  </si>
  <si>
    <t>380 bg hassan hw-23.03.26-8250831301</t>
  </si>
  <si>
    <t>851661614646</t>
  </si>
  <si>
    <t>8100951570</t>
  </si>
  <si>
    <t>2025252521097523</t>
  </si>
  <si>
    <t>BAHARAN-713130</t>
  </si>
  <si>
    <t>240 bg received -7029232166-23.03.26, 140 bg -ramesh laha -8145691375</t>
  </si>
  <si>
    <t>871661665822</t>
  </si>
  <si>
    <t>8100951863</t>
  </si>
  <si>
    <t>2025252521097576</t>
  </si>
  <si>
    <t>500 bg -24.03.26-7352387248</t>
  </si>
  <si>
    <t>811661673223</t>
  </si>
  <si>
    <t>8100951893</t>
  </si>
  <si>
    <t>2025252521097590</t>
  </si>
  <si>
    <t>NVCL/26-27-0018</t>
  </si>
  <si>
    <t>881661672388</t>
  </si>
  <si>
    <t>8100951891</t>
  </si>
  <si>
    <t>2025252521097588</t>
  </si>
  <si>
    <t>500 BG JD WEIGHBRIDGE -9735203310</t>
  </si>
  <si>
    <t>871661695548</t>
  </si>
  <si>
    <t>8100952001</t>
  </si>
  <si>
    <t>2025252521097628</t>
  </si>
  <si>
    <t>801661888176</t>
  </si>
  <si>
    <t>8100952555</t>
  </si>
  <si>
    <t>2025252521097639</t>
  </si>
  <si>
    <t>1301</t>
  </si>
  <si>
    <t>801661905149</t>
  </si>
  <si>
    <t>8100952600</t>
  </si>
  <si>
    <t>2025252521097642</t>
  </si>
  <si>
    <t>1302</t>
  </si>
  <si>
    <t>881661936792</t>
  </si>
  <si>
    <t>8100952721</t>
  </si>
  <si>
    <t>2025252521097659</t>
  </si>
  <si>
    <t>1303</t>
  </si>
  <si>
    <t>891661966958</t>
  </si>
  <si>
    <t>8100952811</t>
  </si>
  <si>
    <t>2025252521097674</t>
  </si>
  <si>
    <t>GOLAPBAG731121</t>
  </si>
  <si>
    <t>BIMLA DEVI JAIN</t>
  </si>
  <si>
    <t>1305</t>
  </si>
  <si>
    <t>891661935408</t>
  </si>
  <si>
    <t>8100952714</t>
  </si>
  <si>
    <t>2025252521097658</t>
  </si>
  <si>
    <t>BABA TRADERS</t>
  </si>
  <si>
    <t>600 bg -8969861867</t>
  </si>
  <si>
    <t>1304</t>
  </si>
  <si>
    <t>861661942735</t>
  </si>
  <si>
    <t>8100952745</t>
  </si>
  <si>
    <t>2025252521097662</t>
  </si>
  <si>
    <t>MAA TARA HARDWARE</t>
  </si>
  <si>
    <t>1307</t>
  </si>
  <si>
    <t>801661982481</t>
  </si>
  <si>
    <t>8100952850</t>
  </si>
  <si>
    <t>2025252521097680</t>
  </si>
  <si>
    <t>1306</t>
  </si>
  <si>
    <t>861662056709</t>
  </si>
  <si>
    <t>8100953096</t>
  </si>
  <si>
    <t>2025252521097726</t>
  </si>
  <si>
    <t>1308</t>
  </si>
  <si>
    <t>871662062543</t>
  </si>
  <si>
    <t>8100953119</t>
  </si>
  <si>
    <t>2025252521097728</t>
  </si>
  <si>
    <t>1309</t>
  </si>
  <si>
    <t>891662070542</t>
  </si>
  <si>
    <t>8100953143</t>
  </si>
  <si>
    <t>2025252521097732</t>
  </si>
  <si>
    <t>1310</t>
  </si>
  <si>
    <t>801662088593</t>
  </si>
  <si>
    <t>8100953227</t>
  </si>
  <si>
    <t>2025252521097747</t>
  </si>
  <si>
    <t>MATHCHANDIPUR-72165</t>
  </si>
  <si>
    <t>1311</t>
  </si>
  <si>
    <t>851662077273</t>
  </si>
  <si>
    <t>8100953175</t>
  </si>
  <si>
    <t>2025252521097734</t>
  </si>
  <si>
    <t>1312</t>
  </si>
  <si>
    <t>891662191674</t>
  </si>
  <si>
    <t>8100953830</t>
  </si>
  <si>
    <t>2025252521097908</t>
  </si>
  <si>
    <t>200 VG -8617354419,300BG -9775860872</t>
  </si>
  <si>
    <t>1313</t>
  </si>
  <si>
    <t>NVCL/25-26-0486</t>
  </si>
  <si>
    <t>871662201513</t>
  </si>
  <si>
    <t>8100953882</t>
  </si>
  <si>
    <t>2025252521097932</t>
  </si>
  <si>
    <t>MOYNA</t>
  </si>
  <si>
    <t>MAA BASANTI TRADERS</t>
  </si>
  <si>
    <t>1314</t>
  </si>
  <si>
    <t xml:space="preserve">	DAC/26-27-0006</t>
  </si>
  <si>
    <t>891662207489</t>
  </si>
  <si>
    <t>8100953737</t>
  </si>
  <si>
    <t>BARMEASIYA</t>
  </si>
  <si>
    <t>JSS STEEL</t>
  </si>
  <si>
    <t>1315</t>
  </si>
  <si>
    <t>851662207362</t>
  </si>
  <si>
    <t>8100953736</t>
  </si>
  <si>
    <t xml:space="preserve">	DAC/26-27-0007</t>
  </si>
  <si>
    <t>861662213445</t>
  </si>
  <si>
    <t>8100953915</t>
  </si>
  <si>
    <t>SONARYTHARI</t>
  </si>
  <si>
    <t>RAJBIR CONSTRUCTION</t>
  </si>
  <si>
    <t>7759893335-500BAGS</t>
  </si>
  <si>
    <t>1316</t>
  </si>
  <si>
    <t>821662492617</t>
  </si>
  <si>
    <t>8100954803</t>
  </si>
  <si>
    <t>2025252521098055</t>
  </si>
  <si>
    <t>1317</t>
  </si>
  <si>
    <t>821662501616</t>
  </si>
  <si>
    <t>8100954818</t>
  </si>
  <si>
    <t>2025252521098062</t>
  </si>
  <si>
    <t>318</t>
  </si>
  <si>
    <t>851662505365</t>
  </si>
  <si>
    <t>8100954827</t>
  </si>
  <si>
    <t>2025252521098053</t>
  </si>
  <si>
    <t>BHARATPUR</t>
  </si>
  <si>
    <t>1319</t>
  </si>
  <si>
    <t>801662506318</t>
  </si>
  <si>
    <t>8100954831</t>
  </si>
  <si>
    <t>2025252521098063</t>
  </si>
  <si>
    <t>1320</t>
  </si>
  <si>
    <t>821662503951</t>
  </si>
  <si>
    <t>8100954823</t>
  </si>
  <si>
    <t>2025252521098061</t>
  </si>
  <si>
    <t xml:space="preserve">600 BG MAA PANCHBADN SINGHABAHINI CONS </t>
  </si>
  <si>
    <t>1321</t>
  </si>
  <si>
    <t>801662545410</t>
  </si>
  <si>
    <t>8100954929</t>
  </si>
  <si>
    <t>2025252521098080</t>
  </si>
  <si>
    <t>250 BG -9110959715-27.03.26, 250 BG -8709501226-26.03.26</t>
  </si>
  <si>
    <t>1322</t>
  </si>
  <si>
    <t>DAC/26-27-0029</t>
  </si>
  <si>
    <t>841662555792</t>
  </si>
  <si>
    <t>8100954673</t>
  </si>
  <si>
    <t>KABILPUR</t>
  </si>
  <si>
    <t>TECHNO BUILDERS</t>
  </si>
  <si>
    <t>380 BG -SATHI HW-25.03.26-7679652020</t>
  </si>
  <si>
    <t>1323</t>
  </si>
  <si>
    <t>891662571032</t>
  </si>
  <si>
    <t>8100954999</t>
  </si>
  <si>
    <t>2025252521098093</t>
  </si>
  <si>
    <t>1324</t>
  </si>
  <si>
    <t>821662568570</t>
  </si>
  <si>
    <t>8100954997</t>
  </si>
  <si>
    <t>2025252521098089</t>
  </si>
  <si>
    <t>500 BG -8292352063</t>
  </si>
  <si>
    <t>1325</t>
  </si>
  <si>
    <t xml:space="preserve">	NVCL/26-27-0021</t>
  </si>
  <si>
    <t>801662592599</t>
  </si>
  <si>
    <t>8100955058</t>
  </si>
  <si>
    <t>2025252521098114</t>
  </si>
  <si>
    <t>380 BG -9474869439</t>
  </si>
  <si>
    <t>1326</t>
  </si>
  <si>
    <t>811662593470</t>
  </si>
  <si>
    <t>8100955062</t>
  </si>
  <si>
    <t>2025252521098112</t>
  </si>
  <si>
    <t>861662597240</t>
  </si>
  <si>
    <t>8100955083</t>
  </si>
  <si>
    <t>2025252521098118</t>
  </si>
  <si>
    <t>1327</t>
  </si>
  <si>
    <t xml:space="preserve">	DAC/26-27-0013</t>
  </si>
  <si>
    <t>881662664199</t>
  </si>
  <si>
    <t>8100955132</t>
  </si>
  <si>
    <t xml:space="preserve">JHIKTA </t>
  </si>
  <si>
    <t>SOUMITRA DEY</t>
  </si>
  <si>
    <t>380 BG -25.03.26-KASHINATH FERTILIZERS</t>
  </si>
  <si>
    <t>1329</t>
  </si>
  <si>
    <t>861662745485</t>
  </si>
  <si>
    <t>8100955743</t>
  </si>
  <si>
    <t>2025252521098259</t>
  </si>
  <si>
    <t>1330</t>
  </si>
  <si>
    <t>851662743288</t>
  </si>
  <si>
    <t>8100955720</t>
  </si>
  <si>
    <t>2025252521098249</t>
  </si>
  <si>
    <t>SATMILE</t>
  </si>
  <si>
    <t>DAS BUILDERS</t>
  </si>
  <si>
    <t>380 BG RECEIVED -26.03.26-9932044087</t>
  </si>
  <si>
    <t>1335</t>
  </si>
  <si>
    <t>811662803618</t>
  </si>
  <si>
    <t>8100955816</t>
  </si>
  <si>
    <t>2025252521098266</t>
  </si>
  <si>
    <t>380 BG  SANTOSH GARAIN -7797388450</t>
  </si>
  <si>
    <t>1328/1331</t>
  </si>
  <si>
    <t>811662744995</t>
  </si>
  <si>
    <t>8100955737</t>
  </si>
  <si>
    <t>2025252521098256</t>
  </si>
  <si>
    <t xml:space="preserve">500 BG BY PAD </t>
  </si>
  <si>
    <t>1332</t>
  </si>
  <si>
    <t>801662803558</t>
  </si>
  <si>
    <t>8100955814</t>
  </si>
  <si>
    <t>2025252521098265</t>
  </si>
  <si>
    <t>500 BG RCEIVED -27.03.26-9973808614</t>
  </si>
  <si>
    <t>1333</t>
  </si>
  <si>
    <t>841663091998</t>
  </si>
  <si>
    <t>8100956745</t>
  </si>
  <si>
    <t>2025252521098362</t>
  </si>
  <si>
    <t>MANBAZAR</t>
  </si>
  <si>
    <t>MAHABIR HW-9734202694</t>
  </si>
  <si>
    <t>1334</t>
  </si>
  <si>
    <t>81B</t>
  </si>
  <si>
    <t>4456</t>
  </si>
  <si>
    <t>801663105945</t>
  </si>
  <si>
    <t>8100956784</t>
  </si>
  <si>
    <t>2025252521098369</t>
  </si>
  <si>
    <t>GOLBERA-723103</t>
  </si>
  <si>
    <t>260 BG - NEHA HW-9679911113</t>
  </si>
  <si>
    <t>1336</t>
  </si>
  <si>
    <t>PRASANTA MAJI</t>
  </si>
  <si>
    <t>841663157584</t>
  </si>
  <si>
    <t>8100956941</t>
  </si>
  <si>
    <t>2025252521098390</t>
  </si>
  <si>
    <t>1337</t>
  </si>
  <si>
    <t>811663156412</t>
  </si>
  <si>
    <t>8100956939</t>
  </si>
  <si>
    <t>2025252521098391</t>
  </si>
  <si>
    <t>851663185319</t>
  </si>
  <si>
    <t>8100957026</t>
  </si>
  <si>
    <t>2025252521098406</t>
  </si>
  <si>
    <t>MAHESH KR ANJANI KR</t>
  </si>
  <si>
    <t>100 BG -26.03.26, 400BG -9142909358-26.03.26</t>
  </si>
  <si>
    <t>1338</t>
  </si>
  <si>
    <t>NVCL/26-27-0030</t>
  </si>
  <si>
    <t>811663221851</t>
  </si>
  <si>
    <t>8100957140</t>
  </si>
  <si>
    <t>2025252521098425</t>
  </si>
  <si>
    <t>1339</t>
  </si>
  <si>
    <t>831663210909</t>
  </si>
  <si>
    <t>8100957104</t>
  </si>
  <si>
    <t>2025252521098419</t>
  </si>
  <si>
    <t>AAYUSH ENTERPRISE</t>
  </si>
  <si>
    <t>500 BG ON PAD -27.03.26</t>
  </si>
  <si>
    <t>1340</t>
  </si>
  <si>
    <t>831663209952</t>
  </si>
  <si>
    <t>8100957102</t>
  </si>
  <si>
    <t>2025252521098420</t>
  </si>
  <si>
    <t xml:space="preserve">	DAC/26-27-0001</t>
  </si>
  <si>
    <t>861663276418</t>
  </si>
  <si>
    <t>8100957185</t>
  </si>
  <si>
    <t>PENK(BOKARO)</t>
  </si>
  <si>
    <t>CHANDAN KUMAR SAHU</t>
  </si>
  <si>
    <t>1341</t>
  </si>
  <si>
    <t>DAC/26-27-0055</t>
  </si>
  <si>
    <t>851663289781</t>
  </si>
  <si>
    <t>8100956777</t>
  </si>
  <si>
    <t>SHREE KRISHNA SALES</t>
  </si>
  <si>
    <t>9304338906-500BAGS</t>
  </si>
  <si>
    <t>1342</t>
  </si>
  <si>
    <t>7588</t>
  </si>
  <si>
    <t>891663377880</t>
  </si>
  <si>
    <t>8100957835</t>
  </si>
  <si>
    <t>2025252521098511</t>
  </si>
  <si>
    <t>PURIARA-723127</t>
  </si>
  <si>
    <t>260 BG RECEI VED ON PAD-6294791775</t>
  </si>
  <si>
    <t>1343</t>
  </si>
  <si>
    <t>881663408088</t>
  </si>
  <si>
    <t>8100957647</t>
  </si>
  <si>
    <t>500 BG -84203056292</t>
  </si>
  <si>
    <t>1344</t>
  </si>
  <si>
    <t>831663394980</t>
  </si>
  <si>
    <t>8100957989</t>
  </si>
  <si>
    <t>2025252521098546</t>
  </si>
  <si>
    <t>600 BG -9934080253</t>
  </si>
  <si>
    <t>1345</t>
  </si>
  <si>
    <t>NVCL/25-26-0493</t>
  </si>
  <si>
    <t>871663502882</t>
  </si>
  <si>
    <t>8100958361</t>
  </si>
  <si>
    <t>2025252521098611</t>
  </si>
  <si>
    <t>500 BG MAHAPRAVU ENT -8918843582</t>
  </si>
  <si>
    <t>1346</t>
  </si>
  <si>
    <t>891663549562</t>
  </si>
  <si>
    <t>8100958523</t>
  </si>
  <si>
    <t>2025252521098641</t>
  </si>
  <si>
    <t>BANGAON BAZAR</t>
  </si>
  <si>
    <t>DAS ENTERPRISE</t>
  </si>
  <si>
    <t>500 BG -9474441544-27.03.26</t>
  </si>
  <si>
    <t>1347</t>
  </si>
  <si>
    <t>WORNG PINCODE LOCATION MAIL DONE 27.03</t>
  </si>
  <si>
    <t xml:space="preserve">	NVCL/26-27-0004</t>
  </si>
  <si>
    <t>801663546454</t>
  </si>
  <si>
    <t>8100958520</t>
  </si>
  <si>
    <t>2025252521098636</t>
  </si>
  <si>
    <t>500 BG -SADIQUL HW-7076594933</t>
  </si>
  <si>
    <t>1348</t>
  </si>
  <si>
    <t>881663601885</t>
  </si>
  <si>
    <t>8100958680</t>
  </si>
  <si>
    <t>2025252521098649</t>
  </si>
  <si>
    <t>500 BG RECEIVED BY MOLLESWAR ENTERPRISE-9434017519-27.03.26</t>
  </si>
  <si>
    <t>1349</t>
  </si>
  <si>
    <t>831663618509</t>
  </si>
  <si>
    <t>8100958732</t>
  </si>
  <si>
    <t>2025252521098653</t>
  </si>
  <si>
    <t>PALASHIPARA</t>
  </si>
  <si>
    <t>SANDIP KUMAR</t>
  </si>
  <si>
    <t xml:space="preserve">380 BG BY PAD  ( 4 POINTS) </t>
  </si>
  <si>
    <t>1350</t>
  </si>
  <si>
    <t>NVCL/26-27-0053</t>
  </si>
  <si>
    <t>881663629238</t>
  </si>
  <si>
    <t>8100958767</t>
  </si>
  <si>
    <t>2025252521098658</t>
  </si>
  <si>
    <t>MATIARI-741153</t>
  </si>
  <si>
    <t>DEBABRATA SAHA</t>
  </si>
  <si>
    <t>J.K H/W-9153393905-380BAGS</t>
  </si>
  <si>
    <t>1351</t>
  </si>
  <si>
    <t>821663628406</t>
  </si>
  <si>
    <t>8100958763</t>
  </si>
  <si>
    <t>2025252521098657</t>
  </si>
  <si>
    <t>380 BG MANNA TRADERS -9134375076</t>
  </si>
  <si>
    <t>1352</t>
  </si>
  <si>
    <t>NVCL/25-26-0487</t>
  </si>
  <si>
    <t>881663642631</t>
  </si>
  <si>
    <t>8100958790</t>
  </si>
  <si>
    <t>2025252521098660</t>
  </si>
  <si>
    <t>1353</t>
  </si>
  <si>
    <t>881663661975</t>
  </si>
  <si>
    <t>8100958820</t>
  </si>
  <si>
    <t>2025252521098667</t>
  </si>
  <si>
    <t>LALGOLA</t>
  </si>
  <si>
    <t>BISWAS HARDWARE</t>
  </si>
  <si>
    <t xml:space="preserve">380 BG RECEIVED </t>
  </si>
  <si>
    <t>1354</t>
  </si>
  <si>
    <t xml:space="preserve">	NVCL/26-27-0017</t>
  </si>
  <si>
    <t>871663697399</t>
  </si>
  <si>
    <t>8100958895</t>
  </si>
  <si>
    <t>2025252521098689</t>
  </si>
  <si>
    <t>500 BG -9932828309</t>
  </si>
  <si>
    <t>1355</t>
  </si>
  <si>
    <t>881663697983</t>
  </si>
  <si>
    <t>8100958897</t>
  </si>
  <si>
    <t>2025252521098690</t>
  </si>
  <si>
    <t>861663768733</t>
  </si>
  <si>
    <t>8100959075</t>
  </si>
  <si>
    <t>2025252521098715</t>
  </si>
  <si>
    <t>CHANDRA SEKHAR SAHU</t>
  </si>
  <si>
    <t>1356</t>
  </si>
  <si>
    <t>891663942109</t>
  </si>
  <si>
    <t>8100960008</t>
  </si>
  <si>
    <t>2025252521098859</t>
  </si>
  <si>
    <t>BHAGAT STEEL</t>
  </si>
  <si>
    <t>500 BG RECEIVED  ON PAD</t>
  </si>
  <si>
    <t>1357</t>
  </si>
  <si>
    <t>871663946981</t>
  </si>
  <si>
    <t>8100960061</t>
  </si>
  <si>
    <t>2025252521098876</t>
  </si>
  <si>
    <t>1358</t>
  </si>
  <si>
    <t>871663946840</t>
  </si>
  <si>
    <t>8100960059</t>
  </si>
  <si>
    <t>2025252521098877</t>
  </si>
  <si>
    <t>851663940507</t>
  </si>
  <si>
    <t>8100959990</t>
  </si>
  <si>
    <t>2025252521098852</t>
  </si>
  <si>
    <t>1359</t>
  </si>
  <si>
    <t>821663970477</t>
  </si>
  <si>
    <t>8100960151</t>
  </si>
  <si>
    <t>2025252521098907</t>
  </si>
  <si>
    <t>ARJUNPUR-742231</t>
  </si>
  <si>
    <t>500 BG -BARLU HW -28.03.26</t>
  </si>
  <si>
    <t>1361</t>
  </si>
  <si>
    <t xml:space="preserve">	NVCL/26-27-0009</t>
  </si>
  <si>
    <t>831663953161</t>
  </si>
  <si>
    <t>8100960081</t>
  </si>
  <si>
    <t>2025252521098885</t>
  </si>
  <si>
    <t>THUTHI-851214</t>
  </si>
  <si>
    <t>BHAGAWATI ENTERPRISE</t>
  </si>
  <si>
    <t>1360</t>
  </si>
  <si>
    <t>811663971240</t>
  </si>
  <si>
    <t>8100960154</t>
  </si>
  <si>
    <t>2025252521098909</t>
  </si>
  <si>
    <t>SAHIBGANJ</t>
  </si>
  <si>
    <t>S.R TRADERS</t>
  </si>
  <si>
    <t>1363</t>
  </si>
  <si>
    <t>861664006054</t>
  </si>
  <si>
    <t>8100960299</t>
  </si>
  <si>
    <t>2025252521098936</t>
  </si>
  <si>
    <t>9732852607-400BAGS, 7584956996-100BAGS</t>
  </si>
  <si>
    <t>1362</t>
  </si>
  <si>
    <t>NVCL/26-27-0113</t>
  </si>
  <si>
    <t>831664081391</t>
  </si>
  <si>
    <t>8100960520</t>
  </si>
  <si>
    <t>2025252521098970</t>
  </si>
  <si>
    <t>KOTALPUR</t>
  </si>
  <si>
    <t>BEAUTY BUILDERS</t>
  </si>
  <si>
    <t>380 BG RECEIVED -28.03.26-9434527625</t>
  </si>
  <si>
    <t>1364</t>
  </si>
  <si>
    <t>871664327143</t>
  </si>
  <si>
    <t>8100961148</t>
  </si>
  <si>
    <t>2025252521099030</t>
  </si>
  <si>
    <t>1365</t>
  </si>
  <si>
    <t>891664327826</t>
  </si>
  <si>
    <t>8100961151</t>
  </si>
  <si>
    <t>2025252521099031</t>
  </si>
  <si>
    <t>7061145740-200,7779982450-300BAGS</t>
  </si>
  <si>
    <t>1366</t>
  </si>
  <si>
    <t>NVCL/26-27-0005</t>
  </si>
  <si>
    <t>871664352497</t>
  </si>
  <si>
    <t>8100961232</t>
  </si>
  <si>
    <t>2025252521099048</t>
  </si>
  <si>
    <t>PANCHAKOTRAJ-723132</t>
  </si>
  <si>
    <t>1367</t>
  </si>
  <si>
    <t>801664353387</t>
  </si>
  <si>
    <t>8100961248</t>
  </si>
  <si>
    <t>2025252521099049</t>
  </si>
  <si>
    <t>1368</t>
  </si>
  <si>
    <t>891664376435</t>
  </si>
  <si>
    <t>8100961382</t>
  </si>
  <si>
    <t>2025252521099077</t>
  </si>
  <si>
    <t>500 BG -EMRAN HW-9593938142-29.03.26</t>
  </si>
  <si>
    <t>1369</t>
  </si>
  <si>
    <t>821664381946</t>
  </si>
  <si>
    <t>8100961414</t>
  </si>
  <si>
    <t>2025252521099083</t>
  </si>
  <si>
    <t>ARAMBAGH</t>
  </si>
  <si>
    <t>PAL ENTERPISE</t>
  </si>
  <si>
    <t>280BG +100 BG RECEIVED BABAB JANARDAN HW-28.03.26-7908617038</t>
  </si>
  <si>
    <t>1370</t>
  </si>
  <si>
    <t>831664382195</t>
  </si>
  <si>
    <t>8100961415</t>
  </si>
  <si>
    <t>2025252521099082</t>
  </si>
  <si>
    <t>811664393188</t>
  </si>
  <si>
    <t>8100961473</t>
  </si>
  <si>
    <t>2025252521099085</t>
  </si>
  <si>
    <t>UMAGOSAIN HARDWARE</t>
  </si>
  <si>
    <t>DABE KR MONDAL-200+180BAGS</t>
  </si>
  <si>
    <t>1371</t>
  </si>
  <si>
    <t>841664392791</t>
  </si>
  <si>
    <t>8100961469</t>
  </si>
  <si>
    <t>2025252521099086</t>
  </si>
  <si>
    <t>891664464657</t>
  </si>
  <si>
    <t>2025252521099172</t>
  </si>
  <si>
    <t>HATIA</t>
  </si>
  <si>
    <t>AMBALICA ENTERPRISE</t>
  </si>
  <si>
    <t>1372</t>
  </si>
  <si>
    <t>851664479831</t>
  </si>
  <si>
    <t>2025252521099201</t>
  </si>
  <si>
    <t>1373</t>
  </si>
  <si>
    <t>851664489913</t>
  </si>
  <si>
    <t>2025252521099215</t>
  </si>
  <si>
    <t>1374</t>
  </si>
  <si>
    <t>841664490392</t>
  </si>
  <si>
    <t>2025252521099214</t>
  </si>
  <si>
    <t>9771607545-500BAGS</t>
  </si>
  <si>
    <t>1375</t>
  </si>
  <si>
    <t>871664706511</t>
  </si>
  <si>
    <t>2025252521099234</t>
  </si>
  <si>
    <t>600 BG RECEIVED -9931461878</t>
  </si>
  <si>
    <t>1376</t>
  </si>
  <si>
    <t>851664780030</t>
  </si>
  <si>
    <t>2025252521099259</t>
  </si>
  <si>
    <t>ALIMA H/W-7063436269-380BAGS</t>
  </si>
  <si>
    <t>1377</t>
  </si>
  <si>
    <t xml:space="preserve">	NVCL/26-27-0006</t>
  </si>
  <si>
    <t>831664782311</t>
  </si>
  <si>
    <t>2025252521099263</t>
  </si>
  <si>
    <t>HARIA</t>
  </si>
  <si>
    <t>MAA NACHINDA ENTERPRISE</t>
  </si>
  <si>
    <t>1378</t>
  </si>
  <si>
    <t>851664718226</t>
  </si>
  <si>
    <t>2025252521099237</t>
  </si>
  <si>
    <t>CONTAI</t>
  </si>
  <si>
    <t>KRISHNA TRADING</t>
  </si>
  <si>
    <t>500 BG RECEIVED -9933939845</t>
  </si>
  <si>
    <t>1379</t>
  </si>
  <si>
    <t>881664861392</t>
  </si>
  <si>
    <t>2025252521099314</t>
  </si>
  <si>
    <t>CHOWDHURY HW-9153113100-260+120BAGS</t>
  </si>
  <si>
    <t>1380</t>
  </si>
  <si>
    <t>871664860990</t>
  </si>
  <si>
    <t>2025252521099312</t>
  </si>
  <si>
    <t>811664904977</t>
  </si>
  <si>
    <t>2025252521099331</t>
  </si>
  <si>
    <t>BINDOL</t>
  </si>
  <si>
    <t>RANI SATI TRADING CO</t>
  </si>
  <si>
    <t>LOKNATH ENT -9609966459</t>
  </si>
  <si>
    <t>1381</t>
  </si>
  <si>
    <t>REACH PINCODE BUT NOT STAY, DEVIATION</t>
  </si>
  <si>
    <t>871664904665</t>
  </si>
  <si>
    <t>2025252521099330</t>
  </si>
  <si>
    <t>811664930323</t>
  </si>
  <si>
    <t>2025252521099349</t>
  </si>
  <si>
    <t>1382</t>
  </si>
  <si>
    <t>861664961539</t>
  </si>
  <si>
    <t>2025252521099380</t>
  </si>
  <si>
    <t>MAHUADANGAL-814158</t>
  </si>
  <si>
    <t>1383</t>
  </si>
  <si>
    <t>TRIP NOT SHOWING</t>
  </si>
  <si>
    <t>881664961720</t>
  </si>
  <si>
    <t>2025252521099381</t>
  </si>
  <si>
    <t>8210962968-500BAGS</t>
  </si>
  <si>
    <t>1384</t>
  </si>
  <si>
    <t>891664973517</t>
  </si>
  <si>
    <t>2025252521099384</t>
  </si>
  <si>
    <t xml:space="preserve">MIRZACHOWKI </t>
  </si>
  <si>
    <t>7250078880-150BAGS,9661755152-100BAGS,9149780612-150BAGS,9931282117-200BAGS</t>
  </si>
  <si>
    <t>1385</t>
  </si>
  <si>
    <t>801664973750</t>
  </si>
  <si>
    <t>2025252521099383</t>
  </si>
  <si>
    <t>861665061094</t>
  </si>
  <si>
    <t>2025252521099488</t>
  </si>
  <si>
    <t>6299139946-500BAGS</t>
  </si>
  <si>
    <t>1386</t>
  </si>
  <si>
    <t>861665061544</t>
  </si>
  <si>
    <t>2025252521099490</t>
  </si>
  <si>
    <t>6296165802-500BAGS</t>
  </si>
  <si>
    <t>1387</t>
  </si>
  <si>
    <t>851665073588</t>
  </si>
  <si>
    <t>2025252521099491</t>
  </si>
  <si>
    <t>1389</t>
  </si>
  <si>
    <t>801665064967</t>
  </si>
  <si>
    <t>MANGALPUR</t>
  </si>
  <si>
    <t>JAI BALAJI INDUSTRIES</t>
  </si>
  <si>
    <t>1388</t>
  </si>
  <si>
    <t>891665074484</t>
  </si>
  <si>
    <t>2025252521099511</t>
  </si>
  <si>
    <t>PAIKAR</t>
  </si>
  <si>
    <t>8250831301-500BAGS</t>
  </si>
  <si>
    <t>1390</t>
  </si>
  <si>
    <t>861665079224</t>
  </si>
  <si>
    <t>2025252521099516</t>
  </si>
  <si>
    <t>BHAGWANPUR</t>
  </si>
  <si>
    <t>500 BG RAJU BERA CONS -03.03.26</t>
  </si>
  <si>
    <t>1391</t>
  </si>
  <si>
    <t>831665084810</t>
  </si>
  <si>
    <t>2025252521099525</t>
  </si>
  <si>
    <t>1392</t>
  </si>
  <si>
    <t>811665086076</t>
  </si>
  <si>
    <t>2025252521099530</t>
  </si>
  <si>
    <t>1393</t>
  </si>
  <si>
    <t>831665085826</t>
  </si>
  <si>
    <t>2025252521099528</t>
  </si>
  <si>
    <t>TILJORI-814152</t>
  </si>
  <si>
    <t>500 BG RECEIVED -7667609481</t>
  </si>
  <si>
    <t>1394</t>
  </si>
  <si>
    <t>821665264196</t>
  </si>
  <si>
    <t>2025252521099647</t>
  </si>
  <si>
    <t>H.C PUR</t>
  </si>
  <si>
    <t>KAMAL AGENCY</t>
  </si>
  <si>
    <t>1395</t>
  </si>
  <si>
    <t>831665303520</t>
  </si>
  <si>
    <t>2025252521099664</t>
  </si>
  <si>
    <t>MONDAL ENT-30.03.26</t>
  </si>
  <si>
    <t>1396</t>
  </si>
  <si>
    <t>871665319277</t>
  </si>
  <si>
    <t>2025252521099702</t>
  </si>
  <si>
    <t>SUBHO LAKSHMI ENTERPRISE</t>
  </si>
  <si>
    <t>1397</t>
  </si>
  <si>
    <t>NVCL/26-27-0007</t>
  </si>
  <si>
    <t>851665346349</t>
  </si>
  <si>
    <t>2025252521099735</t>
  </si>
  <si>
    <t>9832272485-380BAGS</t>
  </si>
  <si>
    <t>1398</t>
  </si>
  <si>
    <t>801665425614</t>
  </si>
  <si>
    <t>2025252521099812</t>
  </si>
  <si>
    <t>600 BG -8789298845</t>
  </si>
  <si>
    <t>1499</t>
  </si>
  <si>
    <t>881665440161</t>
  </si>
  <si>
    <t>2025252521099840</t>
  </si>
  <si>
    <t>9851102982-260+120BAGS</t>
  </si>
  <si>
    <t>1400</t>
  </si>
  <si>
    <t>891665440276</t>
  </si>
  <si>
    <t>2025252521099841</t>
  </si>
  <si>
    <t>821665440022</t>
  </si>
  <si>
    <t>2025252521099842</t>
  </si>
  <si>
    <t>SREE DURGA TRADERS-500BAGS</t>
  </si>
  <si>
    <t>301</t>
  </si>
  <si>
    <t xml:space="preserve">	NVCL/26-27-0008</t>
  </si>
  <si>
    <t>801665863939</t>
  </si>
  <si>
    <t>202525252110007</t>
  </si>
  <si>
    <t>103</t>
  </si>
  <si>
    <t>861665766933</t>
  </si>
  <si>
    <t>2025252521099925</t>
  </si>
  <si>
    <t>ILLASHPUR,BHAGBANPUR</t>
  </si>
  <si>
    <t>101</t>
  </si>
  <si>
    <t>SAS/26-27/251</t>
  </si>
  <si>
    <t>891665873005</t>
  </si>
  <si>
    <t>2025252521100012</t>
  </si>
  <si>
    <t>SONJ</t>
  </si>
  <si>
    <t>ROY H/W-260BAGS</t>
  </si>
  <si>
    <t>102</t>
  </si>
  <si>
    <t>831665843914</t>
  </si>
  <si>
    <t>2025252521099992</t>
  </si>
  <si>
    <t>RAMGANGA</t>
  </si>
  <si>
    <t>MAA MONOSHA  IRON</t>
  </si>
  <si>
    <t>100 BG - TARA SUNDORI ENT, 125 BG -9733836007,200 BG - BOIDY BUILDERS,75 SWASTI BUILDERS-9734688548</t>
  </si>
  <si>
    <t>104</t>
  </si>
  <si>
    <t>861665865454</t>
  </si>
  <si>
    <t>2025252521100010</t>
  </si>
  <si>
    <t>500 BG 9973808614</t>
  </si>
  <si>
    <t>105</t>
  </si>
  <si>
    <t>871665865952</t>
  </si>
  <si>
    <t>2025252521100011</t>
  </si>
  <si>
    <t>106</t>
  </si>
  <si>
    <t>881666018389</t>
  </si>
  <si>
    <t>2025252521100235</t>
  </si>
  <si>
    <t>DIGGHI</t>
  </si>
  <si>
    <t>SHILA ENTERPRISE</t>
  </si>
  <si>
    <t>150 BG +150BG +200 BG ON PAD</t>
  </si>
  <si>
    <t>107</t>
  </si>
  <si>
    <t>861666041136</t>
  </si>
  <si>
    <t>2025252521100256</t>
  </si>
  <si>
    <t>500 BG -9934543374</t>
  </si>
  <si>
    <t>109</t>
  </si>
  <si>
    <t>841666041635</t>
  </si>
  <si>
    <t>2025252521100258</t>
  </si>
  <si>
    <t>AKS ENT-2.04.26-500 BG</t>
  </si>
  <si>
    <t>108</t>
  </si>
  <si>
    <t>821666041374</t>
  </si>
  <si>
    <t>2025252521100257</t>
  </si>
  <si>
    <t>500 BG -01.04.26-8210962968</t>
  </si>
  <si>
    <t>110</t>
  </si>
  <si>
    <t>881666049446</t>
  </si>
  <si>
    <t>2025252521100270</t>
  </si>
  <si>
    <t>TENYA</t>
  </si>
  <si>
    <t>111</t>
  </si>
  <si>
    <t>821666054624</t>
  </si>
  <si>
    <t>2025252521100275</t>
  </si>
  <si>
    <t>112</t>
  </si>
  <si>
    <t>NVCL/26-27-0052</t>
  </si>
  <si>
    <t>881666055229</t>
  </si>
  <si>
    <t>2025252521100276</t>
  </si>
  <si>
    <t>9800526348-260BAGS</t>
  </si>
  <si>
    <t>113</t>
  </si>
  <si>
    <t>881666070826</t>
  </si>
  <si>
    <t>2025252521100289</t>
  </si>
  <si>
    <t>500 BG RECEIVED -9933824391</t>
  </si>
  <si>
    <t>114</t>
  </si>
  <si>
    <t>891666066914</t>
  </si>
  <si>
    <t>2025252521100287</t>
  </si>
  <si>
    <t>500 BG -8617354419-03.04.26</t>
  </si>
  <si>
    <t>115</t>
  </si>
  <si>
    <t>841666076343</t>
  </si>
  <si>
    <t>2025252521100291</t>
  </si>
  <si>
    <t>SABANG</t>
  </si>
  <si>
    <t>MA SARDA DISTRIBUTORS</t>
  </si>
  <si>
    <t>BERA TRADING -01.04.26</t>
  </si>
  <si>
    <t>117</t>
  </si>
  <si>
    <t>851666514226</t>
  </si>
  <si>
    <t>2025252521100639</t>
  </si>
  <si>
    <t>118</t>
  </si>
  <si>
    <t>891666525837</t>
  </si>
  <si>
    <t>2025252521100654</t>
  </si>
  <si>
    <t>SATYA DEB SHARMA -8617354419</t>
  </si>
  <si>
    <t>119</t>
  </si>
  <si>
    <t>861666561861</t>
  </si>
  <si>
    <t>2025252521100709</t>
  </si>
  <si>
    <t>600 BG SAMEER ENT-9973952138</t>
  </si>
  <si>
    <t>120</t>
  </si>
  <si>
    <t>881666539880</t>
  </si>
  <si>
    <t>2025252521100694</t>
  </si>
  <si>
    <t>121</t>
  </si>
  <si>
    <t>891666570176</t>
  </si>
  <si>
    <t>2025052521100721</t>
  </si>
  <si>
    <t>122</t>
  </si>
  <si>
    <t>831666569262</t>
  </si>
  <si>
    <t>2025252521100720</t>
  </si>
  <si>
    <t>821666590850</t>
  </si>
  <si>
    <t>2025252521100756</t>
  </si>
  <si>
    <t>123/116</t>
  </si>
  <si>
    <t>811666605573</t>
  </si>
  <si>
    <t>2025252521100766</t>
  </si>
  <si>
    <t>500 BG SADIQUL HW-7076594933-02.04.26</t>
  </si>
  <si>
    <t>124</t>
  </si>
  <si>
    <t>861666607392</t>
  </si>
  <si>
    <t>2025252521100762</t>
  </si>
  <si>
    <t>SANDESHKHALI-743446</t>
  </si>
  <si>
    <t>JAGANNATH TRADERS</t>
  </si>
  <si>
    <t>500 BG MAA TRA BUILDERS -9153371614</t>
  </si>
  <si>
    <t>127</t>
  </si>
  <si>
    <t>851666632995</t>
  </si>
  <si>
    <t>2025252521100807</t>
  </si>
  <si>
    <t>GURUTOLA-732127</t>
  </si>
  <si>
    <t>B.S ENTERPISE</t>
  </si>
  <si>
    <t>125</t>
  </si>
  <si>
    <t xml:space="preserve"> </t>
  </si>
  <si>
    <t>`</t>
  </si>
  <si>
    <t>Total (MT)</t>
  </si>
  <si>
    <t>Total Party Freight</t>
  </si>
  <si>
    <t>TDS</t>
  </si>
  <si>
    <t xml:space="preserve">Freight Advance </t>
  </si>
  <si>
    <t>Fuel</t>
  </si>
  <si>
    <t>Challan Signing</t>
  </si>
  <si>
    <t>Bill No</t>
  </si>
  <si>
    <t>As per this sheet</t>
  </si>
  <si>
    <t>Billed Amount </t>
  </si>
  <si>
    <t>CD</t>
  </si>
  <si>
    <t>Previous Month Due</t>
  </si>
  <si>
    <t>Next Month Carry forowards</t>
  </si>
  <si>
    <t>Paid</t>
  </si>
  <si>
    <t>Balance </t>
  </si>
  <si>
    <t>Paid By </t>
  </si>
  <si>
    <t>Damage deduction</t>
  </si>
  <si>
    <t>SA/25-26/234</t>
  </si>
  <si>
    <t>25.03.26</t>
  </si>
  <si>
    <t xml:space="preserve">Party Payble </t>
  </si>
  <si>
    <t>SA/25-26/235</t>
  </si>
  <si>
    <t>03.04.26</t>
  </si>
  <si>
    <t>Site Cash+ Bank transfer</t>
  </si>
  <si>
    <t>SA/25-26/236</t>
  </si>
  <si>
    <t>16.04.26</t>
  </si>
  <si>
    <t>GPS Payment made from DAC a/c</t>
  </si>
  <si>
    <t>UNBILLED</t>
  </si>
  <si>
    <t>Party Freight to be withhold</t>
  </si>
  <si>
    <t xml:space="preserve">Net Party Payble  </t>
  </si>
  <si>
    <t>Dedicated Freight 9.5% of NVL Dispatch on Mar'26</t>
  </si>
  <si>
    <t>Qualified Vehicle Extra Freight 9.5% NVL &amp; NVCL FOR Dedicated FROM OUR CALCULATION NVL  Month of Mar'26</t>
  </si>
  <si>
    <t>Values</t>
  </si>
  <si>
    <t>TYPE</t>
  </si>
  <si>
    <t>Owner Name</t>
  </si>
  <si>
    <t>Truck No</t>
  </si>
  <si>
    <t xml:space="preserve">Total </t>
  </si>
  <si>
    <t>TOTAL</t>
  </si>
  <si>
    <t>Trans Name</t>
  </si>
  <si>
    <t>Sum of Inv Qty</t>
  </si>
  <si>
    <t>Sum of SAP MASTER FREIGHT</t>
  </si>
  <si>
    <t>Sum of Dedi Amt</t>
  </si>
  <si>
    <t>Sum of Dedi amt Diff</t>
  </si>
  <si>
    <t>Sum of ORG FREIGHT</t>
  </si>
  <si>
    <t>Sum of Amt</t>
  </si>
  <si>
    <t>Sum Amt</t>
  </si>
  <si>
    <t>DIPALI ASSOCIATES &amp; CO</t>
  </si>
  <si>
    <t>WB29A8166</t>
  </si>
  <si>
    <t>ATOA</t>
  </si>
  <si>
    <t>WB351813</t>
  </si>
  <si>
    <t>WB39A5062</t>
  </si>
  <si>
    <t>WB39A5858</t>
  </si>
  <si>
    <t>WB39B0034</t>
  </si>
  <si>
    <t>WB39B0926</t>
  </si>
  <si>
    <t>WB39B0800</t>
  </si>
  <si>
    <t>MKT</t>
  </si>
  <si>
    <t>WB39B1080</t>
  </si>
  <si>
    <t>WB39B2382</t>
  </si>
  <si>
    <t>WB39B3049</t>
  </si>
  <si>
    <t>WB39B8879</t>
  </si>
  <si>
    <t>WB39B4313</t>
  </si>
  <si>
    <t>DIPALI ASSOCIAT</t>
  </si>
  <si>
    <t>WB39B8916</t>
  </si>
  <si>
    <t>WB39B8924</t>
  </si>
  <si>
    <t>WB41F2315</t>
  </si>
  <si>
    <t>WB41G1024</t>
  </si>
  <si>
    <t>WB39B9201</t>
  </si>
  <si>
    <t>WB41H0177</t>
  </si>
  <si>
    <t>WB41H1234</t>
  </si>
  <si>
    <t>WB41J5775</t>
  </si>
  <si>
    <t>WB41J9696</t>
  </si>
  <si>
    <t>WB41J9798</t>
  </si>
  <si>
    <t>WB53B7628</t>
  </si>
  <si>
    <t>WB41K2967</t>
  </si>
  <si>
    <t>WB57C7436</t>
  </si>
  <si>
    <t>WB65D7397</t>
  </si>
  <si>
    <t>WB67A4475</t>
  </si>
  <si>
    <t>WB67A9375</t>
  </si>
  <si>
    <t>WB67B3669</t>
  </si>
  <si>
    <t>WB41H0254</t>
  </si>
  <si>
    <t>DIPALI ASSOCIATES &amp; CO Total</t>
  </si>
  <si>
    <t>Extra Freight 8.5%  on 10WH WB SO of NVL for Mar'26</t>
  </si>
  <si>
    <t>JH10BY9023</t>
  </si>
  <si>
    <t>Sum of Act Inc</t>
  </si>
  <si>
    <t>WB39A9434</t>
  </si>
  <si>
    <t>WB41F4393</t>
  </si>
  <si>
    <t>TUSHARKANTI MONDAL</t>
  </si>
  <si>
    <t>WB41H6585</t>
  </si>
  <si>
    <t>Dedicated Freight 9.5% of NVCL Dispatch on Mar'26</t>
  </si>
  <si>
    <t>WB41G6396</t>
  </si>
  <si>
    <t>SHUVADEEP KONAR</t>
  </si>
  <si>
    <t>WB316343</t>
  </si>
  <si>
    <t>WB29A9266</t>
  </si>
  <si>
    <t>WB67A2373</t>
  </si>
  <si>
    <t>WB33C6016</t>
  </si>
  <si>
    <t>WB39B0801</t>
  </si>
  <si>
    <t>WB39B0802</t>
  </si>
  <si>
    <t>WB39A6898</t>
  </si>
  <si>
    <t>GANESH KONAR</t>
  </si>
  <si>
    <t>WB37C2891</t>
  </si>
  <si>
    <t>VOLA YADAV</t>
  </si>
  <si>
    <t>Extra Freight 8.5%  on 10WH WB SO of NVCL for Mar'26</t>
  </si>
  <si>
    <t>Extra Freight 15% on 6WH WB SO of NVCL for Mar'26</t>
  </si>
  <si>
    <t>Sum of Act Inc 15%</t>
  </si>
  <si>
    <t>WB41P4782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</si>
</sst>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\-"/>
    <numFmt numFmtId="165" formatCode="_ * #,##0.00_ ;_ * \-#,##0.00_ ;_ * &quot;-&quot;_ ;_ @_ "/>
    <numFmt numFmtId="166" formatCode="_(* #,##0.00_);_(* \(#,##0.00\);_(* &quot;-&quot;_);_(@_)"/>
    <numFmt numFmtId="167" formatCode="_ * #,##0.0_ ;_ * \-#,##0.0_ ;_ * &quot;-&quot;_ ;_ @_ "/>
    <numFmt numFmtId="168" formatCode="_ * #,##0_ ;_ * \-#,##0_ ;_ * &quot;-&quot;??_ ;_ @_ "/>
    <numFmt numFmtId="169" formatCode="_(&quot;$&quot;* #,##0.00_);_(&quot;$&quot;* \(#,##0.00\);_(&quot;$&quot;* &quot;-&quot;??_);_(@_)"/>
  </numFmts>
  <fonts count="4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color theme="1"/>
      <name val="Calibri Light"/>
      <family val="1"/>
      <scheme val="major"/>
    </font>
    <font>
      <b/>
      <sz val="10"/>
      <color theme="1"/>
      <name val="Calibri"/>
      <family val="2"/>
      <scheme val="minor"/>
    </font>
    <font>
      <sz val="10"/>
      <name val="Calibri Light"/>
      <family val="1"/>
      <scheme val="major"/>
    </font>
    <font>
      <b/>
      <sz val="11"/>
      <color rgb="FFFF0000"/>
      <name val="Calibri"/>
      <family val="2"/>
      <scheme val="minor"/>
    </font>
    <font>
      <sz val="9"/>
      <color rgb="FF5A6A85"/>
      <name val="Arial"/>
      <family val="2"/>
    </font>
    <font>
      <sz val="11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rial"/>
      <family val="2"/>
    </font>
    <font>
      <b/>
      <i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name val="Calibri Light"/>
      <family val="1"/>
      <scheme val="major"/>
    </font>
    <font>
      <b/>
      <sz val="10"/>
      <name val="Calibri Light"/>
      <family val="1"/>
      <scheme val="major"/>
    </font>
    <font>
      <b/>
      <i/>
      <sz val="11"/>
      <color theme="1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color rgb="FF000000"/>
      <name val="Calibri Light"/>
      <family val="1"/>
      <scheme val="major"/>
    </font>
    <font>
      <sz val="11"/>
      <color rgb="FF000000"/>
      <name val="Calibri Light"/>
      <family val="1"/>
      <scheme val="major"/>
    </font>
    <font>
      <sz val="11"/>
      <color rgb="FF444746"/>
      <name val="Calibri Light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26"/>
      <color rgb="FF000000"/>
      <name val="Calibri"/>
      <family val="2"/>
    </font>
    <font>
      <sz val="14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0" fillId="0" borderId="0"/>
  </cellStyleXfs>
  <cellXfs count="275">
    <xf numFmtId="0" fontId="0" fillId="0" borderId="0" xfId="0"/>
    <xf numFmtId="41" fontId="0" fillId="0" borderId="0" xfId="0" applyNumberFormat="1" applyAlignment="1">
      <alignment horizontal="center"/>
    </xf>
    <xf numFmtId="41" fontId="0" fillId="0" borderId="0" xfId="0" applyNumberFormat="1" applyAlignment="1">
      <alignment horizontal="left"/>
    </xf>
    <xf numFmtId="41" fontId="0" fillId="0" borderId="5" xfId="0" applyNumberFormat="1" applyBorder="1" applyAlignment="1">
      <alignment horizontal="center" wrapText="1"/>
    </xf>
    <xf numFmtId="41" fontId="0" fillId="0" borderId="5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wrapText="1"/>
    </xf>
    <xf numFmtId="41" fontId="0" fillId="0" borderId="2" xfId="0" applyNumberFormat="1" applyBorder="1" applyAlignment="1">
      <alignment horizontal="center" wrapText="1"/>
    </xf>
    <xf numFmtId="41" fontId="0" fillId="0" borderId="6" xfId="0" applyNumberFormat="1" applyBorder="1" applyAlignment="1">
      <alignment horizontal="center" wrapText="1"/>
    </xf>
    <xf numFmtId="49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49" fontId="0" fillId="0" borderId="5" xfId="0" applyNumberFormat="1" applyBorder="1" applyAlignment="1">
      <alignment horizontal="center" vertical="center" wrapText="1"/>
    </xf>
    <xf numFmtId="41" fontId="7" fillId="0" borderId="5" xfId="0" applyNumberFormat="1" applyFont="1" applyBorder="1" applyAlignment="1">
      <alignment horizontal="center" wrapText="1"/>
    </xf>
    <xf numFmtId="41" fontId="2" fillId="0" borderId="5" xfId="0" applyNumberFormat="1" applyFont="1" applyBorder="1" applyAlignment="1">
      <alignment horizontal="center" wrapText="1"/>
    </xf>
    <xf numFmtId="41" fontId="8" fillId="2" borderId="5" xfId="0" applyNumberFormat="1" applyFont="1" applyFill="1" applyBorder="1" applyAlignment="1">
      <alignment horizontal="center" wrapText="1"/>
    </xf>
    <xf numFmtId="41" fontId="8" fillId="0" borderId="5" xfId="0" applyNumberFormat="1" applyFont="1" applyBorder="1" applyAlignment="1">
      <alignment horizontal="center" wrapText="1"/>
    </xf>
    <xf numFmtId="41" fontId="3" fillId="0" borderId="5" xfId="1" applyNumberFormat="1" applyFill="1" applyBorder="1" applyAlignment="1" applyProtection="1">
      <alignment horizontal="center" wrapText="1"/>
    </xf>
    <xf numFmtId="41" fontId="9" fillId="0" borderId="5" xfId="0" applyNumberFormat="1" applyFont="1" applyBorder="1" applyAlignment="1">
      <alignment horizontal="center" wrapText="1"/>
    </xf>
    <xf numFmtId="41" fontId="0" fillId="0" borderId="0" xfId="0" applyNumberFormat="1" applyAlignment="1">
      <alignment horizontal="left" wrapText="1"/>
    </xf>
    <xf numFmtId="41" fontId="0" fillId="0" borderId="0" xfId="0" applyNumberFormat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1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11" fillId="0" borderId="5" xfId="2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41" fontId="0" fillId="0" borderId="5" xfId="0" applyNumberFormat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top"/>
    </xf>
    <xf numFmtId="41" fontId="9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41" fontId="9" fillId="3" borderId="5" xfId="0" applyNumberFormat="1" applyFon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1" fontId="12" fillId="0" borderId="5" xfId="0" applyNumberFormat="1" applyFont="1" applyBorder="1" applyAlignment="1">
      <alignment horizontal="center"/>
    </xf>
    <xf numFmtId="41" fontId="13" fillId="0" borderId="5" xfId="0" applyNumberFormat="1" applyFont="1" applyBorder="1" applyAlignment="1">
      <alignment horizontal="center"/>
    </xf>
    <xf numFmtId="41" fontId="9" fillId="2" borderId="5" xfId="0" applyNumberFormat="1" applyFont="1" applyFill="1" applyBorder="1" applyAlignment="1">
      <alignment horizontal="center" wrapText="1"/>
    </xf>
    <xf numFmtId="165" fontId="9" fillId="2" borderId="5" xfId="0" applyNumberFormat="1" applyFont="1" applyFill="1" applyBorder="1" applyAlignment="1">
      <alignment horizontal="center"/>
    </xf>
    <xf numFmtId="41" fontId="9" fillId="2" borderId="5" xfId="0" applyNumberFormat="1" applyFon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41" fontId="0" fillId="2" borderId="5" xfId="0" applyNumberFormat="1" applyFill="1" applyBorder="1" applyAlignment="1">
      <alignment horizontal="center"/>
    </xf>
    <xf numFmtId="41" fontId="0" fillId="0" borderId="7" xfId="0" applyNumberFormat="1" applyBorder="1" applyAlignment="1">
      <alignment horizontal="center"/>
    </xf>
    <xf numFmtId="41" fontId="9" fillId="0" borderId="5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41" fontId="9" fillId="0" borderId="0" xfId="0" applyNumberFormat="1" applyFont="1" applyAlignment="1">
      <alignment horizontal="center"/>
    </xf>
    <xf numFmtId="0" fontId="14" fillId="0" borderId="5" xfId="2" applyFont="1" applyBorder="1" applyAlignment="1">
      <alignment horizontal="center" vertical="center"/>
    </xf>
    <xf numFmtId="41" fontId="2" fillId="0" borderId="5" xfId="0" applyNumberFormat="1" applyFont="1" applyBorder="1" applyAlignment="1">
      <alignment horizontal="center"/>
    </xf>
    <xf numFmtId="41" fontId="14" fillId="0" borderId="5" xfId="2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/>
    </xf>
    <xf numFmtId="41" fontId="10" fillId="0" borderId="5" xfId="0" applyNumberFormat="1" applyFont="1" applyBorder="1" applyAlignment="1">
      <alignment horizontal="center"/>
    </xf>
    <xf numFmtId="0" fontId="16" fillId="0" borderId="0" xfId="0" applyFont="1"/>
    <xf numFmtId="41" fontId="17" fillId="0" borderId="5" xfId="2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/>
    </xf>
    <xf numFmtId="41" fontId="0" fillId="3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1" fontId="9" fillId="4" borderId="5" xfId="0" applyNumberFormat="1" applyFont="1" applyFill="1" applyBorder="1" applyAlignment="1">
      <alignment horizontal="center"/>
    </xf>
    <xf numFmtId="41" fontId="0" fillId="5" borderId="5" xfId="0" applyNumberFormat="1" applyFill="1" applyBorder="1" applyAlignment="1">
      <alignment horizontal="center"/>
    </xf>
    <xf numFmtId="41" fontId="18" fillId="0" borderId="0" xfId="0" applyNumberFormat="1" applyFont="1" applyAlignment="1">
      <alignment horizontal="center"/>
    </xf>
    <xf numFmtId="41" fontId="19" fillId="0" borderId="5" xfId="0" applyNumberFormat="1" applyFont="1" applyBorder="1" applyAlignment="1">
      <alignment horizontal="center"/>
    </xf>
    <xf numFmtId="49" fontId="9" fillId="6" borderId="5" xfId="0" applyNumberFormat="1" applyFont="1" applyFill="1" applyBorder="1" applyAlignment="1">
      <alignment horizontal="center"/>
    </xf>
    <xf numFmtId="41" fontId="0" fillId="6" borderId="5" xfId="0" applyNumberForma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41" fontId="9" fillId="6" borderId="5" xfId="0" applyNumberFormat="1" applyFont="1" applyFill="1" applyBorder="1" applyAlignment="1">
      <alignment horizontal="center" wrapText="1"/>
    </xf>
    <xf numFmtId="165" fontId="9" fillId="6" borderId="5" xfId="0" applyNumberFormat="1" applyFont="1" applyFill="1" applyBorder="1" applyAlignment="1">
      <alignment horizontal="center"/>
    </xf>
    <xf numFmtId="41" fontId="9" fillId="6" borderId="5" xfId="0" applyNumberFormat="1" applyFont="1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14" fontId="18" fillId="0" borderId="5" xfId="0" applyNumberFormat="1" applyFont="1" applyBorder="1"/>
    <xf numFmtId="166" fontId="9" fillId="6" borderId="5" xfId="0" applyNumberFormat="1" applyFont="1" applyFill="1" applyBorder="1" applyAlignment="1">
      <alignment horizontal="center"/>
    </xf>
    <xf numFmtId="41" fontId="18" fillId="0" borderId="0" xfId="0" applyNumberFormat="1" applyFont="1"/>
    <xf numFmtId="14" fontId="18" fillId="0" borderId="0" xfId="0" applyNumberFormat="1" applyFont="1"/>
    <xf numFmtId="0" fontId="20" fillId="0" borderId="1" xfId="0" applyFont="1" applyBorder="1" applyAlignment="1">
      <alignment vertical="center"/>
    </xf>
    <xf numFmtId="0" fontId="20" fillId="0" borderId="5" xfId="0" applyFont="1" applyBorder="1" applyAlignment="1">
      <alignment vertical="top"/>
    </xf>
    <xf numFmtId="0" fontId="21" fillId="7" borderId="0" xfId="0" applyFont="1" applyFill="1" applyAlignment="1">
      <alignment vertical="center" wrapText="1"/>
    </xf>
    <xf numFmtId="167" fontId="0" fillId="0" borderId="5" xfId="0" applyNumberFormat="1" applyBorder="1" applyAlignment="1">
      <alignment horizontal="center"/>
    </xf>
    <xf numFmtId="41" fontId="9" fillId="3" borderId="5" xfId="0" applyNumberFormat="1" applyFont="1" applyFill="1" applyBorder="1" applyAlignment="1">
      <alignment horizontal="center" wrapText="1"/>
    </xf>
    <xf numFmtId="41" fontId="9" fillId="8" borderId="5" xfId="0" applyNumberFormat="1" applyFont="1" applyFill="1" applyBorder="1" applyAlignment="1">
      <alignment horizontal="center" wrapText="1"/>
    </xf>
    <xf numFmtId="166" fontId="0" fillId="8" borderId="5" xfId="0" applyNumberFormat="1" applyFill="1" applyBorder="1" applyAlignment="1">
      <alignment horizontal="center"/>
    </xf>
    <xf numFmtId="41" fontId="22" fillId="0" borderId="5" xfId="0" applyNumberFormat="1" applyFont="1" applyBorder="1" applyAlignment="1">
      <alignment horizontal="center"/>
    </xf>
    <xf numFmtId="166" fontId="0" fillId="9" borderId="5" xfId="0" applyNumberFormat="1" applyFill="1" applyBorder="1" applyAlignment="1">
      <alignment horizontal="center"/>
    </xf>
    <xf numFmtId="41" fontId="18" fillId="0" borderId="5" xfId="0" applyNumberFormat="1" applyFont="1" applyBorder="1" applyAlignment="1">
      <alignment horizontal="center"/>
    </xf>
    <xf numFmtId="0" fontId="0" fillId="0" borderId="5" xfId="0" applyBorder="1"/>
    <xf numFmtId="165" fontId="9" fillId="8" borderId="5" xfId="0" applyNumberFormat="1" applyFont="1" applyFill="1" applyBorder="1" applyAlignment="1">
      <alignment horizontal="center" wrapText="1"/>
    </xf>
    <xf numFmtId="41" fontId="9" fillId="10" borderId="5" xfId="0" applyNumberFormat="1" applyFont="1" applyFill="1" applyBorder="1" applyAlignment="1">
      <alignment horizontal="center" wrapText="1"/>
    </xf>
    <xf numFmtId="165" fontId="9" fillId="10" borderId="5" xfId="0" applyNumberFormat="1" applyFont="1" applyFill="1" applyBorder="1" applyAlignment="1">
      <alignment horizontal="center"/>
    </xf>
    <xf numFmtId="41" fontId="9" fillId="10" borderId="5" xfId="0" applyNumberFormat="1" applyFont="1" applyFill="1" applyBorder="1" applyAlignment="1">
      <alignment horizontal="center"/>
    </xf>
    <xf numFmtId="166" fontId="0" fillId="10" borderId="5" xfId="0" applyNumberFormat="1" applyFill="1" applyBorder="1" applyAlignment="1">
      <alignment horizontal="center"/>
    </xf>
    <xf numFmtId="41" fontId="0" fillId="10" borderId="5" xfId="0" applyNumberFormat="1" applyFill="1" applyBorder="1" applyAlignment="1">
      <alignment horizontal="center"/>
    </xf>
    <xf numFmtId="0" fontId="0" fillId="0" borderId="6" xfId="0" applyBorder="1"/>
    <xf numFmtId="165" fontId="9" fillId="10" borderId="5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41" fontId="23" fillId="0" borderId="7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0" fillId="7" borderId="0" xfId="0" applyNumberFormat="1" applyFill="1" applyAlignment="1">
      <alignment horizontal="center"/>
    </xf>
    <xf numFmtId="41" fontId="24" fillId="0" borderId="0" xfId="0" applyNumberFormat="1" applyFont="1" applyAlignment="1">
      <alignment horizontal="center"/>
    </xf>
    <xf numFmtId="41" fontId="25" fillId="0" borderId="0" xfId="0" applyNumberFormat="1" applyFont="1" applyAlignment="1">
      <alignment horizontal="center"/>
    </xf>
    <xf numFmtId="41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/>
    </xf>
    <xf numFmtId="4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41" fontId="26" fillId="0" borderId="0" xfId="0" applyNumberFormat="1" applyFont="1" applyAlignment="1">
      <alignment horizontal="center"/>
    </xf>
    <xf numFmtId="41" fontId="27" fillId="0" borderId="0" xfId="0" applyNumberFormat="1" applyFont="1" applyAlignment="1">
      <alignment horizontal="center"/>
    </xf>
    <xf numFmtId="41" fontId="25" fillId="0" borderId="0" xfId="0" applyNumberFormat="1" applyFont="1" applyAlignment="1">
      <alignment horizontal="left"/>
    </xf>
    <xf numFmtId="0" fontId="26" fillId="0" borderId="0" xfId="0" applyFont="1" applyAlignment="1">
      <alignment horizontal="center"/>
    </xf>
    <xf numFmtId="13" fontId="25" fillId="0" borderId="0" xfId="0" applyNumberFormat="1" applyFont="1" applyAlignment="1">
      <alignment horizontal="center"/>
    </xf>
    <xf numFmtId="12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41" fontId="25" fillId="0" borderId="5" xfId="0" applyNumberFormat="1" applyFont="1" applyBorder="1" applyAlignment="1">
      <alignment horizontal="center"/>
    </xf>
    <xf numFmtId="41" fontId="28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41" fontId="12" fillId="0" borderId="0" xfId="0" applyNumberFormat="1" applyFont="1" applyAlignment="1">
      <alignment horizontal="center"/>
    </xf>
    <xf numFmtId="14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/>
    </xf>
    <xf numFmtId="1" fontId="25" fillId="0" borderId="5" xfId="0" applyNumberFormat="1" applyFont="1" applyBorder="1" applyAlignment="1">
      <alignment horizontal="center"/>
    </xf>
    <xf numFmtId="1" fontId="30" fillId="0" borderId="0" xfId="0" applyNumberFormat="1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6" xfId="0" applyFont="1" applyBorder="1" applyAlignment="1">
      <alignment horizontal="center" wrapText="1"/>
    </xf>
    <xf numFmtId="0" fontId="31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 wrapText="1"/>
    </xf>
    <xf numFmtId="41" fontId="28" fillId="0" borderId="5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" fontId="27" fillId="0" borderId="8" xfId="0" applyNumberFormat="1" applyFont="1" applyBorder="1" applyAlignment="1">
      <alignment horizontal="center"/>
    </xf>
    <xf numFmtId="1" fontId="32" fillId="0" borderId="8" xfId="0" applyNumberFormat="1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14" fontId="32" fillId="0" borderId="8" xfId="0" applyNumberFormat="1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5" fontId="31" fillId="0" borderId="8" xfId="0" applyNumberFormat="1" applyFont="1" applyBorder="1" applyAlignment="1">
      <alignment horizontal="center" wrapText="1"/>
    </xf>
    <xf numFmtId="14" fontId="26" fillId="0" borderId="0" xfId="0" applyNumberFormat="1" applyFont="1" applyAlignment="1">
      <alignment horizontal="center"/>
    </xf>
    <xf numFmtId="15" fontId="32" fillId="0" borderId="8" xfId="0" applyNumberFormat="1" applyFont="1" applyBorder="1" applyAlignment="1">
      <alignment horizontal="center" wrapText="1"/>
    </xf>
    <xf numFmtId="41" fontId="25" fillId="0" borderId="0" xfId="0" quotePrefix="1" applyNumberFormat="1" applyFont="1" applyAlignment="1">
      <alignment horizontal="center"/>
    </xf>
    <xf numFmtId="15" fontId="31" fillId="0" borderId="8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15" fontId="32" fillId="0" borderId="8" xfId="0" applyNumberFormat="1" applyFont="1" applyBorder="1" applyAlignment="1">
      <alignment horizontal="center"/>
    </xf>
    <xf numFmtId="13" fontId="2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7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25" fillId="0" borderId="0" xfId="0" applyFont="1" applyAlignment="1">
      <alignment horizontal="center" vertical="top" wrapText="1"/>
    </xf>
    <xf numFmtId="0" fontId="33" fillId="0" borderId="0" xfId="0" applyFont="1" applyAlignment="1">
      <alignment horizontal="center" wrapText="1"/>
    </xf>
    <xf numFmtId="169" fontId="25" fillId="0" borderId="0" xfId="0" applyNumberFormat="1" applyFont="1" applyAlignment="1">
      <alignment horizontal="center"/>
    </xf>
    <xf numFmtId="0" fontId="38" fillId="12" borderId="15" xfId="0" applyFont="1" applyFill="1" applyBorder="1" applyAlignment="1">
      <alignment vertical="center"/>
    </xf>
    <xf numFmtId="0" fontId="38" fillId="12" borderId="19" xfId="0" applyFont="1" applyFill="1" applyBorder="1" applyAlignment="1">
      <alignment vertical="center"/>
    </xf>
    <xf numFmtId="0" fontId="38" fillId="12" borderId="19" xfId="0" applyFont="1" applyFill="1" applyBorder="1" applyAlignment="1">
      <alignment vertical="center" wrapText="1"/>
    </xf>
    <xf numFmtId="0" fontId="38" fillId="14" borderId="16" xfId="0" applyFont="1" applyFill="1" applyBorder="1" applyAlignment="1">
      <alignment horizontal="center" vertical="center" wrapText="1"/>
    </xf>
    <xf numFmtId="0" fontId="38" fillId="14" borderId="22" xfId="0" applyFont="1" applyFill="1" applyBorder="1" applyAlignment="1">
      <alignment horizontal="center" vertical="center" wrapText="1"/>
    </xf>
    <xf numFmtId="0" fontId="38" fillId="0" borderId="19" xfId="0" applyFont="1" applyBorder="1" applyAlignment="1">
      <alignment vertical="center"/>
    </xf>
    <xf numFmtId="0" fontId="43" fillId="0" borderId="24" xfId="0" applyFont="1" applyBorder="1" applyAlignment="1">
      <alignment vertical="center"/>
    </xf>
    <xf numFmtId="0" fontId="43" fillId="0" borderId="24" xfId="0" applyFont="1" applyBorder="1" applyAlignment="1">
      <alignment horizontal="right" vertical="center"/>
    </xf>
    <xf numFmtId="0" fontId="43" fillId="0" borderId="25" xfId="0" applyFont="1" applyBorder="1" applyAlignment="1">
      <alignment horizontal="right" vertical="center"/>
    </xf>
    <xf numFmtId="0" fontId="0" fillId="15" borderId="5" xfId="0" applyFill="1" applyBorder="1" applyAlignment="1">
      <alignment horizontal="center"/>
    </xf>
    <xf numFmtId="0" fontId="0" fillId="15" borderId="5" xfId="0" applyFill="1" applyBorder="1"/>
    <xf numFmtId="0" fontId="44" fillId="15" borderId="1" xfId="0" applyFont="1" applyFill="1" applyBorder="1" applyAlignment="1">
      <alignment vertical="top"/>
    </xf>
    <xf numFmtId="0" fontId="43" fillId="15" borderId="5" xfId="0" applyFont="1" applyFill="1" applyBorder="1" applyAlignment="1">
      <alignment horizontal="right" vertical="center"/>
    </xf>
    <xf numFmtId="1" fontId="0" fillId="15" borderId="7" xfId="0" applyNumberFormat="1" applyFill="1" applyBorder="1"/>
    <xf numFmtId="0" fontId="43" fillId="15" borderId="24" xfId="0" applyFont="1" applyFill="1" applyBorder="1" applyAlignment="1">
      <alignment horizontal="right" vertical="center"/>
    </xf>
    <xf numFmtId="1" fontId="0" fillId="15" borderId="26" xfId="0" applyNumberFormat="1" applyFill="1" applyBorder="1"/>
    <xf numFmtId="1" fontId="9" fillId="15" borderId="6" xfId="0" applyNumberFormat="1" applyFont="1" applyFill="1" applyBorder="1"/>
    <xf numFmtId="1" fontId="45" fillId="15" borderId="5" xfId="0" applyNumberFormat="1" applyFont="1" applyFill="1" applyBorder="1"/>
    <xf numFmtId="1" fontId="0" fillId="15" borderId="5" xfId="0" applyNumberFormat="1" applyFill="1" applyBorder="1"/>
    <xf numFmtId="1" fontId="0" fillId="0" borderId="5" xfId="0" applyNumberFormat="1" applyBorder="1"/>
    <xf numFmtId="0" fontId="0" fillId="16" borderId="5" xfId="0" applyFill="1" applyBorder="1" applyAlignment="1">
      <alignment horizontal="center"/>
    </xf>
    <xf numFmtId="0" fontId="0" fillId="16" borderId="5" xfId="0" applyFill="1" applyBorder="1"/>
    <xf numFmtId="0" fontId="44" fillId="16" borderId="1" xfId="0" applyFont="1" applyFill="1" applyBorder="1" applyAlignment="1">
      <alignment vertical="top"/>
    </xf>
    <xf numFmtId="0" fontId="43" fillId="16" borderId="5" xfId="0" applyFont="1" applyFill="1" applyBorder="1" applyAlignment="1">
      <alignment horizontal="right" vertical="center"/>
    </xf>
    <xf numFmtId="1" fontId="0" fillId="16" borderId="5" xfId="0" applyNumberFormat="1" applyFill="1" applyBorder="1"/>
    <xf numFmtId="0" fontId="43" fillId="16" borderId="24" xfId="0" applyFont="1" applyFill="1" applyBorder="1" applyAlignment="1">
      <alignment horizontal="right" vertical="center"/>
    </xf>
    <xf numFmtId="1" fontId="0" fillId="16" borderId="26" xfId="0" applyNumberFormat="1" applyFill="1" applyBorder="1"/>
    <xf numFmtId="1" fontId="9" fillId="16" borderId="6" xfId="0" applyNumberFormat="1" applyFont="1" applyFill="1" applyBorder="1"/>
    <xf numFmtId="1" fontId="45" fillId="16" borderId="5" xfId="0" applyNumberFormat="1" applyFont="1" applyFill="1" applyBorder="1"/>
    <xf numFmtId="1" fontId="46" fillId="15" borderId="5" xfId="0" applyNumberFormat="1" applyFont="1" applyFill="1" applyBorder="1"/>
    <xf numFmtId="0" fontId="0" fillId="15" borderId="5" xfId="0" applyFill="1" applyBorder="1" applyAlignment="1">
      <alignment horizontal="center" vertical="center"/>
    </xf>
    <xf numFmtId="0" fontId="0" fillId="15" borderId="5" xfId="0" applyFill="1" applyBorder="1" applyAlignment="1">
      <alignment vertical="center"/>
    </xf>
    <xf numFmtId="0" fontId="44" fillId="15" borderId="1" xfId="0" applyFont="1" applyFill="1" applyBorder="1" applyAlignment="1">
      <alignment vertical="center"/>
    </xf>
    <xf numFmtId="1" fontId="0" fillId="15" borderId="26" xfId="0" applyNumberFormat="1" applyFill="1" applyBorder="1" applyAlignment="1">
      <alignment vertical="center"/>
    </xf>
    <xf numFmtId="1" fontId="9" fillId="15" borderId="6" xfId="0" applyNumberFormat="1" applyFont="1" applyFill="1" applyBorder="1" applyAlignment="1">
      <alignment vertical="center"/>
    </xf>
    <xf numFmtId="1" fontId="45" fillId="15" borderId="5" xfId="0" applyNumberFormat="1" applyFont="1" applyFill="1" applyBorder="1" applyAlignment="1">
      <alignment vertical="center"/>
    </xf>
    <xf numFmtId="0" fontId="0" fillId="0" borderId="27" xfId="0" applyBorder="1"/>
    <xf numFmtId="1" fontId="46" fillId="15" borderId="5" xfId="0" applyNumberFormat="1" applyFont="1" applyFill="1" applyBorder="1" applyAlignment="1">
      <alignment vertical="center"/>
    </xf>
    <xf numFmtId="0" fontId="38" fillId="11" borderId="19" xfId="0" applyFont="1" applyFill="1" applyBorder="1" applyAlignment="1">
      <alignment vertical="center"/>
    </xf>
    <xf numFmtId="0" fontId="38" fillId="11" borderId="19" xfId="0" applyFont="1" applyFill="1" applyBorder="1" applyAlignment="1">
      <alignment horizontal="right" vertical="center"/>
    </xf>
    <xf numFmtId="0" fontId="38" fillId="11" borderId="28" xfId="0" applyFont="1" applyFill="1" applyBorder="1" applyAlignment="1">
      <alignment horizontal="right" vertical="center"/>
    </xf>
    <xf numFmtId="0" fontId="23" fillId="0" borderId="22" xfId="0" applyFont="1" applyBorder="1"/>
    <xf numFmtId="0" fontId="43" fillId="15" borderId="1" xfId="0" applyFont="1" applyFill="1" applyBorder="1" applyAlignment="1">
      <alignment vertical="center"/>
    </xf>
    <xf numFmtId="1" fontId="0" fillId="15" borderId="5" xfId="0" applyNumberFormat="1" applyFill="1" applyBorder="1" applyAlignment="1">
      <alignment vertical="center"/>
    </xf>
    <xf numFmtId="0" fontId="47" fillId="0" borderId="0" xfId="0" applyFont="1"/>
    <xf numFmtId="0" fontId="0" fillId="15" borderId="27" xfId="0" applyFill="1" applyBorder="1"/>
    <xf numFmtId="0" fontId="43" fillId="15" borderId="1" xfId="0" applyFont="1" applyFill="1" applyBorder="1" applyAlignment="1">
      <alignment vertical="top"/>
    </xf>
    <xf numFmtId="0" fontId="0" fillId="15" borderId="27" xfId="0" applyFill="1" applyBorder="1" applyAlignment="1">
      <alignment horizontal="center" vertical="center"/>
    </xf>
    <xf numFmtId="0" fontId="0" fillId="15" borderId="27" xfId="0" applyFill="1" applyBorder="1" applyAlignment="1">
      <alignment vertical="center"/>
    </xf>
    <xf numFmtId="0" fontId="43" fillId="15" borderId="25" xfId="0" applyFont="1" applyFill="1" applyBorder="1" applyAlignment="1">
      <alignment vertical="top"/>
    </xf>
    <xf numFmtId="1" fontId="23" fillId="0" borderId="20" xfId="0" applyNumberFormat="1" applyFont="1" applyBorder="1"/>
    <xf numFmtId="0" fontId="0" fillId="16" borderId="27" xfId="0" applyFill="1" applyBorder="1" applyAlignment="1">
      <alignment horizontal="center" vertical="center"/>
    </xf>
    <xf numFmtId="0" fontId="0" fillId="16" borderId="27" xfId="0" applyFill="1" applyBorder="1" applyAlignment="1">
      <alignment horizontal="left" vertical="center"/>
    </xf>
    <xf numFmtId="0" fontId="43" fillId="16" borderId="25" xfId="0" applyFont="1" applyFill="1" applyBorder="1" applyAlignment="1">
      <alignment horizontal="center" vertical="center"/>
    </xf>
    <xf numFmtId="1" fontId="0" fillId="16" borderId="5" xfId="0" applyNumberFormat="1" applyFill="1" applyBorder="1" applyAlignment="1">
      <alignment horizontal="right" vertical="center"/>
    </xf>
    <xf numFmtId="1" fontId="0" fillId="16" borderId="26" xfId="0" applyNumberFormat="1" applyFill="1" applyBorder="1" applyAlignment="1">
      <alignment vertical="center"/>
    </xf>
    <xf numFmtId="1" fontId="9" fillId="16" borderId="6" xfId="0" applyNumberFormat="1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1" fontId="46" fillId="16" borderId="5" xfId="0" applyNumberFormat="1" applyFont="1" applyFill="1" applyBorder="1" applyAlignment="1">
      <alignment horizontal="center" vertical="center"/>
    </xf>
    <xf numFmtId="0" fontId="0" fillId="16" borderId="27" xfId="0" applyFill="1" applyBorder="1" applyAlignment="1">
      <alignment vertical="center"/>
    </xf>
    <xf numFmtId="0" fontId="43" fillId="16" borderId="25" xfId="0" applyFont="1" applyFill="1" applyBorder="1" applyAlignment="1">
      <alignment vertical="top"/>
    </xf>
    <xf numFmtId="1" fontId="0" fillId="16" borderId="5" xfId="0" applyNumberFormat="1" applyFill="1" applyBorder="1" applyAlignment="1">
      <alignment vertical="center"/>
    </xf>
    <xf numFmtId="1" fontId="9" fillId="16" borderId="6" xfId="0" applyNumberFormat="1" applyFont="1" applyFill="1" applyBorder="1" applyAlignment="1">
      <alignment vertical="center"/>
    </xf>
    <xf numFmtId="1" fontId="45" fillId="16" borderId="5" xfId="0" applyNumberFormat="1" applyFont="1" applyFill="1" applyBorder="1" applyAlignment="1">
      <alignment vertical="center"/>
    </xf>
    <xf numFmtId="0" fontId="43" fillId="16" borderId="3" xfId="0" applyFont="1" applyFill="1" applyBorder="1" applyAlignment="1">
      <alignment vertical="center"/>
    </xf>
    <xf numFmtId="1" fontId="0" fillId="16" borderId="6" xfId="0" applyNumberFormat="1" applyFill="1" applyBorder="1" applyAlignment="1">
      <alignment vertical="center"/>
    </xf>
    <xf numFmtId="1" fontId="0" fillId="16" borderId="5" xfId="0" applyNumberFormat="1" applyFill="1" applyBorder="1" applyAlignment="1">
      <alignment horizontal="center" vertical="center"/>
    </xf>
    <xf numFmtId="0" fontId="43" fillId="16" borderId="1" xfId="0" applyFont="1" applyFill="1" applyBorder="1" applyAlignment="1">
      <alignment vertical="center"/>
    </xf>
    <xf numFmtId="1" fontId="0" fillId="16" borderId="26" xfId="0" applyNumberFormat="1" applyFill="1" applyBorder="1" applyAlignment="1">
      <alignment horizontal="right" vertical="center"/>
    </xf>
    <xf numFmtId="1" fontId="0" fillId="16" borderId="6" xfId="0" applyNumberFormat="1" applyFill="1" applyBorder="1" applyAlignment="1">
      <alignment horizontal="center" vertical="center"/>
    </xf>
    <xf numFmtId="1" fontId="46" fillId="16" borderId="5" xfId="0" applyNumberFormat="1" applyFont="1" applyFill="1" applyBorder="1" applyAlignment="1">
      <alignment vertical="center"/>
    </xf>
    <xf numFmtId="0" fontId="43" fillId="16" borderId="1" xfId="0" applyFont="1" applyFill="1" applyBorder="1" applyAlignment="1">
      <alignment vertical="top"/>
    </xf>
    <xf numFmtId="0" fontId="0" fillId="16" borderId="27" xfId="0" applyFill="1" applyBorder="1" applyAlignment="1">
      <alignment horizontal="center"/>
    </xf>
    <xf numFmtId="0" fontId="0" fillId="16" borderId="27" xfId="0" applyFill="1" applyBorder="1"/>
    <xf numFmtId="0" fontId="43" fillId="16" borderId="3" xfId="0" applyFont="1" applyFill="1" applyBorder="1" applyAlignment="1">
      <alignment vertical="top"/>
    </xf>
    <xf numFmtId="1" fontId="0" fillId="16" borderId="31" xfId="0" applyNumberFormat="1" applyFill="1" applyBorder="1"/>
    <xf numFmtId="1" fontId="45" fillId="16" borderId="27" xfId="0" applyNumberFormat="1" applyFont="1" applyFill="1" applyBorder="1"/>
    <xf numFmtId="1" fontId="0" fillId="16" borderId="32" xfId="0" applyNumberFormat="1" applyFill="1" applyBorder="1"/>
    <xf numFmtId="1" fontId="23" fillId="0" borderId="21" xfId="0" applyNumberFormat="1" applyFont="1" applyBorder="1"/>
    <xf numFmtId="1" fontId="23" fillId="0" borderId="14" xfId="0" applyNumberFormat="1" applyFont="1" applyBorder="1"/>
    <xf numFmtId="1" fontId="42" fillId="0" borderId="20" xfId="0" applyNumberFormat="1" applyFont="1" applyBorder="1"/>
    <xf numFmtId="0" fontId="25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41" fontId="4" fillId="0" borderId="1" xfId="0" applyNumberFormat="1" applyFont="1" applyBorder="1" applyAlignment="1">
      <alignment horizontal="center"/>
    </xf>
    <xf numFmtId="41" fontId="4" fillId="0" borderId="2" xfId="0" applyNumberFormat="1" applyFont="1" applyBorder="1" applyAlignment="1">
      <alignment horizontal="center"/>
    </xf>
    <xf numFmtId="41" fontId="5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1" fontId="6" fillId="0" borderId="2" xfId="0" applyNumberFormat="1" applyFont="1" applyBorder="1" applyAlignment="1">
      <alignment horizontal="center"/>
    </xf>
    <xf numFmtId="41" fontId="4" fillId="0" borderId="3" xfId="0" applyNumberFormat="1" applyFont="1" applyBorder="1" applyAlignment="1">
      <alignment horizontal="center"/>
    </xf>
    <xf numFmtId="41" fontId="4" fillId="0" borderId="4" xfId="0" applyNumberFormat="1" applyFont="1" applyBorder="1" applyAlignment="1">
      <alignment horizontal="center"/>
    </xf>
    <xf numFmtId="41" fontId="5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1" fontId="6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9" fillId="0" borderId="0" xfId="0" applyFont="1" applyAlignment="1">
      <alignment horizontal="center"/>
    </xf>
    <xf numFmtId="0" fontId="38" fillId="11" borderId="28" xfId="0" applyFont="1" applyFill="1" applyBorder="1" applyAlignment="1">
      <alignment horizontal="center" vertical="center"/>
    </xf>
    <xf numFmtId="0" fontId="38" fillId="11" borderId="29" xfId="0" applyFont="1" applyFill="1" applyBorder="1" applyAlignment="1">
      <alignment horizontal="center" vertical="center"/>
    </xf>
    <xf numFmtId="0" fontId="38" fillId="11" borderId="30" xfId="0" applyFont="1" applyFill="1" applyBorder="1" applyAlignment="1">
      <alignment horizontal="center" vertical="center"/>
    </xf>
    <xf numFmtId="0" fontId="38" fillId="11" borderId="9" xfId="0" applyFont="1" applyFill="1" applyBorder="1" applyAlignment="1">
      <alignment horizontal="center" vertical="center"/>
    </xf>
    <xf numFmtId="0" fontId="38" fillId="11" borderId="10" xfId="0" applyFont="1" applyFill="1" applyBorder="1" applyAlignment="1">
      <alignment horizontal="center" vertical="center"/>
    </xf>
    <xf numFmtId="0" fontId="38" fillId="11" borderId="11" xfId="0" applyFont="1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0" fontId="39" fillId="3" borderId="13" xfId="0" applyFont="1" applyFill="1" applyBorder="1" applyAlignment="1">
      <alignment horizontal="center" vertical="center"/>
    </xf>
    <xf numFmtId="0" fontId="39" fillId="3" borderId="14" xfId="0" applyFont="1" applyFill="1" applyBorder="1" applyAlignment="1">
      <alignment horizontal="center" vertical="center"/>
    </xf>
    <xf numFmtId="0" fontId="38" fillId="12" borderId="16" xfId="0" applyFont="1" applyFill="1" applyBorder="1" applyAlignment="1">
      <alignment horizontal="center" vertical="center"/>
    </xf>
    <xf numFmtId="0" fontId="38" fillId="12" borderId="20" xfId="0" applyFont="1" applyFill="1" applyBorder="1" applyAlignment="1">
      <alignment horizontal="center" vertical="center"/>
    </xf>
    <xf numFmtId="0" fontId="38" fillId="12" borderId="16" xfId="0" applyFont="1" applyFill="1" applyBorder="1" applyAlignment="1">
      <alignment horizontal="center" vertical="center" wrapText="1"/>
    </xf>
    <xf numFmtId="0" fontId="38" fillId="12" borderId="20" xfId="0" applyFont="1" applyFill="1" applyBorder="1" applyAlignment="1">
      <alignment horizontal="center" vertical="center" wrapText="1"/>
    </xf>
    <xf numFmtId="0" fontId="38" fillId="12" borderId="17" xfId="0" applyFont="1" applyFill="1" applyBorder="1" applyAlignment="1">
      <alignment horizontal="center" vertical="center"/>
    </xf>
    <xf numFmtId="0" fontId="38" fillId="12" borderId="21" xfId="0" applyFont="1" applyFill="1" applyBorder="1" applyAlignment="1">
      <alignment horizontal="center" vertical="center"/>
    </xf>
    <xf numFmtId="0" fontId="40" fillId="13" borderId="12" xfId="0" applyFont="1" applyFill="1" applyBorder="1" applyAlignment="1">
      <alignment horizontal="center" vertical="center" wrapText="1"/>
    </xf>
    <xf numFmtId="0" fontId="40" fillId="13" borderId="13" xfId="0" applyFont="1" applyFill="1" applyBorder="1" applyAlignment="1">
      <alignment horizontal="center" vertical="center" wrapText="1"/>
    </xf>
    <xf numFmtId="0" fontId="41" fillId="14" borderId="12" xfId="0" applyFont="1" applyFill="1" applyBorder="1" applyAlignment="1">
      <alignment horizontal="center" vertical="center" wrapText="1"/>
    </xf>
    <xf numFmtId="0" fontId="41" fillId="14" borderId="13" xfId="0" applyFont="1" applyFill="1" applyBorder="1" applyAlignment="1">
      <alignment horizontal="center" vertical="center" wrapText="1"/>
    </xf>
    <xf numFmtId="0" fontId="41" fillId="14" borderId="14" xfId="0" applyFont="1" applyFill="1" applyBorder="1" applyAlignment="1">
      <alignment horizontal="center" vertical="center" wrapText="1"/>
    </xf>
    <xf numFmtId="0" fontId="38" fillId="14" borderId="18" xfId="0" applyFont="1" applyFill="1" applyBorder="1" applyAlignment="1">
      <alignment horizontal="center" vertical="center" wrapText="1"/>
    </xf>
    <xf numFmtId="0" fontId="38" fillId="14" borderId="23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25D0F0C4-67DA-4534-A01E-35A3C7BF306B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y%20Sharing%20Folder\1.DIPALI%20ASSOCIATES%20&amp;%20CO\1.0%20Cement%20Register%20(%20Sajal)\01.%20FY25-26\14.CEMENT%20REGISTER%20FEB-26.xlsx" TargetMode="External"/><Relationship Id="rId1" Type="http://schemas.openxmlformats.org/officeDocument/2006/relationships/externalLinkPath" Target="file:///E:\My%20Sharing%20Folder\1.DIPALI%20ASSOCIATES%20&amp;%20CO\1.0%20Cement%20Register%20(%20Sajal)\01.%20FY25-26\14.CEMENT%20REGISTER%20FEB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-26"/>
      <sheetName val="Account Details"/>
      <sheetName val="PARTY PAYMENT"/>
      <sheetName val="PL"/>
      <sheetName val="EXP DETAILS"/>
      <sheetName val="Sheet2"/>
      <sheetName val="JAN'26 BANK EXP  %"/>
      <sheetName val="SAS-01.02 - 10.02"/>
      <sheetName val="SAS-11.02 - 20.02.26"/>
      <sheetName val="SAS-21.02 -28.02"/>
      <sheetName val="Sheet3"/>
      <sheetName val="Sheet1"/>
      <sheetName val="loan "/>
    </sheetNames>
    <sheetDataSet>
      <sheetData sheetId="0">
        <row r="539">
          <cell r="AB539">
            <v>4140</v>
          </cell>
        </row>
      </sheetData>
      <sheetData sheetId="1"/>
      <sheetData sheetId="2">
        <row r="4">
          <cell r="AG4">
            <v>-160162.83408500027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DS@1%25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F086-7316-4B5F-88DE-3A3BD4F6524E}">
  <dimension ref="A1:T98"/>
  <sheetViews>
    <sheetView workbookViewId="0">
      <selection activeCell="C502" sqref="C502"/>
    </sheetView>
  </sheetViews>
  <sheetFormatPr defaultRowHeight="14.4" x14ac:dyDescent="0.3"/>
  <cols>
    <col min="1" max="1" width="31.44140625" bestFit="1" customWidth="1"/>
    <col min="2" max="2" width="14.44140625" customWidth="1"/>
    <col min="3" max="3" width="15.6640625" bestFit="1" customWidth="1"/>
    <col min="5" max="5" width="9" bestFit="1" customWidth="1"/>
    <col min="6" max="6" width="8.88671875" bestFit="1" customWidth="1"/>
    <col min="7" max="7" width="9.88671875" bestFit="1" customWidth="1"/>
    <col min="10" max="10" width="23.6640625" bestFit="1" customWidth="1"/>
    <col min="11" max="11" width="13.5546875" bestFit="1" customWidth="1"/>
    <col min="16" max="16" width="10.6640625" customWidth="1"/>
  </cols>
  <sheetData>
    <row r="1" spans="1:20" ht="16.2" thickBot="1" x14ac:dyDescent="0.35">
      <c r="A1" s="252" t="s">
        <v>2612</v>
      </c>
      <c r="B1" s="253"/>
      <c r="C1" s="253"/>
      <c r="D1" s="253"/>
      <c r="E1" s="253"/>
      <c r="F1" s="254"/>
      <c r="I1" s="255" t="s">
        <v>2613</v>
      </c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7"/>
    </row>
    <row r="2" spans="1:20" ht="34.200000000000003" thickBot="1" x14ac:dyDescent="0.35">
      <c r="A2" s="152"/>
      <c r="B2" s="152"/>
      <c r="C2" s="152" t="s">
        <v>2614</v>
      </c>
      <c r="D2" s="152"/>
      <c r="E2" s="152"/>
      <c r="F2" s="152"/>
      <c r="I2" s="258" t="s">
        <v>2615</v>
      </c>
      <c r="J2" s="260" t="s">
        <v>2616</v>
      </c>
      <c r="K2" s="262" t="s">
        <v>2617</v>
      </c>
      <c r="L2" s="264" t="s">
        <v>87</v>
      </c>
      <c r="M2" s="265"/>
      <c r="N2" s="265"/>
      <c r="O2" s="266" t="s">
        <v>68</v>
      </c>
      <c r="P2" s="267"/>
      <c r="Q2" s="268"/>
      <c r="R2" s="269" t="s">
        <v>2618</v>
      </c>
      <c r="S2" s="271" t="s">
        <v>59</v>
      </c>
      <c r="T2" s="273" t="s">
        <v>2619</v>
      </c>
    </row>
    <row r="3" spans="1:20" ht="63" thickBot="1" x14ac:dyDescent="0.35">
      <c r="A3" s="153" t="s">
        <v>2620</v>
      </c>
      <c r="B3" s="153" t="s">
        <v>2617</v>
      </c>
      <c r="C3" s="154" t="s">
        <v>2621</v>
      </c>
      <c r="D3" s="154" t="s">
        <v>2622</v>
      </c>
      <c r="E3" s="154" t="s">
        <v>2623</v>
      </c>
      <c r="F3" s="154" t="s">
        <v>2624</v>
      </c>
      <c r="I3" s="259"/>
      <c r="J3" s="261"/>
      <c r="K3" s="263"/>
      <c r="L3" s="155" t="s">
        <v>2621</v>
      </c>
      <c r="M3" s="155" t="s">
        <v>2625</v>
      </c>
      <c r="N3" s="156" t="s">
        <v>2626</v>
      </c>
      <c r="O3" s="156" t="s">
        <v>2621</v>
      </c>
      <c r="P3" s="156" t="s">
        <v>2625</v>
      </c>
      <c r="Q3" s="156" t="s">
        <v>2627</v>
      </c>
      <c r="R3" s="270"/>
      <c r="S3" s="272"/>
      <c r="T3" s="274"/>
    </row>
    <row r="4" spans="1:20" ht="18" x14ac:dyDescent="0.35">
      <c r="A4" s="157" t="s">
        <v>2628</v>
      </c>
      <c r="B4" s="158" t="s">
        <v>2629</v>
      </c>
      <c r="C4" s="159">
        <v>25</v>
      </c>
      <c r="D4" s="159">
        <v>18550</v>
      </c>
      <c r="E4" s="159">
        <v>20312</v>
      </c>
      <c r="F4" s="160">
        <v>1762</v>
      </c>
      <c r="G4" s="85">
        <f>+F4</f>
        <v>1762</v>
      </c>
      <c r="I4" s="161" t="s">
        <v>2630</v>
      </c>
      <c r="J4" s="162" t="s">
        <v>138</v>
      </c>
      <c r="K4" s="163" t="s">
        <v>2629</v>
      </c>
      <c r="L4" s="164">
        <v>25</v>
      </c>
      <c r="M4" s="164">
        <v>18550</v>
      </c>
      <c r="N4" s="165">
        <f t="shared" ref="N4:N36" si="0">+M4*9.5%</f>
        <v>1762.25</v>
      </c>
      <c r="O4" s="166">
        <v>175</v>
      </c>
      <c r="P4" s="166">
        <v>177525</v>
      </c>
      <c r="Q4" s="167">
        <f t="shared" ref="Q4:Q36" si="1">+P4*9.5%</f>
        <v>16864.875</v>
      </c>
      <c r="R4" s="168">
        <f t="shared" ref="R4:R46" si="2">+N4+Q4</f>
        <v>18627.125</v>
      </c>
      <c r="S4" s="162">
        <v>0</v>
      </c>
      <c r="T4" s="169">
        <f t="shared" ref="T4:T46" si="3">+R4+S4</f>
        <v>18627.125</v>
      </c>
    </row>
    <row r="5" spans="1:20" ht="18" x14ac:dyDescent="0.35">
      <c r="A5" s="157"/>
      <c r="B5" s="158" t="s">
        <v>2631</v>
      </c>
      <c r="C5" s="159">
        <v>25</v>
      </c>
      <c r="D5" s="159">
        <v>26575</v>
      </c>
      <c r="E5" s="159">
        <v>29100</v>
      </c>
      <c r="F5" s="159">
        <v>2525</v>
      </c>
      <c r="G5" s="85">
        <f t="shared" ref="G5:G26" si="4">+F5</f>
        <v>2525</v>
      </c>
      <c r="I5" s="161" t="s">
        <v>2630</v>
      </c>
      <c r="J5" s="162" t="s">
        <v>116</v>
      </c>
      <c r="K5" s="163" t="s">
        <v>2632</v>
      </c>
      <c r="L5" s="164">
        <v>25</v>
      </c>
      <c r="M5" s="164">
        <v>20475</v>
      </c>
      <c r="N5" s="170">
        <f t="shared" si="0"/>
        <v>1945.125</v>
      </c>
      <c r="O5" s="166">
        <v>150</v>
      </c>
      <c r="P5" s="166">
        <v>130825</v>
      </c>
      <c r="Q5" s="167">
        <f t="shared" si="1"/>
        <v>12428.375</v>
      </c>
      <c r="R5" s="168">
        <f t="shared" si="2"/>
        <v>14373.5</v>
      </c>
      <c r="S5" s="162">
        <v>0</v>
      </c>
      <c r="T5" s="169">
        <f t="shared" si="3"/>
        <v>14373.5</v>
      </c>
    </row>
    <row r="6" spans="1:20" ht="18" x14ac:dyDescent="0.35">
      <c r="A6" s="157"/>
      <c r="B6" s="158" t="s">
        <v>2632</v>
      </c>
      <c r="C6" s="159">
        <v>25</v>
      </c>
      <c r="D6" s="159">
        <v>20475</v>
      </c>
      <c r="E6" s="159">
        <v>22420</v>
      </c>
      <c r="F6" s="159">
        <v>1945</v>
      </c>
      <c r="G6" s="85">
        <f t="shared" si="4"/>
        <v>1945</v>
      </c>
      <c r="I6" s="161" t="s">
        <v>2630</v>
      </c>
      <c r="J6" s="162" t="s">
        <v>565</v>
      </c>
      <c r="K6" s="163" t="s">
        <v>2633</v>
      </c>
      <c r="L6" s="164"/>
      <c r="M6" s="164"/>
      <c r="N6" s="170">
        <f t="shared" si="0"/>
        <v>0</v>
      </c>
      <c r="O6" s="166">
        <v>228</v>
      </c>
      <c r="P6" s="166">
        <v>148599</v>
      </c>
      <c r="Q6" s="167">
        <f t="shared" si="1"/>
        <v>14116.905000000001</v>
      </c>
      <c r="R6" s="168">
        <f t="shared" si="2"/>
        <v>14116.905000000001</v>
      </c>
      <c r="S6" s="170">
        <f>+F85</f>
        <v>12616</v>
      </c>
      <c r="T6" s="169">
        <f t="shared" si="3"/>
        <v>26732.904999999999</v>
      </c>
    </row>
    <row r="7" spans="1:20" ht="18" x14ac:dyDescent="0.35">
      <c r="A7" s="157"/>
      <c r="B7" s="158" t="s">
        <v>2634</v>
      </c>
      <c r="C7" s="159">
        <v>19</v>
      </c>
      <c r="D7" s="159">
        <v>15789</v>
      </c>
      <c r="E7" s="159">
        <v>17289</v>
      </c>
      <c r="F7" s="159">
        <v>1500</v>
      </c>
      <c r="G7" s="171">
        <f>+F7/100*95</f>
        <v>1425</v>
      </c>
      <c r="I7" s="161" t="s">
        <v>2630</v>
      </c>
      <c r="J7" s="162" t="s">
        <v>657</v>
      </c>
      <c r="K7" s="163" t="s">
        <v>2635</v>
      </c>
      <c r="L7" s="164"/>
      <c r="M7" s="164"/>
      <c r="N7" s="170">
        <f t="shared" si="0"/>
        <v>0</v>
      </c>
      <c r="O7" s="166">
        <v>200</v>
      </c>
      <c r="P7" s="166">
        <v>205575</v>
      </c>
      <c r="Q7" s="167">
        <f t="shared" si="1"/>
        <v>19529.625</v>
      </c>
      <c r="R7" s="168">
        <f t="shared" si="2"/>
        <v>19529.625</v>
      </c>
      <c r="S7" s="162">
        <v>0</v>
      </c>
      <c r="T7" s="169">
        <f t="shared" si="3"/>
        <v>19529.625</v>
      </c>
    </row>
    <row r="8" spans="1:20" ht="18" x14ac:dyDescent="0.35">
      <c r="A8" s="157"/>
      <c r="B8" s="158" t="s">
        <v>2636</v>
      </c>
      <c r="C8" s="159">
        <v>19</v>
      </c>
      <c r="D8" s="159">
        <v>12825</v>
      </c>
      <c r="E8" s="159">
        <v>14043</v>
      </c>
      <c r="F8" s="159">
        <v>1218</v>
      </c>
      <c r="G8" s="171">
        <f t="shared" ref="G8:G15" si="5">+F8/100*95</f>
        <v>1157.0999999999999</v>
      </c>
      <c r="I8" s="172" t="s">
        <v>2637</v>
      </c>
      <c r="J8" s="173" t="s">
        <v>292</v>
      </c>
      <c r="K8" s="174" t="s">
        <v>2638</v>
      </c>
      <c r="L8" s="175">
        <v>25</v>
      </c>
      <c r="M8" s="175">
        <v>26450</v>
      </c>
      <c r="N8" s="176">
        <f>+(M8*9.5%)/100*95</f>
        <v>2387.1125000000002</v>
      </c>
      <c r="O8" s="177">
        <v>200</v>
      </c>
      <c r="P8" s="177">
        <v>199580</v>
      </c>
      <c r="Q8" s="178">
        <f>+(P8*9.5%)/100*95</f>
        <v>18012.095000000001</v>
      </c>
      <c r="R8" s="179">
        <f t="shared" si="2"/>
        <v>20399.2075</v>
      </c>
      <c r="S8" s="173">
        <v>0</v>
      </c>
      <c r="T8" s="180">
        <f t="shared" si="3"/>
        <v>20399.2075</v>
      </c>
    </row>
    <row r="9" spans="1:20" ht="18" x14ac:dyDescent="0.35">
      <c r="A9" s="157"/>
      <c r="B9" s="158" t="s">
        <v>2638</v>
      </c>
      <c r="C9" s="159">
        <v>25</v>
      </c>
      <c r="D9" s="159">
        <v>26450</v>
      </c>
      <c r="E9" s="159">
        <v>28963</v>
      </c>
      <c r="F9" s="159">
        <v>2513</v>
      </c>
      <c r="G9" s="171">
        <f t="shared" si="5"/>
        <v>2387.35</v>
      </c>
      <c r="I9" s="172" t="s">
        <v>2637</v>
      </c>
      <c r="J9" s="173" t="s">
        <v>618</v>
      </c>
      <c r="K9" s="174" t="s">
        <v>2639</v>
      </c>
      <c r="L9" s="175">
        <v>50</v>
      </c>
      <c r="M9" s="175">
        <v>42850</v>
      </c>
      <c r="N9" s="176">
        <f t="shared" ref="N9:N13" si="6">+(M9*9.5%)/100*95</f>
        <v>3867.2125000000001</v>
      </c>
      <c r="O9" s="177">
        <v>200</v>
      </c>
      <c r="P9" s="177">
        <v>203085</v>
      </c>
      <c r="Q9" s="178">
        <f t="shared" ref="Q9:Q13" si="7">+(P9*9.5%)/100*95</f>
        <v>18328.421250000003</v>
      </c>
      <c r="R9" s="179">
        <f t="shared" si="2"/>
        <v>22195.633750000005</v>
      </c>
      <c r="S9" s="173">
        <v>0</v>
      </c>
      <c r="T9" s="180">
        <f t="shared" si="3"/>
        <v>22195.633750000005</v>
      </c>
    </row>
    <row r="10" spans="1:20" ht="18" x14ac:dyDescent="0.35">
      <c r="A10" s="157"/>
      <c r="B10" s="158" t="s">
        <v>2639</v>
      </c>
      <c r="C10" s="159">
        <v>50</v>
      </c>
      <c r="D10" s="159">
        <v>42850</v>
      </c>
      <c r="E10" s="159">
        <v>46921</v>
      </c>
      <c r="F10" s="159">
        <v>4071</v>
      </c>
      <c r="G10" s="171">
        <f t="shared" si="5"/>
        <v>3867.4500000000003</v>
      </c>
      <c r="I10" s="172" t="s">
        <v>2637</v>
      </c>
      <c r="J10" s="173" t="s">
        <v>680</v>
      </c>
      <c r="K10" s="174" t="s">
        <v>2640</v>
      </c>
      <c r="L10" s="175">
        <v>25</v>
      </c>
      <c r="M10" s="175">
        <v>18525</v>
      </c>
      <c r="N10" s="176">
        <f t="shared" si="6"/>
        <v>1671.8812499999999</v>
      </c>
      <c r="O10" s="177">
        <v>150</v>
      </c>
      <c r="P10" s="177">
        <v>151800</v>
      </c>
      <c r="Q10" s="178">
        <f t="shared" si="7"/>
        <v>13699.95</v>
      </c>
      <c r="R10" s="179">
        <f t="shared" si="2"/>
        <v>15371.831250000001</v>
      </c>
      <c r="S10" s="173">
        <v>0</v>
      </c>
      <c r="T10" s="180">
        <f t="shared" si="3"/>
        <v>15371.831250000001</v>
      </c>
    </row>
    <row r="11" spans="1:20" ht="18" x14ac:dyDescent="0.35">
      <c r="A11" s="157"/>
      <c r="B11" s="158" t="s">
        <v>2640</v>
      </c>
      <c r="C11" s="159">
        <v>25</v>
      </c>
      <c r="D11" s="159">
        <v>18525</v>
      </c>
      <c r="E11" s="159">
        <v>20285</v>
      </c>
      <c r="F11" s="159">
        <v>1760</v>
      </c>
      <c r="G11" s="171">
        <f t="shared" si="5"/>
        <v>1672.0000000000002</v>
      </c>
      <c r="I11" s="172" t="s">
        <v>2637</v>
      </c>
      <c r="J11" s="173" t="s">
        <v>638</v>
      </c>
      <c r="K11" s="174" t="s">
        <v>2641</v>
      </c>
      <c r="L11" s="175">
        <v>100</v>
      </c>
      <c r="M11" s="175">
        <v>68075</v>
      </c>
      <c r="N11" s="176">
        <f t="shared" si="6"/>
        <v>6143.7687500000002</v>
      </c>
      <c r="O11" s="177">
        <v>225</v>
      </c>
      <c r="P11" s="177">
        <v>212650</v>
      </c>
      <c r="Q11" s="178">
        <f t="shared" si="7"/>
        <v>19191.662500000002</v>
      </c>
      <c r="R11" s="179">
        <f t="shared" si="2"/>
        <v>25335.431250000001</v>
      </c>
      <c r="S11" s="173">
        <v>0</v>
      </c>
      <c r="T11" s="180">
        <f t="shared" si="3"/>
        <v>25335.431250000001</v>
      </c>
    </row>
    <row r="12" spans="1:20" ht="18" x14ac:dyDescent="0.35">
      <c r="A12" s="157"/>
      <c r="B12" s="158" t="s">
        <v>2642</v>
      </c>
      <c r="C12" s="159">
        <v>25</v>
      </c>
      <c r="D12" s="159">
        <v>19450</v>
      </c>
      <c r="E12" s="159">
        <v>21298</v>
      </c>
      <c r="F12" s="159">
        <v>1848</v>
      </c>
      <c r="G12" s="171">
        <f t="shared" si="4"/>
        <v>1848</v>
      </c>
      <c r="I12" s="172" t="s">
        <v>2637</v>
      </c>
      <c r="J12" s="173" t="s">
        <v>2643</v>
      </c>
      <c r="K12" s="174" t="s">
        <v>2644</v>
      </c>
      <c r="L12" s="175">
        <v>25</v>
      </c>
      <c r="M12" s="175">
        <v>22475</v>
      </c>
      <c r="N12" s="176">
        <f t="shared" si="6"/>
        <v>2028.3687500000001</v>
      </c>
      <c r="O12" s="177">
        <v>250</v>
      </c>
      <c r="P12" s="177">
        <v>235475</v>
      </c>
      <c r="Q12" s="178">
        <f t="shared" si="7"/>
        <v>21251.618749999998</v>
      </c>
      <c r="R12" s="179">
        <f t="shared" si="2"/>
        <v>23279.987499999999</v>
      </c>
      <c r="S12" s="173">
        <v>0</v>
      </c>
      <c r="T12" s="180">
        <f t="shared" si="3"/>
        <v>23279.987499999999</v>
      </c>
    </row>
    <row r="13" spans="1:20" ht="18" x14ac:dyDescent="0.35">
      <c r="A13" s="157"/>
      <c r="B13" s="158" t="s">
        <v>2641</v>
      </c>
      <c r="C13" s="159">
        <v>100</v>
      </c>
      <c r="D13" s="159">
        <v>68075</v>
      </c>
      <c r="E13" s="159">
        <v>74542</v>
      </c>
      <c r="F13" s="159">
        <v>6467</v>
      </c>
      <c r="G13" s="171">
        <f t="shared" si="5"/>
        <v>6143.6500000000005</v>
      </c>
      <c r="I13" s="172" t="s">
        <v>2637</v>
      </c>
      <c r="J13" s="173" t="s">
        <v>638</v>
      </c>
      <c r="K13" s="174" t="s">
        <v>2645</v>
      </c>
      <c r="L13" s="175">
        <v>50</v>
      </c>
      <c r="M13" s="175">
        <v>45900</v>
      </c>
      <c r="N13" s="176">
        <f t="shared" si="6"/>
        <v>4142.4749999999995</v>
      </c>
      <c r="O13" s="177">
        <v>150</v>
      </c>
      <c r="P13" s="177">
        <v>147600</v>
      </c>
      <c r="Q13" s="178">
        <f t="shared" si="7"/>
        <v>13320.9</v>
      </c>
      <c r="R13" s="179">
        <f t="shared" si="2"/>
        <v>17463.375</v>
      </c>
      <c r="S13" s="173">
        <v>0</v>
      </c>
      <c r="T13" s="180">
        <f t="shared" si="3"/>
        <v>17463.375</v>
      </c>
    </row>
    <row r="14" spans="1:20" ht="18" x14ac:dyDescent="0.35">
      <c r="A14" s="157"/>
      <c r="B14" s="158" t="s">
        <v>2644</v>
      </c>
      <c r="C14" s="159">
        <v>25</v>
      </c>
      <c r="D14" s="159">
        <v>22475</v>
      </c>
      <c r="E14" s="159">
        <v>24610</v>
      </c>
      <c r="F14" s="159">
        <v>2135</v>
      </c>
      <c r="G14" s="171">
        <f t="shared" si="5"/>
        <v>2028.2500000000002</v>
      </c>
      <c r="I14" s="161" t="s">
        <v>2630</v>
      </c>
      <c r="J14" s="162" t="s">
        <v>147</v>
      </c>
      <c r="K14" s="163" t="s">
        <v>2646</v>
      </c>
      <c r="L14" s="164"/>
      <c r="M14" s="164"/>
      <c r="N14" s="170">
        <f t="shared" si="0"/>
        <v>0</v>
      </c>
      <c r="O14" s="166">
        <v>225</v>
      </c>
      <c r="P14" s="166">
        <v>225625</v>
      </c>
      <c r="Q14" s="167">
        <f t="shared" si="1"/>
        <v>21434.375</v>
      </c>
      <c r="R14" s="168">
        <f t="shared" si="2"/>
        <v>21434.375</v>
      </c>
      <c r="S14" s="162">
        <v>0</v>
      </c>
      <c r="T14" s="169">
        <f t="shared" si="3"/>
        <v>21434.375</v>
      </c>
    </row>
    <row r="15" spans="1:20" ht="18" x14ac:dyDescent="0.35">
      <c r="A15" s="157"/>
      <c r="B15" s="158" t="s">
        <v>2645</v>
      </c>
      <c r="C15" s="159">
        <v>50</v>
      </c>
      <c r="D15" s="159">
        <v>45900</v>
      </c>
      <c r="E15" s="159">
        <v>50261</v>
      </c>
      <c r="F15" s="159">
        <v>4361</v>
      </c>
      <c r="G15" s="171">
        <f t="shared" si="5"/>
        <v>4142.95</v>
      </c>
      <c r="I15" s="161" t="s">
        <v>2630</v>
      </c>
      <c r="J15" s="162" t="s">
        <v>96</v>
      </c>
      <c r="K15" s="163" t="s">
        <v>2647</v>
      </c>
      <c r="L15" s="164">
        <v>25</v>
      </c>
      <c r="M15" s="164">
        <v>22775</v>
      </c>
      <c r="N15" s="170">
        <f t="shared" si="0"/>
        <v>2163.625</v>
      </c>
      <c r="O15" s="166">
        <v>225</v>
      </c>
      <c r="P15" s="166">
        <v>246250</v>
      </c>
      <c r="Q15" s="167">
        <f t="shared" si="1"/>
        <v>23393.75</v>
      </c>
      <c r="R15" s="168">
        <f t="shared" si="2"/>
        <v>25557.375</v>
      </c>
      <c r="S15" s="162">
        <v>0</v>
      </c>
      <c r="T15" s="169">
        <f t="shared" si="3"/>
        <v>25557.375</v>
      </c>
    </row>
    <row r="16" spans="1:20" ht="18" x14ac:dyDescent="0.35">
      <c r="A16" s="157"/>
      <c r="B16" s="158" t="s">
        <v>2648</v>
      </c>
      <c r="C16" s="159">
        <v>25</v>
      </c>
      <c r="D16" s="159">
        <v>26250</v>
      </c>
      <c r="E16" s="159">
        <v>28744</v>
      </c>
      <c r="F16" s="159">
        <v>2494</v>
      </c>
      <c r="G16" s="171">
        <f t="shared" si="4"/>
        <v>2494</v>
      </c>
      <c r="I16" s="161" t="s">
        <v>2630</v>
      </c>
      <c r="J16" s="162" t="s">
        <v>261</v>
      </c>
      <c r="K16" s="163" t="s">
        <v>2649</v>
      </c>
      <c r="L16" s="164"/>
      <c r="M16" s="164"/>
      <c r="N16" s="170">
        <f t="shared" si="0"/>
        <v>0</v>
      </c>
      <c r="O16" s="166">
        <v>225</v>
      </c>
      <c r="P16" s="166">
        <v>245900</v>
      </c>
      <c r="Q16" s="167">
        <f t="shared" si="1"/>
        <v>23360.5</v>
      </c>
      <c r="R16" s="168">
        <f t="shared" si="2"/>
        <v>23360.5</v>
      </c>
      <c r="S16" s="162">
        <v>0</v>
      </c>
      <c r="T16" s="181">
        <f t="shared" si="3"/>
        <v>23360.5</v>
      </c>
    </row>
    <row r="17" spans="1:20" ht="18" x14ac:dyDescent="0.35">
      <c r="A17" s="157"/>
      <c r="B17" s="158" t="s">
        <v>2647</v>
      </c>
      <c r="C17" s="159">
        <v>25</v>
      </c>
      <c r="D17" s="159">
        <v>22775</v>
      </c>
      <c r="E17" s="159">
        <v>24939</v>
      </c>
      <c r="F17" s="159">
        <v>2164</v>
      </c>
      <c r="G17" s="171">
        <f t="shared" si="4"/>
        <v>2164</v>
      </c>
      <c r="I17" s="161" t="s">
        <v>2630</v>
      </c>
      <c r="J17" s="162" t="s">
        <v>687</v>
      </c>
      <c r="K17" s="163" t="s">
        <v>2650</v>
      </c>
      <c r="L17" s="164"/>
      <c r="M17" s="164"/>
      <c r="N17" s="170">
        <f t="shared" si="0"/>
        <v>0</v>
      </c>
      <c r="O17" s="166">
        <v>200</v>
      </c>
      <c r="P17" s="166">
        <v>210200</v>
      </c>
      <c r="Q17" s="167">
        <f t="shared" si="1"/>
        <v>19969</v>
      </c>
      <c r="R17" s="168">
        <f t="shared" si="2"/>
        <v>19969</v>
      </c>
      <c r="S17" s="162">
        <v>0</v>
      </c>
      <c r="T17" s="169">
        <f t="shared" si="3"/>
        <v>19969</v>
      </c>
    </row>
    <row r="18" spans="1:20" ht="18" x14ac:dyDescent="0.35">
      <c r="A18" s="157"/>
      <c r="B18" s="158" t="s">
        <v>2651</v>
      </c>
      <c r="C18" s="159">
        <v>75</v>
      </c>
      <c r="D18" s="159">
        <v>62175</v>
      </c>
      <c r="E18" s="159">
        <v>68082</v>
      </c>
      <c r="F18" s="159">
        <v>5907</v>
      </c>
      <c r="G18" s="171">
        <f t="shared" si="4"/>
        <v>5907</v>
      </c>
      <c r="I18" s="161" t="s">
        <v>2630</v>
      </c>
      <c r="J18" s="162" t="s">
        <v>245</v>
      </c>
      <c r="K18" s="163" t="s">
        <v>2651</v>
      </c>
      <c r="L18" s="164">
        <v>75</v>
      </c>
      <c r="M18" s="164">
        <v>62175</v>
      </c>
      <c r="N18" s="170">
        <f t="shared" si="0"/>
        <v>5906.625</v>
      </c>
      <c r="O18" s="166">
        <v>150</v>
      </c>
      <c r="P18" s="166">
        <v>177900</v>
      </c>
      <c r="Q18" s="167">
        <f t="shared" si="1"/>
        <v>16900.5</v>
      </c>
      <c r="R18" s="168">
        <f t="shared" si="2"/>
        <v>22807.125</v>
      </c>
      <c r="S18" s="162">
        <v>0</v>
      </c>
      <c r="T18" s="169">
        <f t="shared" si="3"/>
        <v>22807.125</v>
      </c>
    </row>
    <row r="19" spans="1:20" ht="18" x14ac:dyDescent="0.35">
      <c r="A19" s="157"/>
      <c r="B19" s="158" t="s">
        <v>2652</v>
      </c>
      <c r="C19" s="159">
        <v>60</v>
      </c>
      <c r="D19" s="159">
        <v>38100</v>
      </c>
      <c r="E19" s="159">
        <v>41720</v>
      </c>
      <c r="F19" s="159">
        <v>3619</v>
      </c>
      <c r="G19" s="171">
        <f t="shared" si="4"/>
        <v>3619</v>
      </c>
      <c r="I19" s="161" t="s">
        <v>2630</v>
      </c>
      <c r="J19" s="162" t="s">
        <v>687</v>
      </c>
      <c r="K19" s="163" t="s">
        <v>2652</v>
      </c>
      <c r="L19" s="164">
        <v>60</v>
      </c>
      <c r="M19" s="164">
        <v>38100</v>
      </c>
      <c r="N19" s="170">
        <f t="shared" si="0"/>
        <v>3619.5</v>
      </c>
      <c r="O19" s="166">
        <v>180</v>
      </c>
      <c r="P19" s="166">
        <v>193680</v>
      </c>
      <c r="Q19" s="167">
        <f t="shared" si="1"/>
        <v>18399.599999999999</v>
      </c>
      <c r="R19" s="168">
        <f t="shared" si="2"/>
        <v>22019.1</v>
      </c>
      <c r="S19" s="162">
        <v>0</v>
      </c>
      <c r="T19" s="169">
        <f t="shared" si="3"/>
        <v>22019.1</v>
      </c>
    </row>
    <row r="20" spans="1:20" ht="18" x14ac:dyDescent="0.35">
      <c r="A20" s="157"/>
      <c r="B20" s="158" t="s">
        <v>2653</v>
      </c>
      <c r="C20" s="159">
        <v>30</v>
      </c>
      <c r="D20" s="159">
        <v>23340</v>
      </c>
      <c r="E20" s="159">
        <v>25557</v>
      </c>
      <c r="F20" s="159">
        <v>2217</v>
      </c>
      <c r="G20" s="171">
        <f t="shared" si="4"/>
        <v>2217</v>
      </c>
      <c r="I20" s="161" t="s">
        <v>2630</v>
      </c>
      <c r="J20" s="162" t="s">
        <v>245</v>
      </c>
      <c r="K20" s="163" t="s">
        <v>2653</v>
      </c>
      <c r="L20" s="164">
        <v>30</v>
      </c>
      <c r="M20" s="164">
        <v>23340</v>
      </c>
      <c r="N20" s="170">
        <f t="shared" si="0"/>
        <v>2217.3000000000002</v>
      </c>
      <c r="O20" s="166">
        <v>270</v>
      </c>
      <c r="P20" s="166">
        <v>290820</v>
      </c>
      <c r="Q20" s="167">
        <f t="shared" si="1"/>
        <v>27627.9</v>
      </c>
      <c r="R20" s="168">
        <f t="shared" si="2"/>
        <v>29845.200000000001</v>
      </c>
      <c r="S20" s="162">
        <v>0</v>
      </c>
      <c r="T20" s="169">
        <f t="shared" si="3"/>
        <v>29845.200000000001</v>
      </c>
    </row>
    <row r="21" spans="1:20" ht="18" x14ac:dyDescent="0.35">
      <c r="A21" s="157"/>
      <c r="B21" s="158" t="s">
        <v>2654</v>
      </c>
      <c r="C21" s="159">
        <v>25</v>
      </c>
      <c r="D21" s="159">
        <v>9850</v>
      </c>
      <c r="E21" s="159">
        <v>10786</v>
      </c>
      <c r="F21" s="159">
        <v>936</v>
      </c>
      <c r="G21" s="171">
        <f t="shared" si="4"/>
        <v>936</v>
      </c>
      <c r="I21" s="161" t="s">
        <v>2630</v>
      </c>
      <c r="J21" s="162" t="s">
        <v>261</v>
      </c>
      <c r="K21" s="163" t="s">
        <v>2655</v>
      </c>
      <c r="L21" s="164"/>
      <c r="M21" s="164"/>
      <c r="N21" s="170">
        <f t="shared" si="0"/>
        <v>0</v>
      </c>
      <c r="O21" s="166">
        <v>240</v>
      </c>
      <c r="P21" s="166">
        <v>258630</v>
      </c>
      <c r="Q21" s="167">
        <f t="shared" si="1"/>
        <v>24569.85</v>
      </c>
      <c r="R21" s="168">
        <f t="shared" si="2"/>
        <v>24569.85</v>
      </c>
      <c r="S21" s="162">
        <v>0</v>
      </c>
      <c r="T21" s="169">
        <f t="shared" si="3"/>
        <v>24569.85</v>
      </c>
    </row>
    <row r="22" spans="1:20" ht="18" x14ac:dyDescent="0.35">
      <c r="A22" s="157"/>
      <c r="B22" s="158" t="s">
        <v>2656</v>
      </c>
      <c r="C22" s="159">
        <v>50</v>
      </c>
      <c r="D22" s="159">
        <v>40950</v>
      </c>
      <c r="E22" s="159">
        <v>44840</v>
      </c>
      <c r="F22" s="159">
        <v>3890</v>
      </c>
      <c r="G22" s="171">
        <f t="shared" si="4"/>
        <v>3890</v>
      </c>
      <c r="I22" s="161" t="s">
        <v>2630</v>
      </c>
      <c r="J22" s="162" t="s">
        <v>110</v>
      </c>
      <c r="K22" s="163" t="s">
        <v>2656</v>
      </c>
      <c r="L22" s="164">
        <v>50</v>
      </c>
      <c r="M22" s="164">
        <v>40950</v>
      </c>
      <c r="N22" s="170">
        <f t="shared" si="0"/>
        <v>3890.25</v>
      </c>
      <c r="O22" s="166">
        <v>150</v>
      </c>
      <c r="P22" s="166">
        <v>138975</v>
      </c>
      <c r="Q22" s="167">
        <f t="shared" si="1"/>
        <v>13202.625</v>
      </c>
      <c r="R22" s="168">
        <f t="shared" si="2"/>
        <v>17092.875</v>
      </c>
      <c r="S22" s="162">
        <v>0</v>
      </c>
      <c r="T22" s="169">
        <f t="shared" si="3"/>
        <v>17092.875</v>
      </c>
    </row>
    <row r="23" spans="1:20" ht="18" x14ac:dyDescent="0.35">
      <c r="A23" s="157"/>
      <c r="B23" s="158" t="s">
        <v>2657</v>
      </c>
      <c r="C23" s="159">
        <v>50</v>
      </c>
      <c r="D23" s="159">
        <v>43125</v>
      </c>
      <c r="E23" s="159">
        <v>47222</v>
      </c>
      <c r="F23" s="159">
        <v>4097</v>
      </c>
      <c r="G23" s="171">
        <f t="shared" ref="G23" si="8">+F23/100*95</f>
        <v>3892.15</v>
      </c>
      <c r="I23" s="172" t="s">
        <v>2637</v>
      </c>
      <c r="J23" s="173" t="s">
        <v>105</v>
      </c>
      <c r="K23" s="174" t="s">
        <v>2657</v>
      </c>
      <c r="L23" s="175">
        <v>50</v>
      </c>
      <c r="M23" s="175">
        <v>43125</v>
      </c>
      <c r="N23" s="176">
        <f t="shared" ref="N23" si="9">+(M23*9.5%)/100*95</f>
        <v>3892.03125</v>
      </c>
      <c r="O23" s="177">
        <v>125</v>
      </c>
      <c r="P23" s="177">
        <v>105175</v>
      </c>
      <c r="Q23" s="178">
        <f t="shared" ref="Q23" si="10">+(P23*9.5%)/100*95</f>
        <v>9492.0437500000007</v>
      </c>
      <c r="R23" s="179">
        <f>+N23+Q23</f>
        <v>13384.075000000001</v>
      </c>
      <c r="S23" s="173">
        <v>0</v>
      </c>
      <c r="T23" s="180">
        <f t="shared" si="3"/>
        <v>13384.075000000001</v>
      </c>
    </row>
    <row r="24" spans="1:20" ht="18" x14ac:dyDescent="0.35">
      <c r="A24" s="157"/>
      <c r="B24" s="158" t="s">
        <v>2658</v>
      </c>
      <c r="C24" s="159">
        <v>75</v>
      </c>
      <c r="D24" s="159">
        <v>65775</v>
      </c>
      <c r="E24" s="159">
        <v>72024</v>
      </c>
      <c r="F24" s="159">
        <v>6249</v>
      </c>
      <c r="G24" s="171">
        <f t="shared" si="4"/>
        <v>6249</v>
      </c>
      <c r="I24" s="161" t="s">
        <v>2630</v>
      </c>
      <c r="J24" s="162" t="s">
        <v>283</v>
      </c>
      <c r="K24" s="163" t="s">
        <v>2658</v>
      </c>
      <c r="L24" s="164">
        <v>75</v>
      </c>
      <c r="M24" s="164">
        <v>65775</v>
      </c>
      <c r="N24" s="170">
        <f t="shared" si="0"/>
        <v>6248.625</v>
      </c>
      <c r="O24" s="166">
        <v>124</v>
      </c>
      <c r="P24" s="166">
        <v>110587</v>
      </c>
      <c r="Q24" s="167">
        <f t="shared" si="1"/>
        <v>10505.764999999999</v>
      </c>
      <c r="R24" s="168">
        <f t="shared" si="2"/>
        <v>16754.39</v>
      </c>
      <c r="S24" s="162">
        <v>0</v>
      </c>
      <c r="T24" s="169">
        <f t="shared" si="3"/>
        <v>16754.39</v>
      </c>
    </row>
    <row r="25" spans="1:20" ht="18" x14ac:dyDescent="0.3">
      <c r="A25" s="157"/>
      <c r="B25" s="158" t="s">
        <v>2659</v>
      </c>
      <c r="C25" s="159">
        <v>25</v>
      </c>
      <c r="D25" s="159">
        <v>20475</v>
      </c>
      <c r="E25" s="159">
        <v>22420</v>
      </c>
      <c r="F25" s="159">
        <v>1945</v>
      </c>
      <c r="G25" s="171">
        <f t="shared" si="4"/>
        <v>1945</v>
      </c>
      <c r="I25" s="182" t="s">
        <v>2630</v>
      </c>
      <c r="J25" s="183" t="s">
        <v>96</v>
      </c>
      <c r="K25" s="184" t="s">
        <v>2659</v>
      </c>
      <c r="L25" s="164">
        <v>25</v>
      </c>
      <c r="M25" s="164">
        <v>20475</v>
      </c>
      <c r="N25" s="170">
        <f t="shared" si="0"/>
        <v>1945.125</v>
      </c>
      <c r="O25" s="166">
        <v>175</v>
      </c>
      <c r="P25" s="166">
        <v>175700</v>
      </c>
      <c r="Q25" s="185">
        <f t="shared" si="1"/>
        <v>16691.5</v>
      </c>
      <c r="R25" s="186">
        <f t="shared" si="2"/>
        <v>18636.625</v>
      </c>
      <c r="S25" s="183">
        <v>0</v>
      </c>
      <c r="T25" s="187">
        <f t="shared" si="3"/>
        <v>18636.625</v>
      </c>
    </row>
    <row r="26" spans="1:20" ht="18.600000000000001" thickBot="1" x14ac:dyDescent="0.35">
      <c r="A26" s="157"/>
      <c r="B26" s="158" t="s">
        <v>2660</v>
      </c>
      <c r="C26" s="159">
        <v>30</v>
      </c>
      <c r="D26" s="159">
        <v>28170</v>
      </c>
      <c r="E26" s="159">
        <v>30846</v>
      </c>
      <c r="F26" s="159">
        <v>2676</v>
      </c>
      <c r="G26" s="188">
        <f t="shared" si="4"/>
        <v>2676</v>
      </c>
      <c r="I26" s="182" t="s">
        <v>2630</v>
      </c>
      <c r="J26" s="183" t="s">
        <v>173</v>
      </c>
      <c r="K26" s="184" t="s">
        <v>2661</v>
      </c>
      <c r="L26" s="164"/>
      <c r="M26" s="164"/>
      <c r="N26" s="170">
        <f t="shared" si="0"/>
        <v>0</v>
      </c>
      <c r="O26" s="166">
        <v>250</v>
      </c>
      <c r="P26" s="166">
        <v>261700</v>
      </c>
      <c r="Q26" s="185">
        <f t="shared" si="1"/>
        <v>24861.5</v>
      </c>
      <c r="R26" s="186">
        <f t="shared" si="2"/>
        <v>24861.5</v>
      </c>
      <c r="S26" s="183">
        <v>0</v>
      </c>
      <c r="T26" s="189">
        <f t="shared" si="3"/>
        <v>24861.5</v>
      </c>
    </row>
    <row r="27" spans="1:20" ht="18.600000000000001" thickBot="1" x14ac:dyDescent="0.4">
      <c r="A27" s="190" t="s">
        <v>2662</v>
      </c>
      <c r="B27" s="190"/>
      <c r="C27" s="191">
        <v>883</v>
      </c>
      <c r="D27" s="191">
        <v>718924</v>
      </c>
      <c r="E27" s="191">
        <v>787222</v>
      </c>
      <c r="F27" s="192">
        <v>68298</v>
      </c>
      <c r="G27" s="193">
        <f>SUM(G4:G26)</f>
        <v>66892.899999999994</v>
      </c>
      <c r="I27" s="182" t="s">
        <v>2630</v>
      </c>
      <c r="J27" s="183" t="s">
        <v>173</v>
      </c>
      <c r="K27" s="194" t="s">
        <v>2660</v>
      </c>
      <c r="L27" s="164">
        <v>30</v>
      </c>
      <c r="M27" s="164">
        <v>28170</v>
      </c>
      <c r="N27" s="195">
        <f t="shared" si="0"/>
        <v>2676.15</v>
      </c>
      <c r="O27" s="166">
        <v>270</v>
      </c>
      <c r="P27" s="166">
        <v>292500</v>
      </c>
      <c r="Q27" s="185">
        <f t="shared" si="1"/>
        <v>27787.5</v>
      </c>
      <c r="R27" s="186">
        <f t="shared" si="2"/>
        <v>30463.65</v>
      </c>
      <c r="S27" s="183">
        <v>0</v>
      </c>
      <c r="T27" s="187">
        <f t="shared" si="3"/>
        <v>30463.65</v>
      </c>
    </row>
    <row r="28" spans="1:20" ht="18" x14ac:dyDescent="0.3">
      <c r="A28" s="196"/>
      <c r="I28" s="161" t="s">
        <v>2630</v>
      </c>
      <c r="J28" s="197" t="s">
        <v>155</v>
      </c>
      <c r="K28" s="194" t="s">
        <v>2631</v>
      </c>
      <c r="L28" s="164">
        <v>25</v>
      </c>
      <c r="M28" s="164">
        <v>26575</v>
      </c>
      <c r="N28" s="195">
        <f t="shared" si="0"/>
        <v>2524.625</v>
      </c>
      <c r="O28" s="166">
        <v>150</v>
      </c>
      <c r="P28" s="166">
        <v>153525</v>
      </c>
      <c r="Q28" s="185">
        <f t="shared" si="1"/>
        <v>14584.875</v>
      </c>
      <c r="R28" s="186">
        <f t="shared" si="2"/>
        <v>17109.5</v>
      </c>
      <c r="S28" s="183">
        <v>0</v>
      </c>
      <c r="T28" s="187">
        <f t="shared" si="3"/>
        <v>17109.5</v>
      </c>
    </row>
    <row r="29" spans="1:20" ht="18" x14ac:dyDescent="0.35">
      <c r="A29" s="249" t="s">
        <v>2663</v>
      </c>
      <c r="B29" s="250"/>
      <c r="C29" s="250"/>
      <c r="D29" s="250"/>
      <c r="E29" s="251"/>
      <c r="I29" s="161" t="s">
        <v>2630</v>
      </c>
      <c r="J29" s="197" t="s">
        <v>155</v>
      </c>
      <c r="K29" s="198" t="s">
        <v>2664</v>
      </c>
      <c r="L29" s="164"/>
      <c r="M29" s="164"/>
      <c r="N29" s="170">
        <f t="shared" si="0"/>
        <v>0</v>
      </c>
      <c r="O29" s="164"/>
      <c r="P29" s="164"/>
      <c r="Q29" s="167">
        <f t="shared" si="1"/>
        <v>0</v>
      </c>
      <c r="R29" s="168">
        <f t="shared" si="2"/>
        <v>0</v>
      </c>
      <c r="S29" s="183">
        <v>0</v>
      </c>
      <c r="T29" s="181">
        <f t="shared" si="3"/>
        <v>0</v>
      </c>
    </row>
    <row r="30" spans="1:20" ht="18" x14ac:dyDescent="0.35">
      <c r="A30" s="153"/>
      <c r="B30" s="153"/>
      <c r="C30" s="153" t="s">
        <v>2614</v>
      </c>
      <c r="D30" s="153"/>
      <c r="E30" s="153"/>
      <c r="I30" s="161" t="s">
        <v>2630</v>
      </c>
      <c r="J30" s="197" t="s">
        <v>155</v>
      </c>
      <c r="K30" s="198" t="s">
        <v>2648</v>
      </c>
      <c r="L30" s="164">
        <v>25</v>
      </c>
      <c r="M30" s="164">
        <v>26250</v>
      </c>
      <c r="N30" s="170">
        <f t="shared" si="0"/>
        <v>2493.75</v>
      </c>
      <c r="O30" s="166">
        <v>200</v>
      </c>
      <c r="P30" s="166">
        <v>213250</v>
      </c>
      <c r="Q30" s="167">
        <f t="shared" si="1"/>
        <v>20258.75</v>
      </c>
      <c r="R30" s="168">
        <f t="shared" si="2"/>
        <v>22752.5</v>
      </c>
      <c r="S30" s="183">
        <v>0</v>
      </c>
      <c r="T30" s="169">
        <f t="shared" si="3"/>
        <v>22752.5</v>
      </c>
    </row>
    <row r="31" spans="1:20" ht="62.4" x14ac:dyDescent="0.3">
      <c r="A31" s="153" t="s">
        <v>2620</v>
      </c>
      <c r="B31" s="153" t="s">
        <v>2617</v>
      </c>
      <c r="C31" s="154" t="s">
        <v>2621</v>
      </c>
      <c r="D31" s="154" t="s">
        <v>2622</v>
      </c>
      <c r="E31" s="154" t="s">
        <v>2665</v>
      </c>
      <c r="I31" s="199" t="s">
        <v>2630</v>
      </c>
      <c r="J31" s="200" t="s">
        <v>494</v>
      </c>
      <c r="K31" s="194" t="s">
        <v>2666</v>
      </c>
      <c r="L31" s="164"/>
      <c r="M31" s="164"/>
      <c r="N31" s="195">
        <f t="shared" si="0"/>
        <v>0</v>
      </c>
      <c r="O31" s="166">
        <v>225</v>
      </c>
      <c r="P31" s="166">
        <v>194360</v>
      </c>
      <c r="Q31" s="185">
        <f t="shared" si="1"/>
        <v>18464.2</v>
      </c>
      <c r="R31" s="186">
        <f t="shared" si="2"/>
        <v>18464.2</v>
      </c>
      <c r="S31" s="183">
        <v>0</v>
      </c>
      <c r="T31" s="187">
        <f t="shared" si="3"/>
        <v>18464.2</v>
      </c>
    </row>
    <row r="32" spans="1:20" ht="18" x14ac:dyDescent="0.3">
      <c r="A32" s="157" t="s">
        <v>2628</v>
      </c>
      <c r="B32" s="158" t="s">
        <v>2634</v>
      </c>
      <c r="C32" s="159">
        <v>19</v>
      </c>
      <c r="D32" s="159">
        <v>15789</v>
      </c>
      <c r="E32" s="160">
        <v>1349</v>
      </c>
      <c r="F32" s="171">
        <f>+E32/100*95</f>
        <v>1281.55</v>
      </c>
      <c r="I32" s="199" t="s">
        <v>2630</v>
      </c>
      <c r="J32" s="200" t="s">
        <v>253</v>
      </c>
      <c r="K32" s="201" t="s">
        <v>2667</v>
      </c>
      <c r="L32" s="164"/>
      <c r="M32" s="164"/>
      <c r="N32" s="195">
        <f t="shared" si="0"/>
        <v>0</v>
      </c>
      <c r="O32" s="166">
        <v>250</v>
      </c>
      <c r="P32" s="166">
        <v>223325</v>
      </c>
      <c r="Q32" s="185">
        <f t="shared" si="1"/>
        <v>21215.875</v>
      </c>
      <c r="R32" s="186">
        <f t="shared" si="2"/>
        <v>21215.875</v>
      </c>
      <c r="S32" s="183">
        <v>0</v>
      </c>
      <c r="T32" s="187">
        <f>+R32+S32</f>
        <v>21215.875</v>
      </c>
    </row>
    <row r="33" spans="1:20" ht="18" x14ac:dyDescent="0.3">
      <c r="A33" s="157"/>
      <c r="B33" s="158" t="s">
        <v>2636</v>
      </c>
      <c r="C33" s="159">
        <v>19</v>
      </c>
      <c r="D33" s="159">
        <v>12825</v>
      </c>
      <c r="E33" s="160">
        <v>1083</v>
      </c>
      <c r="F33" s="171">
        <f>+E33/100*95</f>
        <v>1028.8499999999999</v>
      </c>
      <c r="I33" s="199" t="s">
        <v>2630</v>
      </c>
      <c r="J33" s="200" t="s">
        <v>253</v>
      </c>
      <c r="K33" s="201" t="s">
        <v>2642</v>
      </c>
      <c r="L33" s="164">
        <v>25</v>
      </c>
      <c r="M33" s="164">
        <v>19450</v>
      </c>
      <c r="N33" s="195">
        <f t="shared" si="0"/>
        <v>1847.75</v>
      </c>
      <c r="O33" s="166">
        <v>150</v>
      </c>
      <c r="P33" s="166">
        <v>150000</v>
      </c>
      <c r="Q33" s="185">
        <f t="shared" si="1"/>
        <v>14250</v>
      </c>
      <c r="R33" s="186">
        <f t="shared" si="2"/>
        <v>16097.75</v>
      </c>
      <c r="S33" s="183">
        <v>0</v>
      </c>
      <c r="T33" s="187">
        <f>+R33+S33</f>
        <v>16097.75</v>
      </c>
    </row>
    <row r="34" spans="1:20" ht="18.600000000000001" thickBot="1" x14ac:dyDescent="0.4">
      <c r="A34" s="190" t="s">
        <v>2662</v>
      </c>
      <c r="B34" s="190"/>
      <c r="C34" s="191">
        <v>38</v>
      </c>
      <c r="D34" s="191">
        <v>28614</v>
      </c>
      <c r="E34" s="191">
        <v>2432</v>
      </c>
      <c r="F34" s="202">
        <f>SUM(F32:F33)</f>
        <v>2310.3999999999996</v>
      </c>
      <c r="I34" s="199" t="s">
        <v>2630</v>
      </c>
      <c r="J34" s="200" t="s">
        <v>2668</v>
      </c>
      <c r="K34" s="201" t="s">
        <v>2669</v>
      </c>
      <c r="L34" s="164"/>
      <c r="M34" s="164"/>
      <c r="N34" s="195">
        <f t="shared" si="0"/>
        <v>0</v>
      </c>
      <c r="O34" s="166">
        <v>250</v>
      </c>
      <c r="P34" s="166">
        <v>260990</v>
      </c>
      <c r="Q34" s="185">
        <f t="shared" si="1"/>
        <v>24794.05</v>
      </c>
      <c r="R34" s="186">
        <f t="shared" si="2"/>
        <v>24794.05</v>
      </c>
      <c r="S34" s="183">
        <v>0</v>
      </c>
      <c r="T34" s="187">
        <f>+R34+S34</f>
        <v>24794.05</v>
      </c>
    </row>
    <row r="35" spans="1:20" ht="18" x14ac:dyDescent="0.3">
      <c r="A35" s="196"/>
      <c r="I35" s="199" t="s">
        <v>2630</v>
      </c>
      <c r="J35" s="200" t="s">
        <v>735</v>
      </c>
      <c r="K35" s="201" t="s">
        <v>2654</v>
      </c>
      <c r="L35" s="164">
        <v>25</v>
      </c>
      <c r="M35" s="164">
        <v>9850</v>
      </c>
      <c r="N35" s="195">
        <f t="shared" si="0"/>
        <v>935.75</v>
      </c>
      <c r="O35" s="166">
        <v>175</v>
      </c>
      <c r="P35" s="166">
        <v>166100</v>
      </c>
      <c r="Q35" s="185">
        <f t="shared" si="1"/>
        <v>15779.5</v>
      </c>
      <c r="R35" s="186">
        <f t="shared" si="2"/>
        <v>16715.25</v>
      </c>
      <c r="S35" s="183">
        <v>0</v>
      </c>
      <c r="T35" s="187">
        <f>+R35+S35</f>
        <v>16715.25</v>
      </c>
    </row>
    <row r="36" spans="1:20" ht="18" x14ac:dyDescent="0.3">
      <c r="A36" s="249" t="s">
        <v>2670</v>
      </c>
      <c r="B36" s="250"/>
      <c r="C36" s="250"/>
      <c r="D36" s="250"/>
      <c r="E36" s="250"/>
      <c r="F36" s="251"/>
      <c r="I36" s="199"/>
      <c r="J36" s="200" t="s">
        <v>121</v>
      </c>
      <c r="K36" s="201" t="s">
        <v>2671</v>
      </c>
      <c r="L36" s="164"/>
      <c r="M36" s="164"/>
      <c r="N36" s="195">
        <f t="shared" si="0"/>
        <v>0</v>
      </c>
      <c r="O36" s="166">
        <v>200</v>
      </c>
      <c r="P36" s="166">
        <v>204600</v>
      </c>
      <c r="Q36" s="185">
        <f t="shared" si="1"/>
        <v>19437</v>
      </c>
      <c r="R36" s="186">
        <f t="shared" si="2"/>
        <v>19437</v>
      </c>
      <c r="S36" s="183"/>
      <c r="T36" s="187">
        <f>+R36+S36</f>
        <v>19437</v>
      </c>
    </row>
    <row r="37" spans="1:20" ht="18" x14ac:dyDescent="0.3">
      <c r="A37" s="153"/>
      <c r="B37" s="153"/>
      <c r="C37" s="153" t="s">
        <v>2614</v>
      </c>
      <c r="D37" s="153"/>
      <c r="E37" s="153"/>
      <c r="F37" s="153"/>
      <c r="I37" s="203" t="s">
        <v>2637</v>
      </c>
      <c r="J37" s="204" t="s">
        <v>2672</v>
      </c>
      <c r="K37" s="205" t="s">
        <v>2673</v>
      </c>
      <c r="L37" s="175"/>
      <c r="M37" s="175"/>
      <c r="N37" s="206">
        <f t="shared" ref="N37:N38" si="11">+(M37*9.5%)/100*95</f>
        <v>0</v>
      </c>
      <c r="O37" s="175"/>
      <c r="P37" s="175"/>
      <c r="Q37" s="207">
        <f t="shared" ref="Q37:Q46" si="12">+(P37*9.5%)/100*95</f>
        <v>0</v>
      </c>
      <c r="R37" s="208">
        <f t="shared" si="2"/>
        <v>0</v>
      </c>
      <c r="S37" s="209">
        <v>0</v>
      </c>
      <c r="T37" s="210">
        <f t="shared" si="3"/>
        <v>0</v>
      </c>
    </row>
    <row r="38" spans="1:20" ht="62.4" x14ac:dyDescent="0.3">
      <c r="A38" s="153" t="s">
        <v>2620</v>
      </c>
      <c r="B38" s="153" t="s">
        <v>2617</v>
      </c>
      <c r="C38" s="153" t="s">
        <v>2621</v>
      </c>
      <c r="D38" s="154" t="s">
        <v>2622</v>
      </c>
      <c r="E38" s="154" t="s">
        <v>2623</v>
      </c>
      <c r="F38" s="154" t="s">
        <v>2624</v>
      </c>
      <c r="I38" s="203" t="s">
        <v>2637</v>
      </c>
      <c r="J38" s="211" t="s">
        <v>232</v>
      </c>
      <c r="K38" s="212" t="s">
        <v>2674</v>
      </c>
      <c r="L38" s="175"/>
      <c r="M38" s="175"/>
      <c r="N38" s="213">
        <f t="shared" si="11"/>
        <v>0</v>
      </c>
      <c r="O38" s="177">
        <v>200</v>
      </c>
      <c r="P38" s="177">
        <v>168850</v>
      </c>
      <c r="Q38" s="207">
        <f t="shared" si="12"/>
        <v>15238.7125</v>
      </c>
      <c r="R38" s="214">
        <f t="shared" si="2"/>
        <v>15238.7125</v>
      </c>
      <c r="S38" s="209">
        <v>0</v>
      </c>
      <c r="T38" s="215">
        <f t="shared" si="3"/>
        <v>15238.7125</v>
      </c>
    </row>
    <row r="39" spans="1:20" ht="18" x14ac:dyDescent="0.3">
      <c r="A39" s="157" t="s">
        <v>2628</v>
      </c>
      <c r="B39" s="158" t="s">
        <v>2629</v>
      </c>
      <c r="C39" s="159">
        <v>175</v>
      </c>
      <c r="D39" s="159">
        <v>177525</v>
      </c>
      <c r="E39" s="159">
        <v>194390</v>
      </c>
      <c r="F39" s="160">
        <v>16865</v>
      </c>
      <c r="G39" s="85">
        <f>+F39</f>
        <v>16865</v>
      </c>
      <c r="I39" s="203" t="s">
        <v>2637</v>
      </c>
      <c r="J39" s="211" t="s">
        <v>82</v>
      </c>
      <c r="K39" s="216" t="s">
        <v>2675</v>
      </c>
      <c r="L39" s="175"/>
      <c r="M39" s="175"/>
      <c r="N39" s="213">
        <f>+(M39*9.5%)/100*95</f>
        <v>0</v>
      </c>
      <c r="O39" s="177">
        <v>171</v>
      </c>
      <c r="P39" s="177">
        <v>113430</v>
      </c>
      <c r="Q39" s="207">
        <f t="shared" si="12"/>
        <v>10237.057499999999</v>
      </c>
      <c r="R39" s="217">
        <f t="shared" si="2"/>
        <v>10237.057499999999</v>
      </c>
      <c r="S39" s="218">
        <f>+F91</f>
        <v>9169.4</v>
      </c>
      <c r="T39" s="215">
        <f t="shared" si="3"/>
        <v>19406.457499999997</v>
      </c>
    </row>
    <row r="40" spans="1:20" ht="18" x14ac:dyDescent="0.3">
      <c r="A40" s="157"/>
      <c r="B40" s="158" t="s">
        <v>2674</v>
      </c>
      <c r="C40" s="159">
        <v>200</v>
      </c>
      <c r="D40" s="159">
        <v>168850</v>
      </c>
      <c r="E40" s="159">
        <v>184891</v>
      </c>
      <c r="F40" s="159">
        <v>16041</v>
      </c>
      <c r="G40" s="171">
        <f>+F40/100*95</f>
        <v>15238.949999999999</v>
      </c>
      <c r="I40" s="203" t="s">
        <v>2637</v>
      </c>
      <c r="J40" s="211" t="s">
        <v>82</v>
      </c>
      <c r="K40" s="219" t="s">
        <v>2634</v>
      </c>
      <c r="L40" s="175">
        <v>19</v>
      </c>
      <c r="M40" s="175">
        <v>15789</v>
      </c>
      <c r="N40" s="206">
        <f>+(M40*9.5%)/100*95</f>
        <v>1424.9572499999999</v>
      </c>
      <c r="O40" s="177">
        <v>247</v>
      </c>
      <c r="P40" s="177">
        <v>164768</v>
      </c>
      <c r="Q40" s="220">
        <f t="shared" si="12"/>
        <v>14870.312000000002</v>
      </c>
      <c r="R40" s="221">
        <f t="shared" si="2"/>
        <v>16295.269250000001</v>
      </c>
      <c r="S40" s="218">
        <f>+F32+F87</f>
        <v>14566.35</v>
      </c>
      <c r="T40" s="222">
        <f t="shared" si="3"/>
        <v>30861.619250000003</v>
      </c>
    </row>
    <row r="41" spans="1:20" ht="18" x14ac:dyDescent="0.3">
      <c r="A41" s="157"/>
      <c r="B41" s="158" t="s">
        <v>2676</v>
      </c>
      <c r="C41" s="159">
        <v>152</v>
      </c>
      <c r="D41" s="159">
        <v>91979</v>
      </c>
      <c r="E41" s="159">
        <v>100717</v>
      </c>
      <c r="F41" s="159">
        <v>8738</v>
      </c>
      <c r="G41" s="171">
        <f>+F41/100*95</f>
        <v>8301.1</v>
      </c>
      <c r="I41" s="203" t="s">
        <v>2637</v>
      </c>
      <c r="J41" s="211" t="s">
        <v>82</v>
      </c>
      <c r="K41" s="223" t="s">
        <v>2636</v>
      </c>
      <c r="L41" s="175">
        <v>19</v>
      </c>
      <c r="M41" s="175">
        <v>12825</v>
      </c>
      <c r="N41" s="213">
        <f t="shared" ref="N41:N44" si="13">+(M41*9.5%)/100*95</f>
        <v>1157.45625</v>
      </c>
      <c r="O41" s="177">
        <v>209</v>
      </c>
      <c r="P41" s="177">
        <v>106039</v>
      </c>
      <c r="Q41" s="207">
        <f t="shared" si="12"/>
        <v>9570.0197499999995</v>
      </c>
      <c r="R41" s="217">
        <f t="shared" si="2"/>
        <v>10727.475999999999</v>
      </c>
      <c r="S41" s="218">
        <f>+F33+F88</f>
        <v>9602.6</v>
      </c>
      <c r="T41" s="215">
        <f t="shared" si="3"/>
        <v>20330.076000000001</v>
      </c>
    </row>
    <row r="42" spans="1:20" ht="18" x14ac:dyDescent="0.3">
      <c r="A42" s="157"/>
      <c r="B42" s="158" t="s">
        <v>2631</v>
      </c>
      <c r="C42" s="159">
        <v>150</v>
      </c>
      <c r="D42" s="159">
        <v>153525</v>
      </c>
      <c r="E42" s="159">
        <v>168110</v>
      </c>
      <c r="F42" s="159">
        <v>14585</v>
      </c>
      <c r="G42" s="85">
        <f t="shared" ref="G42:G78" si="14">+F42</f>
        <v>14585</v>
      </c>
      <c r="I42" s="203" t="s">
        <v>2637</v>
      </c>
      <c r="J42" s="211" t="s">
        <v>82</v>
      </c>
      <c r="K42" s="223" t="s">
        <v>2677</v>
      </c>
      <c r="L42" s="175"/>
      <c r="M42" s="175"/>
      <c r="N42" s="213">
        <f t="shared" si="13"/>
        <v>0</v>
      </c>
      <c r="O42" s="177">
        <v>171</v>
      </c>
      <c r="P42" s="177">
        <v>117439</v>
      </c>
      <c r="Q42" s="207">
        <f t="shared" si="12"/>
        <v>10598.86975</v>
      </c>
      <c r="R42" s="217">
        <f t="shared" si="2"/>
        <v>10598.86975</v>
      </c>
      <c r="S42" s="218">
        <f>+F89</f>
        <v>9512.35</v>
      </c>
      <c r="T42" s="215">
        <f t="shared" si="3"/>
        <v>20111.21975</v>
      </c>
    </row>
    <row r="43" spans="1:20" ht="18" x14ac:dyDescent="0.3">
      <c r="A43" s="157"/>
      <c r="B43" s="158" t="s">
        <v>2632</v>
      </c>
      <c r="C43" s="159">
        <v>150</v>
      </c>
      <c r="D43" s="159">
        <v>130825</v>
      </c>
      <c r="E43" s="159">
        <v>143253</v>
      </c>
      <c r="F43" s="159">
        <v>12428</v>
      </c>
      <c r="G43" s="85">
        <f t="shared" si="14"/>
        <v>12428</v>
      </c>
      <c r="I43" s="203" t="s">
        <v>2637</v>
      </c>
      <c r="J43" s="211" t="s">
        <v>82</v>
      </c>
      <c r="K43" s="223" t="s">
        <v>2678</v>
      </c>
      <c r="L43" s="175"/>
      <c r="M43" s="175"/>
      <c r="N43" s="213">
        <f t="shared" si="13"/>
        <v>0</v>
      </c>
      <c r="O43" s="177">
        <v>152</v>
      </c>
      <c r="P43" s="177">
        <v>88502</v>
      </c>
      <c r="Q43" s="207">
        <f t="shared" si="12"/>
        <v>7987.3055000000013</v>
      </c>
      <c r="R43" s="217">
        <f t="shared" si="2"/>
        <v>7987.3055000000013</v>
      </c>
      <c r="S43" s="218">
        <f>+F90</f>
        <v>7111.7</v>
      </c>
      <c r="T43" s="215">
        <f t="shared" si="3"/>
        <v>15099.005500000001</v>
      </c>
    </row>
    <row r="44" spans="1:20" ht="18" x14ac:dyDescent="0.35">
      <c r="A44" s="157"/>
      <c r="B44" s="158" t="s">
        <v>2633</v>
      </c>
      <c r="C44" s="159">
        <v>228</v>
      </c>
      <c r="D44" s="159">
        <v>148599</v>
      </c>
      <c r="E44" s="159">
        <v>162716</v>
      </c>
      <c r="F44" s="159">
        <v>14117</v>
      </c>
      <c r="G44" s="85">
        <f t="shared" si="14"/>
        <v>14117</v>
      </c>
      <c r="I44" s="224" t="s">
        <v>2637</v>
      </c>
      <c r="J44" s="225" t="s">
        <v>405</v>
      </c>
      <c r="K44" s="226" t="s">
        <v>2676</v>
      </c>
      <c r="L44" s="175"/>
      <c r="M44" s="175"/>
      <c r="N44" s="213">
        <f t="shared" si="13"/>
        <v>0</v>
      </c>
      <c r="O44" s="177">
        <v>152</v>
      </c>
      <c r="P44" s="177">
        <v>91979</v>
      </c>
      <c r="Q44" s="207">
        <f t="shared" si="12"/>
        <v>8301.1047500000004</v>
      </c>
      <c r="R44" s="227">
        <f t="shared" si="2"/>
        <v>8301.1047500000004</v>
      </c>
      <c r="S44" s="218">
        <f>+F84</f>
        <v>7436.6</v>
      </c>
      <c r="T44" s="228">
        <f t="shared" si="3"/>
        <v>15737.704750000001</v>
      </c>
    </row>
    <row r="45" spans="1:20" ht="18" x14ac:dyDescent="0.35">
      <c r="A45" s="157"/>
      <c r="B45" s="158" t="s">
        <v>2679</v>
      </c>
      <c r="C45" s="159">
        <v>209</v>
      </c>
      <c r="D45" s="159">
        <v>129656</v>
      </c>
      <c r="E45" s="159">
        <v>141973</v>
      </c>
      <c r="F45" s="159">
        <v>12317</v>
      </c>
      <c r="G45" s="171">
        <f>+F45/100*95</f>
        <v>11701.15</v>
      </c>
      <c r="I45" s="224" t="s">
        <v>2637</v>
      </c>
      <c r="J45" s="173" t="s">
        <v>2680</v>
      </c>
      <c r="K45" s="223" t="s">
        <v>2681</v>
      </c>
      <c r="L45" s="175"/>
      <c r="M45" s="175"/>
      <c r="N45" s="176">
        <f>+(M45*9.5%)/100*95</f>
        <v>0</v>
      </c>
      <c r="O45" s="175"/>
      <c r="P45" s="175"/>
      <c r="Q45" s="229">
        <f t="shared" si="12"/>
        <v>0</v>
      </c>
      <c r="R45" s="227">
        <f t="shared" si="2"/>
        <v>0</v>
      </c>
      <c r="S45" s="209">
        <v>0</v>
      </c>
      <c r="T45" s="180">
        <f t="shared" si="3"/>
        <v>0</v>
      </c>
    </row>
    <row r="46" spans="1:20" ht="18.600000000000001" thickBot="1" x14ac:dyDescent="0.4">
      <c r="A46" s="157"/>
      <c r="B46" s="158" t="s">
        <v>2666</v>
      </c>
      <c r="C46" s="159">
        <v>225</v>
      </c>
      <c r="D46" s="159">
        <v>194360</v>
      </c>
      <c r="E46" s="159">
        <v>212824</v>
      </c>
      <c r="F46" s="159">
        <v>18464</v>
      </c>
      <c r="G46" s="85">
        <f t="shared" si="14"/>
        <v>18464</v>
      </c>
      <c r="I46" s="172" t="s">
        <v>2637</v>
      </c>
      <c r="J46" s="173" t="s">
        <v>2682</v>
      </c>
      <c r="K46" s="223" t="s">
        <v>2679</v>
      </c>
      <c r="L46" s="175"/>
      <c r="M46" s="175"/>
      <c r="N46" s="176">
        <f>+(M46*9.5%)/100*95</f>
        <v>0</v>
      </c>
      <c r="O46" s="177">
        <v>209</v>
      </c>
      <c r="P46" s="177">
        <v>129656</v>
      </c>
      <c r="Q46" s="178">
        <f t="shared" si="12"/>
        <v>11701.454</v>
      </c>
      <c r="R46" s="227">
        <f t="shared" si="2"/>
        <v>11701.454</v>
      </c>
      <c r="S46" s="218">
        <f>+F86</f>
        <v>10469</v>
      </c>
      <c r="T46" s="180">
        <f t="shared" si="3"/>
        <v>22170.453999999998</v>
      </c>
    </row>
    <row r="47" spans="1:20" ht="18.600000000000001" thickBot="1" x14ac:dyDescent="0.4">
      <c r="A47" s="157"/>
      <c r="B47" s="158" t="s">
        <v>2634</v>
      </c>
      <c r="C47" s="159">
        <v>247</v>
      </c>
      <c r="D47" s="159">
        <v>164768</v>
      </c>
      <c r="E47" s="159">
        <v>180421</v>
      </c>
      <c r="F47" s="159">
        <v>15653</v>
      </c>
      <c r="G47" s="171">
        <f t="shared" ref="G47:G50" si="15">+F47/100*95</f>
        <v>14870.35</v>
      </c>
      <c r="L47" s="230">
        <f t="shared" ref="L47:T47" si="16">SUM(L4:L46)</f>
        <v>883</v>
      </c>
      <c r="M47" s="230">
        <f t="shared" si="16"/>
        <v>718924</v>
      </c>
      <c r="N47" s="230">
        <f t="shared" si="16"/>
        <v>66891.713500000013</v>
      </c>
      <c r="O47" s="231">
        <f t="shared" si="16"/>
        <v>7848</v>
      </c>
      <c r="P47" s="231">
        <f t="shared" si="16"/>
        <v>7293169</v>
      </c>
      <c r="Q47" s="231">
        <f t="shared" si="16"/>
        <v>682229.92200000014</v>
      </c>
      <c r="R47" s="231">
        <f t="shared" si="16"/>
        <v>749121.63550000009</v>
      </c>
      <c r="S47" s="231">
        <f t="shared" si="16"/>
        <v>80484</v>
      </c>
      <c r="T47" s="232">
        <f t="shared" si="16"/>
        <v>829605.63550000009</v>
      </c>
    </row>
    <row r="48" spans="1:20" ht="15.6" x14ac:dyDescent="0.3">
      <c r="A48" s="157"/>
      <c r="B48" s="158" t="s">
        <v>2636</v>
      </c>
      <c r="C48" s="159">
        <v>209</v>
      </c>
      <c r="D48" s="159">
        <v>106039</v>
      </c>
      <c r="E48" s="159">
        <v>116113</v>
      </c>
      <c r="F48" s="159">
        <v>10074</v>
      </c>
      <c r="G48" s="171">
        <f t="shared" si="15"/>
        <v>9570.2999999999993</v>
      </c>
    </row>
    <row r="49" spans="1:7" ht="15.6" x14ac:dyDescent="0.3">
      <c r="A49" s="157"/>
      <c r="B49" s="158" t="s">
        <v>2677</v>
      </c>
      <c r="C49" s="159">
        <v>171</v>
      </c>
      <c r="D49" s="159">
        <v>117439</v>
      </c>
      <c r="E49" s="159">
        <v>128596</v>
      </c>
      <c r="F49" s="159">
        <v>11157</v>
      </c>
      <c r="G49" s="171">
        <f t="shared" si="15"/>
        <v>10599.15</v>
      </c>
    </row>
    <row r="50" spans="1:7" ht="15.6" x14ac:dyDescent="0.3">
      <c r="A50" s="157"/>
      <c r="B50" s="158" t="s">
        <v>2678</v>
      </c>
      <c r="C50" s="159">
        <v>152</v>
      </c>
      <c r="D50" s="159">
        <v>88502</v>
      </c>
      <c r="E50" s="159">
        <v>96910</v>
      </c>
      <c r="F50" s="159">
        <v>8408</v>
      </c>
      <c r="G50" s="171">
        <f t="shared" si="15"/>
        <v>7987.5999999999995</v>
      </c>
    </row>
    <row r="51" spans="1:7" ht="15.6" x14ac:dyDescent="0.3">
      <c r="A51" s="157"/>
      <c r="B51" s="158" t="s">
        <v>2635</v>
      </c>
      <c r="C51" s="159">
        <v>200</v>
      </c>
      <c r="D51" s="159">
        <v>205575</v>
      </c>
      <c r="E51" s="159">
        <v>225105</v>
      </c>
      <c r="F51" s="159">
        <v>19530</v>
      </c>
      <c r="G51" s="85">
        <f t="shared" si="14"/>
        <v>19530</v>
      </c>
    </row>
    <row r="52" spans="1:7" ht="15.6" x14ac:dyDescent="0.3">
      <c r="A52" s="157"/>
      <c r="B52" s="158" t="s">
        <v>2638</v>
      </c>
      <c r="C52" s="159">
        <v>200</v>
      </c>
      <c r="D52" s="159">
        <v>199580</v>
      </c>
      <c r="E52" s="159">
        <v>218540</v>
      </c>
      <c r="F52" s="159">
        <v>18960</v>
      </c>
      <c r="G52" s="171">
        <f t="shared" ref="G52:G54" si="17">+F52/100*95</f>
        <v>18012</v>
      </c>
    </row>
    <row r="53" spans="1:7" ht="15.6" x14ac:dyDescent="0.3">
      <c r="A53" s="157"/>
      <c r="B53" s="158" t="s">
        <v>2639</v>
      </c>
      <c r="C53" s="159">
        <v>200</v>
      </c>
      <c r="D53" s="159">
        <v>203085</v>
      </c>
      <c r="E53" s="159">
        <v>222378</v>
      </c>
      <c r="F53" s="159">
        <v>19293</v>
      </c>
      <c r="G53" s="171">
        <f t="shared" si="17"/>
        <v>18328.350000000002</v>
      </c>
    </row>
    <row r="54" spans="1:7" ht="15.6" x14ac:dyDescent="0.3">
      <c r="A54" s="157"/>
      <c r="B54" s="158" t="s">
        <v>2640</v>
      </c>
      <c r="C54" s="159">
        <v>150</v>
      </c>
      <c r="D54" s="159">
        <v>151800</v>
      </c>
      <c r="E54" s="159">
        <v>166221</v>
      </c>
      <c r="F54" s="159">
        <v>14421</v>
      </c>
      <c r="G54" s="171">
        <f t="shared" si="17"/>
        <v>13699.95</v>
      </c>
    </row>
    <row r="55" spans="1:7" ht="15.6" x14ac:dyDescent="0.3">
      <c r="A55" s="157"/>
      <c r="B55" s="158" t="s">
        <v>2642</v>
      </c>
      <c r="C55" s="159">
        <v>150</v>
      </c>
      <c r="D55" s="159">
        <v>150000</v>
      </c>
      <c r="E55" s="159">
        <v>164250</v>
      </c>
      <c r="F55" s="159">
        <v>14250</v>
      </c>
      <c r="G55" s="85">
        <f t="shared" si="14"/>
        <v>14250</v>
      </c>
    </row>
    <row r="56" spans="1:7" ht="15.6" x14ac:dyDescent="0.3">
      <c r="A56" s="157"/>
      <c r="B56" s="158" t="s">
        <v>2641</v>
      </c>
      <c r="C56" s="159">
        <v>225</v>
      </c>
      <c r="D56" s="159">
        <v>212650</v>
      </c>
      <c r="E56" s="159">
        <v>232852</v>
      </c>
      <c r="F56" s="159">
        <v>20202</v>
      </c>
      <c r="G56" s="171">
        <f t="shared" ref="G56:G58" si="18">+F56/100*95</f>
        <v>19191.900000000001</v>
      </c>
    </row>
    <row r="57" spans="1:7" ht="15.6" x14ac:dyDescent="0.3">
      <c r="A57" s="157"/>
      <c r="B57" s="158" t="s">
        <v>2644</v>
      </c>
      <c r="C57" s="159">
        <v>250</v>
      </c>
      <c r="D57" s="159">
        <v>235475</v>
      </c>
      <c r="E57" s="159">
        <v>257845</v>
      </c>
      <c r="F57" s="159">
        <v>22370</v>
      </c>
      <c r="G57" s="171">
        <f t="shared" si="18"/>
        <v>21251.5</v>
      </c>
    </row>
    <row r="58" spans="1:7" ht="15.6" x14ac:dyDescent="0.3">
      <c r="A58" s="157"/>
      <c r="B58" s="158" t="s">
        <v>2645</v>
      </c>
      <c r="C58" s="159">
        <v>150</v>
      </c>
      <c r="D58" s="159">
        <v>147600</v>
      </c>
      <c r="E58" s="159">
        <v>161622</v>
      </c>
      <c r="F58" s="159">
        <v>14022</v>
      </c>
      <c r="G58" s="171">
        <f t="shared" si="18"/>
        <v>13320.9</v>
      </c>
    </row>
    <row r="59" spans="1:7" ht="15.6" x14ac:dyDescent="0.3">
      <c r="A59" s="157"/>
      <c r="B59" s="158" t="s">
        <v>2648</v>
      </c>
      <c r="C59" s="159">
        <v>200</v>
      </c>
      <c r="D59" s="159">
        <v>213250</v>
      </c>
      <c r="E59" s="159">
        <v>233509</v>
      </c>
      <c r="F59" s="159">
        <v>20259</v>
      </c>
      <c r="G59" s="85">
        <f t="shared" si="14"/>
        <v>20259</v>
      </c>
    </row>
    <row r="60" spans="1:7" ht="15.6" x14ac:dyDescent="0.3">
      <c r="A60" s="157"/>
      <c r="B60" s="158" t="s">
        <v>2646</v>
      </c>
      <c r="C60" s="159">
        <v>225</v>
      </c>
      <c r="D60" s="159">
        <v>225625</v>
      </c>
      <c r="E60" s="159">
        <v>247059</v>
      </c>
      <c r="F60" s="159">
        <v>21434</v>
      </c>
      <c r="G60" s="85">
        <f t="shared" si="14"/>
        <v>21434</v>
      </c>
    </row>
    <row r="61" spans="1:7" ht="15.6" x14ac:dyDescent="0.3">
      <c r="A61" s="157"/>
      <c r="B61" s="158" t="s">
        <v>2667</v>
      </c>
      <c r="C61" s="159">
        <v>250</v>
      </c>
      <c r="D61" s="159">
        <v>223325</v>
      </c>
      <c r="E61" s="159">
        <v>244541</v>
      </c>
      <c r="F61" s="159">
        <v>21216</v>
      </c>
      <c r="G61" s="85">
        <f t="shared" si="14"/>
        <v>21216</v>
      </c>
    </row>
    <row r="62" spans="1:7" ht="15.6" x14ac:dyDescent="0.3">
      <c r="A62" s="157"/>
      <c r="B62" s="158" t="s">
        <v>2647</v>
      </c>
      <c r="C62" s="159">
        <v>225</v>
      </c>
      <c r="D62" s="159">
        <v>246250</v>
      </c>
      <c r="E62" s="159">
        <v>269644</v>
      </c>
      <c r="F62" s="159">
        <v>23394</v>
      </c>
      <c r="G62" s="85">
        <f t="shared" si="14"/>
        <v>23394</v>
      </c>
    </row>
    <row r="63" spans="1:7" ht="15.6" x14ac:dyDescent="0.3">
      <c r="A63" s="157"/>
      <c r="B63" s="158" t="s">
        <v>2671</v>
      </c>
      <c r="C63" s="159">
        <v>200</v>
      </c>
      <c r="D63" s="159">
        <v>204600</v>
      </c>
      <c r="E63" s="159">
        <v>224037</v>
      </c>
      <c r="F63" s="159">
        <v>19437</v>
      </c>
      <c r="G63" s="85">
        <f t="shared" si="14"/>
        <v>19437</v>
      </c>
    </row>
    <row r="64" spans="1:7" ht="15.6" x14ac:dyDescent="0.3">
      <c r="A64" s="157"/>
      <c r="B64" s="158" t="s">
        <v>2649</v>
      </c>
      <c r="C64" s="159">
        <v>225</v>
      </c>
      <c r="D64" s="159">
        <v>245900</v>
      </c>
      <c r="E64" s="159">
        <v>269261</v>
      </c>
      <c r="F64" s="159">
        <v>23361</v>
      </c>
      <c r="G64" s="85">
        <f t="shared" si="14"/>
        <v>23361</v>
      </c>
    </row>
    <row r="65" spans="1:7" ht="15.6" x14ac:dyDescent="0.3">
      <c r="A65" s="157"/>
      <c r="B65" s="158" t="s">
        <v>2661</v>
      </c>
      <c r="C65" s="159">
        <v>250</v>
      </c>
      <c r="D65" s="159">
        <v>261700</v>
      </c>
      <c r="E65" s="159">
        <v>286562</v>
      </c>
      <c r="F65" s="159">
        <v>24862</v>
      </c>
      <c r="G65" s="85">
        <f t="shared" si="14"/>
        <v>24862</v>
      </c>
    </row>
    <row r="66" spans="1:7" ht="15.6" x14ac:dyDescent="0.3">
      <c r="A66" s="157"/>
      <c r="B66" s="158" t="s">
        <v>2650</v>
      </c>
      <c r="C66" s="159">
        <v>200</v>
      </c>
      <c r="D66" s="159">
        <v>210200</v>
      </c>
      <c r="E66" s="159">
        <v>230169</v>
      </c>
      <c r="F66" s="159">
        <v>19969</v>
      </c>
      <c r="G66" s="85">
        <f t="shared" si="14"/>
        <v>19969</v>
      </c>
    </row>
    <row r="67" spans="1:7" ht="15.6" x14ac:dyDescent="0.3">
      <c r="A67" s="157"/>
      <c r="B67" s="158" t="s">
        <v>2669</v>
      </c>
      <c r="C67" s="159">
        <v>250</v>
      </c>
      <c r="D67" s="159">
        <v>260990</v>
      </c>
      <c r="E67" s="159">
        <v>285784</v>
      </c>
      <c r="F67" s="159">
        <v>24794</v>
      </c>
      <c r="G67" s="85">
        <f t="shared" si="14"/>
        <v>24794</v>
      </c>
    </row>
    <row r="68" spans="1:7" ht="15.6" x14ac:dyDescent="0.3">
      <c r="A68" s="157"/>
      <c r="B68" s="158" t="s">
        <v>2651</v>
      </c>
      <c r="C68" s="159">
        <v>150</v>
      </c>
      <c r="D68" s="159">
        <v>177900</v>
      </c>
      <c r="E68" s="159">
        <v>194801</v>
      </c>
      <c r="F68" s="159">
        <v>16901</v>
      </c>
      <c r="G68" s="85">
        <f t="shared" si="14"/>
        <v>16901</v>
      </c>
    </row>
    <row r="69" spans="1:7" ht="15.6" x14ac:dyDescent="0.3">
      <c r="A69" s="157"/>
      <c r="B69" s="158" t="s">
        <v>2652</v>
      </c>
      <c r="C69" s="159">
        <v>180</v>
      </c>
      <c r="D69" s="159">
        <v>193680</v>
      </c>
      <c r="E69" s="159">
        <v>212080</v>
      </c>
      <c r="F69" s="159">
        <v>18400</v>
      </c>
      <c r="G69" s="85">
        <f t="shared" si="14"/>
        <v>18400</v>
      </c>
    </row>
    <row r="70" spans="1:7" ht="15.6" x14ac:dyDescent="0.3">
      <c r="A70" s="157"/>
      <c r="B70" s="158" t="s">
        <v>2653</v>
      </c>
      <c r="C70" s="159">
        <v>270</v>
      </c>
      <c r="D70" s="159">
        <v>290820</v>
      </c>
      <c r="E70" s="159">
        <v>318448</v>
      </c>
      <c r="F70" s="159">
        <v>27628</v>
      </c>
      <c r="G70" s="85">
        <f t="shared" si="14"/>
        <v>27628</v>
      </c>
    </row>
    <row r="71" spans="1:7" ht="15.6" x14ac:dyDescent="0.3">
      <c r="A71" s="157"/>
      <c r="B71" s="158" t="s">
        <v>2655</v>
      </c>
      <c r="C71" s="159">
        <v>240</v>
      </c>
      <c r="D71" s="159">
        <v>258630</v>
      </c>
      <c r="E71" s="159">
        <v>283200</v>
      </c>
      <c r="F71" s="159">
        <v>24570</v>
      </c>
      <c r="G71" s="85">
        <f t="shared" si="14"/>
        <v>24570</v>
      </c>
    </row>
    <row r="72" spans="1:7" ht="15.6" x14ac:dyDescent="0.3">
      <c r="A72" s="157"/>
      <c r="B72" s="158" t="s">
        <v>2654</v>
      </c>
      <c r="C72" s="159">
        <v>175</v>
      </c>
      <c r="D72" s="159">
        <v>166100</v>
      </c>
      <c r="E72" s="159">
        <v>181880</v>
      </c>
      <c r="F72" s="159">
        <v>15780</v>
      </c>
      <c r="G72" s="85">
        <f t="shared" si="14"/>
        <v>15780</v>
      </c>
    </row>
    <row r="73" spans="1:7" ht="15.6" x14ac:dyDescent="0.3">
      <c r="A73" s="157"/>
      <c r="B73" s="158" t="s">
        <v>2656</v>
      </c>
      <c r="C73" s="159">
        <v>150</v>
      </c>
      <c r="D73" s="159">
        <v>138975</v>
      </c>
      <c r="E73" s="159">
        <v>152178</v>
      </c>
      <c r="F73" s="159">
        <v>13203</v>
      </c>
      <c r="G73" s="85">
        <f t="shared" si="14"/>
        <v>13203</v>
      </c>
    </row>
    <row r="74" spans="1:7" ht="15.6" x14ac:dyDescent="0.3">
      <c r="A74" s="157"/>
      <c r="B74" s="158" t="s">
        <v>2657</v>
      </c>
      <c r="C74" s="159">
        <v>125</v>
      </c>
      <c r="D74" s="159">
        <v>105175</v>
      </c>
      <c r="E74" s="159">
        <v>115167</v>
      </c>
      <c r="F74" s="159">
        <v>9992</v>
      </c>
      <c r="G74" s="171">
        <f>+F74/100*95</f>
        <v>9492.4</v>
      </c>
    </row>
    <row r="75" spans="1:7" ht="15.6" x14ac:dyDescent="0.3">
      <c r="A75" s="157"/>
      <c r="B75" s="158" t="s">
        <v>2675</v>
      </c>
      <c r="C75" s="159">
        <v>171</v>
      </c>
      <c r="D75" s="159">
        <v>113430</v>
      </c>
      <c r="E75" s="159">
        <v>124206</v>
      </c>
      <c r="F75" s="159">
        <v>10776</v>
      </c>
      <c r="G75" s="171">
        <f>+F75/100*95</f>
        <v>10237.200000000001</v>
      </c>
    </row>
    <row r="76" spans="1:7" ht="15.6" x14ac:dyDescent="0.3">
      <c r="A76" s="157"/>
      <c r="B76" s="158" t="s">
        <v>2658</v>
      </c>
      <c r="C76" s="159">
        <v>124</v>
      </c>
      <c r="D76" s="159">
        <v>110587</v>
      </c>
      <c r="E76" s="159">
        <v>121093</v>
      </c>
      <c r="F76" s="159">
        <v>10506</v>
      </c>
      <c r="G76" s="85">
        <f t="shared" si="14"/>
        <v>10506</v>
      </c>
    </row>
    <row r="77" spans="1:7" ht="15.6" x14ac:dyDescent="0.3">
      <c r="A77" s="157"/>
      <c r="B77" s="158" t="s">
        <v>2659</v>
      </c>
      <c r="C77" s="159">
        <v>175</v>
      </c>
      <c r="D77" s="159">
        <v>175700</v>
      </c>
      <c r="E77" s="159">
        <v>192392</v>
      </c>
      <c r="F77" s="159">
        <v>16692</v>
      </c>
      <c r="G77" s="85">
        <f t="shared" si="14"/>
        <v>16692</v>
      </c>
    </row>
    <row r="78" spans="1:7" ht="15.6" x14ac:dyDescent="0.3">
      <c r="A78" s="157"/>
      <c r="B78" s="158" t="s">
        <v>2660</v>
      </c>
      <c r="C78" s="159">
        <v>270</v>
      </c>
      <c r="D78" s="159">
        <v>292500</v>
      </c>
      <c r="E78" s="159">
        <v>320288</v>
      </c>
      <c r="F78" s="159">
        <v>27788</v>
      </c>
      <c r="G78" s="85">
        <f t="shared" si="14"/>
        <v>27788</v>
      </c>
    </row>
    <row r="79" spans="1:7" ht="18.600000000000001" thickBot="1" x14ac:dyDescent="0.4">
      <c r="A79" s="190" t="s">
        <v>2662</v>
      </c>
      <c r="B79" s="190"/>
      <c r="C79" s="191">
        <v>7848</v>
      </c>
      <c r="D79" s="191">
        <v>7293169</v>
      </c>
      <c r="E79" s="191">
        <v>7986020</v>
      </c>
      <c r="F79" s="191">
        <v>692851</v>
      </c>
      <c r="G79" s="202">
        <f>SUM(G39:G78)</f>
        <v>682235.79999999993</v>
      </c>
    </row>
    <row r="80" spans="1:7" ht="16.2" thickBot="1" x14ac:dyDescent="0.35">
      <c r="A80" s="196"/>
    </row>
    <row r="81" spans="1:6" ht="16.2" thickBot="1" x14ac:dyDescent="0.35">
      <c r="A81" s="252" t="s">
        <v>2683</v>
      </c>
      <c r="B81" s="253"/>
      <c r="C81" s="253"/>
      <c r="D81" s="253"/>
      <c r="E81" s="254"/>
    </row>
    <row r="82" spans="1:6" ht="15.6" x14ac:dyDescent="0.3">
      <c r="A82" s="152"/>
      <c r="B82" s="152"/>
      <c r="C82" s="152" t="s">
        <v>2614</v>
      </c>
      <c r="D82" s="152"/>
      <c r="E82" s="152"/>
    </row>
    <row r="83" spans="1:6" ht="62.4" x14ac:dyDescent="0.3">
      <c r="A83" s="153" t="s">
        <v>2620</v>
      </c>
      <c r="B83" s="153" t="s">
        <v>2617</v>
      </c>
      <c r="C83" s="154" t="s">
        <v>2621</v>
      </c>
      <c r="D83" s="154" t="s">
        <v>2622</v>
      </c>
      <c r="E83" s="154" t="s">
        <v>2665</v>
      </c>
    </row>
    <row r="84" spans="1:6" ht="15.6" x14ac:dyDescent="0.3">
      <c r="A84" s="157" t="s">
        <v>2628</v>
      </c>
      <c r="B84" s="158" t="s">
        <v>2676</v>
      </c>
      <c r="C84" s="159">
        <v>152</v>
      </c>
      <c r="D84" s="159">
        <v>91979</v>
      </c>
      <c r="E84" s="160">
        <v>7828</v>
      </c>
      <c r="F84" s="171">
        <f>+E84/100*95</f>
        <v>7436.6</v>
      </c>
    </row>
    <row r="85" spans="1:6" ht="15.6" x14ac:dyDescent="0.3">
      <c r="A85" s="157"/>
      <c r="B85" s="158" t="s">
        <v>2633</v>
      </c>
      <c r="C85" s="159">
        <v>228</v>
      </c>
      <c r="D85" s="159">
        <v>148599</v>
      </c>
      <c r="E85" s="159">
        <v>12616</v>
      </c>
      <c r="F85" s="171">
        <f>+E85</f>
        <v>12616</v>
      </c>
    </row>
    <row r="86" spans="1:6" ht="15.6" x14ac:dyDescent="0.3">
      <c r="A86" s="157"/>
      <c r="B86" s="158" t="s">
        <v>2679</v>
      </c>
      <c r="C86" s="159">
        <v>209</v>
      </c>
      <c r="D86" s="159">
        <v>129656</v>
      </c>
      <c r="E86" s="159">
        <v>11020</v>
      </c>
      <c r="F86" s="171">
        <f t="shared" ref="F86:F91" si="19">+E86/100*95</f>
        <v>10469</v>
      </c>
    </row>
    <row r="87" spans="1:6" ht="15.6" x14ac:dyDescent="0.3">
      <c r="A87" s="157"/>
      <c r="B87" s="158" t="s">
        <v>2634</v>
      </c>
      <c r="C87" s="159">
        <v>247</v>
      </c>
      <c r="D87" s="159">
        <v>164768</v>
      </c>
      <c r="E87" s="159">
        <v>13984</v>
      </c>
      <c r="F87" s="171">
        <f t="shared" si="19"/>
        <v>13284.800000000001</v>
      </c>
    </row>
    <row r="88" spans="1:6" ht="15.6" x14ac:dyDescent="0.3">
      <c r="A88" s="157"/>
      <c r="B88" s="158" t="s">
        <v>2636</v>
      </c>
      <c r="C88" s="159">
        <v>209</v>
      </c>
      <c r="D88" s="159">
        <v>106039</v>
      </c>
      <c r="E88" s="159">
        <v>9025</v>
      </c>
      <c r="F88" s="171">
        <f t="shared" si="19"/>
        <v>8573.75</v>
      </c>
    </row>
    <row r="89" spans="1:6" ht="15.6" x14ac:dyDescent="0.3">
      <c r="A89" s="157"/>
      <c r="B89" s="158" t="s">
        <v>2677</v>
      </c>
      <c r="C89" s="159">
        <v>171</v>
      </c>
      <c r="D89" s="159">
        <v>117439</v>
      </c>
      <c r="E89" s="159">
        <v>10013</v>
      </c>
      <c r="F89" s="171">
        <f t="shared" si="19"/>
        <v>9512.35</v>
      </c>
    </row>
    <row r="90" spans="1:6" ht="15.6" x14ac:dyDescent="0.3">
      <c r="A90" s="157"/>
      <c r="B90" s="158" t="s">
        <v>2678</v>
      </c>
      <c r="C90" s="159">
        <v>152</v>
      </c>
      <c r="D90" s="159">
        <v>88502</v>
      </c>
      <c r="E90" s="159">
        <v>7486</v>
      </c>
      <c r="F90" s="171">
        <f t="shared" si="19"/>
        <v>7111.7</v>
      </c>
    </row>
    <row r="91" spans="1:6" ht="15.6" x14ac:dyDescent="0.3">
      <c r="A91" s="157"/>
      <c r="B91" s="158" t="s">
        <v>2675</v>
      </c>
      <c r="C91" s="159">
        <v>171</v>
      </c>
      <c r="D91" s="159">
        <v>113430</v>
      </c>
      <c r="E91" s="159">
        <v>9652</v>
      </c>
      <c r="F91" s="171">
        <f t="shared" si="19"/>
        <v>9169.4</v>
      </c>
    </row>
    <row r="92" spans="1:6" ht="18.600000000000001" thickBot="1" x14ac:dyDescent="0.4">
      <c r="A92" s="190" t="s">
        <v>2662</v>
      </c>
      <c r="B92" s="190"/>
      <c r="C92" s="191">
        <v>1539</v>
      </c>
      <c r="D92" s="191">
        <v>960412</v>
      </c>
      <c r="E92" s="191">
        <v>81624</v>
      </c>
      <c r="F92" s="202">
        <f>SUM(F84:F91)</f>
        <v>78173.599999999991</v>
      </c>
    </row>
    <row r="93" spans="1:6" ht="16.2" thickBot="1" x14ac:dyDescent="0.35">
      <c r="A93" s="196"/>
    </row>
    <row r="94" spans="1:6" ht="16.2" thickBot="1" x14ac:dyDescent="0.35">
      <c r="A94" s="252" t="s">
        <v>2684</v>
      </c>
      <c r="B94" s="253"/>
      <c r="C94" s="253"/>
      <c r="D94" s="253"/>
      <c r="E94" s="254"/>
    </row>
    <row r="95" spans="1:6" ht="15.6" x14ac:dyDescent="0.3">
      <c r="A95" s="152"/>
      <c r="B95" s="152"/>
      <c r="C95" s="152" t="s">
        <v>2614</v>
      </c>
      <c r="D95" s="152"/>
      <c r="E95" s="152"/>
    </row>
    <row r="96" spans="1:6" ht="62.4" x14ac:dyDescent="0.3">
      <c r="A96" s="153" t="s">
        <v>2620</v>
      </c>
      <c r="B96" s="153" t="s">
        <v>2617</v>
      </c>
      <c r="C96" s="154" t="s">
        <v>2621</v>
      </c>
      <c r="D96" s="154" t="s">
        <v>2622</v>
      </c>
      <c r="E96" s="154" t="s">
        <v>2685</v>
      </c>
    </row>
    <row r="97" spans="1:6" ht="15.6" x14ac:dyDescent="0.3">
      <c r="A97" s="157" t="s">
        <v>2628</v>
      </c>
      <c r="B97" s="158" t="s">
        <v>2686</v>
      </c>
      <c r="C97" s="159">
        <v>182</v>
      </c>
      <c r="D97" s="159">
        <v>101127</v>
      </c>
      <c r="E97" s="160">
        <v>15184</v>
      </c>
      <c r="F97" s="171">
        <f>+E97/100*93</f>
        <v>14121.12</v>
      </c>
    </row>
    <row r="98" spans="1:6" ht="15.6" x14ac:dyDescent="0.3">
      <c r="A98" s="190" t="s">
        <v>2662</v>
      </c>
      <c r="B98" s="190"/>
      <c r="C98" s="191">
        <v>182</v>
      </c>
      <c r="D98" s="191">
        <v>101127</v>
      </c>
      <c r="E98" s="191">
        <v>15184</v>
      </c>
    </row>
  </sheetData>
  <mergeCells count="14">
    <mergeCell ref="I1:T1"/>
    <mergeCell ref="I2:I3"/>
    <mergeCell ref="J2:J3"/>
    <mergeCell ref="K2:K3"/>
    <mergeCell ref="L2:N2"/>
    <mergeCell ref="O2:Q2"/>
    <mergeCell ref="R2:R3"/>
    <mergeCell ref="S2:S3"/>
    <mergeCell ref="T2:T3"/>
    <mergeCell ref="A29:E29"/>
    <mergeCell ref="A36:F36"/>
    <mergeCell ref="A81:E81"/>
    <mergeCell ref="A94:E94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30"/>
  <sheetViews>
    <sheetView tabSelected="1" topLeftCell="A478" workbookViewId="0">
      <selection activeCell="C502" sqref="C502"/>
    </sheetView>
  </sheetViews>
  <sheetFormatPr defaultColWidth="7.33203125" defaultRowHeight="14.4" x14ac:dyDescent="0.3"/>
  <cols>
    <col min="1" max="1" width="7.109375" style="97" bestFit="1" customWidth="1"/>
    <col min="2" max="3" width="11.33203125" style="97" bestFit="1" customWidth="1"/>
    <col min="4" max="4" width="22" style="98" bestFit="1" customWidth="1"/>
    <col min="5" max="5" width="11.33203125" style="98" bestFit="1" customWidth="1"/>
    <col min="6" max="6" width="9.5546875" style="98" bestFit="1" customWidth="1"/>
    <col min="7" max="7" width="7" style="97" bestFit="1" customWidth="1"/>
    <col min="8" max="8" width="9.33203125" style="97" bestFit="1" customWidth="1"/>
    <col min="9" max="9" width="6.6640625" style="97" bestFit="1" customWidth="1"/>
    <col min="10" max="10" width="5.5546875" style="97" bestFit="1" customWidth="1"/>
    <col min="11" max="11" width="12.33203125" style="97" bestFit="1" customWidth="1"/>
    <col min="12" max="12" width="13.109375" style="97" bestFit="1" customWidth="1"/>
    <col min="13" max="13" width="15.33203125" style="97" bestFit="1" customWidth="1"/>
    <col min="14" max="14" width="12" style="97" bestFit="1" customWidth="1"/>
    <col min="15" max="15" width="12.109375" style="97" bestFit="1" customWidth="1"/>
    <col min="16" max="16" width="18.6640625" style="98" bestFit="1" customWidth="1"/>
    <col min="17" max="18" width="12" style="97" bestFit="1" customWidth="1"/>
    <col min="19" max="19" width="13.44140625" style="97" bestFit="1" customWidth="1"/>
    <col min="20" max="20" width="7" style="97" bestFit="1" customWidth="1"/>
    <col min="21" max="21" width="10.109375" style="97" bestFit="1" customWidth="1"/>
    <col min="22" max="22" width="25.33203125" style="97" bestFit="1" customWidth="1"/>
    <col min="23" max="23" width="40.5546875" style="97" bestFit="1" customWidth="1"/>
    <col min="24" max="24" width="106.5546875" style="97" hidden="1" customWidth="1"/>
    <col min="25" max="26" width="10.33203125" style="97" bestFit="1" customWidth="1"/>
    <col min="27" max="27" width="12.44140625" style="97" bestFit="1" customWidth="1"/>
    <col min="28" max="28" width="14" style="97" bestFit="1" customWidth="1"/>
    <col min="29" max="29" width="20.5546875" style="97" bestFit="1" customWidth="1"/>
    <col min="30" max="30" width="14" style="97" bestFit="1" customWidth="1"/>
    <col min="31" max="31" width="12.44140625" style="97" bestFit="1" customWidth="1"/>
    <col min="32" max="32" width="10.33203125" style="97" bestFit="1" customWidth="1"/>
    <col min="33" max="33" width="14" style="97" bestFit="1" customWidth="1"/>
    <col min="34" max="34" width="10.6640625" style="97" bestFit="1" customWidth="1"/>
    <col min="35" max="35" width="12.44140625" style="97" bestFit="1" customWidth="1"/>
    <col min="36" max="36" width="8.88671875" style="97" bestFit="1" customWidth="1"/>
    <col min="37" max="37" width="10.88671875" style="97" bestFit="1" customWidth="1"/>
    <col min="38" max="38" width="8.88671875" style="97" bestFit="1" customWidth="1"/>
    <col min="39" max="39" width="7.109375" style="97" bestFit="1" customWidth="1"/>
    <col min="40" max="40" width="10.6640625" style="97" bestFit="1" customWidth="1"/>
    <col min="41" max="41" width="17.109375" style="97" bestFit="1" customWidth="1"/>
    <col min="42" max="42" width="12.44140625" style="97" bestFit="1" customWidth="1"/>
    <col min="43" max="44" width="10.33203125" style="97" bestFit="1" customWidth="1"/>
    <col min="45" max="45" width="8.88671875" style="97" bestFit="1" customWidth="1"/>
    <col min="46" max="46" width="7.44140625" style="97" bestFit="1" customWidth="1"/>
    <col min="47" max="47" width="8.88671875" style="97" bestFit="1" customWidth="1"/>
    <col min="48" max="48" width="10.33203125" style="97" bestFit="1" customWidth="1"/>
    <col min="49" max="49" width="14" style="97" bestFit="1" customWidth="1"/>
    <col min="50" max="50" width="10" style="97" bestFit="1" customWidth="1"/>
    <col min="51" max="51" width="12.44140625" style="97" bestFit="1" customWidth="1"/>
    <col min="52" max="52" width="9.5546875" style="97" bestFit="1" customWidth="1"/>
    <col min="53" max="53" width="10.109375" style="97" bestFit="1" customWidth="1"/>
    <col min="54" max="54" width="11.33203125" style="97" bestFit="1" customWidth="1"/>
    <col min="55" max="55" width="14" style="97" bestFit="1" customWidth="1"/>
    <col min="56" max="58" width="10.33203125" style="97" bestFit="1" customWidth="1"/>
    <col min="59" max="59" width="12.44140625" style="97" bestFit="1" customWidth="1"/>
    <col min="60" max="60" width="10.33203125" style="97" bestFit="1" customWidth="1"/>
    <col min="61" max="61" width="7" style="97" bestFit="1" customWidth="1"/>
    <col min="62" max="62" width="8.88671875" style="97" bestFit="1" customWidth="1"/>
    <col min="63" max="63" width="14" style="97" bestFit="1" customWidth="1"/>
    <col min="64" max="64" width="25.109375" style="97" bestFit="1" customWidth="1"/>
    <col min="65" max="65" width="8.6640625" style="97" bestFit="1" customWidth="1"/>
    <col min="66" max="66" width="6.88671875" style="97" bestFit="1" customWidth="1"/>
    <col min="67" max="67" width="46.33203125" style="96" bestFit="1" customWidth="1"/>
    <col min="68" max="70" width="7.33203125" style="97"/>
    <col min="71" max="71" width="8.109375" style="97" bestFit="1" customWidth="1"/>
    <col min="72" max="16384" width="7.33203125" style="97"/>
  </cols>
  <sheetData>
    <row r="1" spans="1:67" s="1" customFormat="1" ht="25.8" x14ac:dyDescent="0.5">
      <c r="A1" s="237" t="s">
        <v>0</v>
      </c>
      <c r="B1" s="238"/>
      <c r="C1" s="238"/>
      <c r="D1" s="238"/>
      <c r="E1" s="239"/>
      <c r="F1" s="239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40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41"/>
      <c r="AS1" s="241"/>
      <c r="AT1" s="238"/>
      <c r="AU1" s="238"/>
      <c r="AV1" s="238"/>
      <c r="AW1" s="238"/>
      <c r="AX1" s="238"/>
      <c r="AY1" s="238"/>
      <c r="AZ1" s="238"/>
      <c r="BA1" s="238"/>
      <c r="BB1" s="238"/>
      <c r="BC1" s="238"/>
      <c r="BD1" s="238"/>
      <c r="BE1" s="238"/>
      <c r="BF1" s="238"/>
      <c r="BG1" s="238"/>
      <c r="BH1" s="238"/>
      <c r="BI1" s="238"/>
      <c r="BJ1" s="238"/>
      <c r="BK1" s="238"/>
      <c r="BL1" s="238"/>
      <c r="BO1" s="2"/>
    </row>
    <row r="2" spans="1:67" s="1" customFormat="1" ht="25.8" x14ac:dyDescent="0.5">
      <c r="A2" s="242" t="s">
        <v>1</v>
      </c>
      <c r="B2" s="243"/>
      <c r="C2" s="243"/>
      <c r="D2" s="243"/>
      <c r="E2" s="244"/>
      <c r="F2" s="244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5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6"/>
      <c r="AS2" s="246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O2" s="2"/>
    </row>
    <row r="3" spans="1:67" s="18" customFormat="1" ht="51.75" customHeight="1" x14ac:dyDescent="0.4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3" t="s">
        <v>8</v>
      </c>
      <c r="H3" s="5" t="s">
        <v>9</v>
      </c>
      <c r="I3" s="6"/>
      <c r="J3" s="7"/>
      <c r="K3" s="3" t="s">
        <v>10</v>
      </c>
      <c r="L3" s="3" t="s">
        <v>11</v>
      </c>
      <c r="M3" s="8" t="s">
        <v>12</v>
      </c>
      <c r="N3" s="9" t="s">
        <v>13</v>
      </c>
      <c r="O3" s="3" t="s">
        <v>14</v>
      </c>
      <c r="P3" s="10" t="s">
        <v>15</v>
      </c>
      <c r="Q3" s="8" t="s">
        <v>16</v>
      </c>
      <c r="R3" s="9" t="s">
        <v>17</v>
      </c>
      <c r="S3" s="11" t="s">
        <v>18</v>
      </c>
      <c r="T3" s="3" t="s">
        <v>19</v>
      </c>
      <c r="U3" s="3" t="s">
        <v>20</v>
      </c>
      <c r="V3" s="3" t="s">
        <v>21</v>
      </c>
      <c r="W3" s="12" t="s">
        <v>22</v>
      </c>
      <c r="X3" s="12" t="s">
        <v>23</v>
      </c>
      <c r="Y3" s="3" t="s">
        <v>24</v>
      </c>
      <c r="Z3" s="3" t="s">
        <v>25</v>
      </c>
      <c r="AA3" s="3" t="s">
        <v>26</v>
      </c>
      <c r="AB3" s="13" t="s">
        <v>27</v>
      </c>
      <c r="AC3" s="14" t="s">
        <v>28</v>
      </c>
      <c r="AD3" s="3" t="s">
        <v>29</v>
      </c>
      <c r="AE3" s="3" t="s">
        <v>30</v>
      </c>
      <c r="AF3" s="15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8" t="s">
        <v>39</v>
      </c>
      <c r="AO3" s="3" t="s">
        <v>40</v>
      </c>
      <c r="AP3" s="3" t="s">
        <v>41</v>
      </c>
      <c r="AQ3" s="3" t="s">
        <v>42</v>
      </c>
      <c r="AR3" s="16" t="s">
        <v>43</v>
      </c>
      <c r="AS3" s="16" t="s">
        <v>44</v>
      </c>
      <c r="AT3" s="16" t="s">
        <v>45</v>
      </c>
      <c r="AU3" s="16" t="s">
        <v>46</v>
      </c>
      <c r="AV3" s="3" t="s">
        <v>47</v>
      </c>
      <c r="AW3" s="4" t="s">
        <v>48</v>
      </c>
      <c r="AX3" s="4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4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17" t="s">
        <v>66</v>
      </c>
    </row>
    <row r="4" spans="1:67" s="18" customFormat="1" ht="18.75" customHeight="1" x14ac:dyDescent="0.35">
      <c r="A4" s="3"/>
      <c r="B4" s="3"/>
      <c r="C4" s="3"/>
      <c r="D4" s="4"/>
      <c r="E4" s="4"/>
      <c r="F4" s="4"/>
      <c r="G4" s="3"/>
      <c r="H4" s="5"/>
      <c r="I4" s="6"/>
      <c r="J4" s="7"/>
      <c r="K4" s="3"/>
      <c r="L4" s="3"/>
      <c r="M4" s="8"/>
      <c r="N4" s="9"/>
      <c r="O4" s="3"/>
      <c r="P4" s="10"/>
      <c r="Q4" s="19"/>
      <c r="R4" s="9"/>
      <c r="S4" s="3"/>
      <c r="T4" s="3"/>
      <c r="U4" s="3"/>
      <c r="V4" s="3"/>
      <c r="W4" s="12"/>
      <c r="X4" s="12"/>
      <c r="Y4" s="3"/>
      <c r="Z4" s="3"/>
      <c r="AA4" s="3"/>
      <c r="AB4" s="14"/>
      <c r="AC4" s="14"/>
      <c r="AD4" s="3"/>
      <c r="AE4" s="3"/>
      <c r="AF4" s="15"/>
      <c r="AG4" s="3"/>
      <c r="AH4" s="3"/>
      <c r="AI4" s="3"/>
      <c r="AJ4" s="3"/>
      <c r="AK4" s="3"/>
      <c r="AL4" s="3"/>
      <c r="AM4" s="3"/>
      <c r="AN4" s="8"/>
      <c r="AO4" s="3"/>
      <c r="AP4" s="3"/>
      <c r="AQ4" s="3"/>
      <c r="AR4" s="16"/>
      <c r="AS4" s="16"/>
      <c r="AT4" s="16"/>
      <c r="AU4" s="16"/>
      <c r="AV4" s="3"/>
      <c r="AW4" s="4"/>
      <c r="AX4" s="4"/>
      <c r="AY4" s="3"/>
      <c r="AZ4" s="3"/>
      <c r="BA4" s="3"/>
      <c r="BB4" s="3"/>
      <c r="BC4" s="3"/>
      <c r="BD4" s="4"/>
      <c r="BE4" s="3"/>
      <c r="BF4" s="3"/>
      <c r="BG4" s="3"/>
      <c r="BH4" s="3"/>
      <c r="BI4" s="3"/>
      <c r="BJ4" s="3"/>
      <c r="BK4" s="3"/>
      <c r="BL4" s="3"/>
      <c r="BM4" s="3"/>
      <c r="BN4" s="3"/>
      <c r="BO4" s="17"/>
    </row>
    <row r="5" spans="1:67" s="1" customFormat="1" x14ac:dyDescent="0.3">
      <c r="A5" s="20">
        <v>1</v>
      </c>
      <c r="B5" s="21">
        <v>46082</v>
      </c>
      <c r="C5" s="21">
        <v>46088</v>
      </c>
      <c r="D5" s="22" t="s">
        <v>67</v>
      </c>
      <c r="E5" s="23">
        <v>46092</v>
      </c>
      <c r="F5" s="23" t="s">
        <v>7</v>
      </c>
      <c r="G5" s="24" t="s">
        <v>68</v>
      </c>
      <c r="H5" s="24" t="s">
        <v>69</v>
      </c>
      <c r="I5" s="24" t="s">
        <v>70</v>
      </c>
      <c r="J5" s="25" t="s">
        <v>71</v>
      </c>
      <c r="K5" s="9" t="str">
        <f>CONCATENATE(H5,I5,J5)</f>
        <v>WB39B0034</v>
      </c>
      <c r="L5" s="26">
        <v>46083</v>
      </c>
      <c r="M5" s="27" t="s">
        <v>72</v>
      </c>
      <c r="N5" s="27">
        <v>8100917748</v>
      </c>
      <c r="O5" s="28">
        <v>0</v>
      </c>
      <c r="P5" s="27"/>
      <c r="Q5" s="29">
        <v>2525348461</v>
      </c>
      <c r="R5" s="30">
        <v>2110795667</v>
      </c>
      <c r="S5" s="31" t="s">
        <v>73</v>
      </c>
      <c r="T5" s="24" t="s">
        <v>74</v>
      </c>
      <c r="U5" s="24" t="s">
        <v>75</v>
      </c>
      <c r="V5" s="32" t="s">
        <v>76</v>
      </c>
      <c r="W5" s="32" t="s">
        <v>77</v>
      </c>
      <c r="X5" s="32" t="s">
        <v>78</v>
      </c>
      <c r="Y5" s="24">
        <v>584</v>
      </c>
      <c r="Z5" s="24">
        <v>6</v>
      </c>
      <c r="AA5" s="24">
        <f>+Y5/100*95</f>
        <v>554.79999999999995</v>
      </c>
      <c r="AB5" s="24">
        <f t="shared" ref="AB5:AB68" si="0">+Z5*Y5</f>
        <v>3504</v>
      </c>
      <c r="AC5" s="24">
        <f t="shared" ref="AC5:AC68" si="1">+AB5/100*95</f>
        <v>3328.7999999999997</v>
      </c>
      <c r="AD5" s="24">
        <f t="shared" ref="AD5:AD68" si="2">+AA5*Z5</f>
        <v>3328.7999999999997</v>
      </c>
      <c r="AE5" s="24">
        <f t="shared" ref="AE5:AE68" si="3">+AB5-AD5</f>
        <v>175.20000000000027</v>
      </c>
      <c r="AF5" s="24">
        <f>+AD5*1%</f>
        <v>33.287999999999997</v>
      </c>
      <c r="AG5" s="33">
        <v>2800</v>
      </c>
      <c r="AH5" s="24"/>
      <c r="AI5" s="24"/>
      <c r="AJ5" s="24"/>
      <c r="AK5" s="24"/>
      <c r="AL5" s="24"/>
      <c r="AM5" s="24" t="s">
        <v>79</v>
      </c>
      <c r="AN5" s="34" t="s">
        <v>80</v>
      </c>
      <c r="AO5" s="35" t="s">
        <v>81</v>
      </c>
      <c r="AP5" s="24">
        <f>107*2</f>
        <v>214</v>
      </c>
      <c r="AQ5" s="36">
        <f>+AP5/3.25</f>
        <v>65.84615384615384</v>
      </c>
      <c r="AR5" s="37">
        <v>65</v>
      </c>
      <c r="AS5" s="38">
        <f>+AR5-AQ5</f>
        <v>-0.84615384615383959</v>
      </c>
      <c r="AT5" s="39"/>
      <c r="AU5" s="38">
        <f>+AS5-AT5</f>
        <v>-0.84615384615383959</v>
      </c>
      <c r="AV5" s="40">
        <v>91.99</v>
      </c>
      <c r="AW5" s="41">
        <f t="shared" ref="AW5:AW68" si="4">+AR5*AV5</f>
        <v>5979.3499999999995</v>
      </c>
      <c r="AX5" s="24">
        <f t="shared" ref="AX5:AX21" si="5">((AG5+AW5)/AD5)*100</f>
        <v>263.7391852919971</v>
      </c>
      <c r="AY5" s="24">
        <v>120</v>
      </c>
      <c r="AZ5" s="24"/>
      <c r="BA5" s="24"/>
      <c r="BB5" s="24">
        <f>+AZ5*BA5</f>
        <v>0</v>
      </c>
      <c r="BC5" s="24">
        <f>+AD5-AF5-AG5-AH5-AI5-AJ5-AK5-AW5-AY5-BB5-AL5</f>
        <v>-5603.8379999999997</v>
      </c>
      <c r="BD5" s="24"/>
      <c r="BE5" s="24"/>
      <c r="BF5" s="24"/>
      <c r="BG5" s="24">
        <f>+AD5*8.5%</f>
        <v>282.94799999999998</v>
      </c>
      <c r="BH5" s="24">
        <f>+AD5*8.5%</f>
        <v>282.94799999999998</v>
      </c>
      <c r="BI5" s="24"/>
      <c r="BJ5" s="24">
        <v>0</v>
      </c>
      <c r="BK5" s="24">
        <f>+BC5+BD5+BE5+BF5+BG5+BH5+BI5-BJ5</f>
        <v>-5037.9419999999991</v>
      </c>
      <c r="BL5" s="24" t="s">
        <v>82</v>
      </c>
      <c r="BM5" s="42">
        <f t="shared" ref="BM5:BM68" si="6">+L5-B5+1</f>
        <v>2</v>
      </c>
      <c r="BN5" s="24" t="s">
        <v>83</v>
      </c>
      <c r="BO5" s="2" t="s">
        <v>84</v>
      </c>
    </row>
    <row r="6" spans="1:67" s="49" customFormat="1" x14ac:dyDescent="0.3">
      <c r="A6" s="43">
        <v>2</v>
      </c>
      <c r="B6" s="21">
        <v>46082</v>
      </c>
      <c r="C6" s="26">
        <v>46088</v>
      </c>
      <c r="D6" s="22" t="s">
        <v>67</v>
      </c>
      <c r="E6" s="23">
        <v>46092</v>
      </c>
      <c r="F6" s="44" t="s">
        <v>7</v>
      </c>
      <c r="G6" s="24" t="s">
        <v>68</v>
      </c>
      <c r="H6" s="24" t="s">
        <v>69</v>
      </c>
      <c r="I6" s="24" t="s">
        <v>70</v>
      </c>
      <c r="J6" s="25" t="s">
        <v>71</v>
      </c>
      <c r="K6" s="45" t="str">
        <f t="shared" ref="K6:K69" si="7">CONCATENATE(H6,I6,J6)</f>
        <v>WB39B0034</v>
      </c>
      <c r="L6" s="26">
        <v>46083</v>
      </c>
      <c r="M6" s="27" t="s">
        <v>85</v>
      </c>
      <c r="N6" s="27">
        <v>8100917747</v>
      </c>
      <c r="O6" s="28">
        <v>0</v>
      </c>
      <c r="P6" s="27"/>
      <c r="Q6" s="29">
        <v>2525348463</v>
      </c>
      <c r="R6" s="30">
        <v>2110795668</v>
      </c>
      <c r="S6" s="31" t="s">
        <v>73</v>
      </c>
      <c r="T6" s="24" t="s">
        <v>74</v>
      </c>
      <c r="U6" s="24" t="s">
        <v>75</v>
      </c>
      <c r="V6" s="46" t="s">
        <v>76</v>
      </c>
      <c r="W6" s="46" t="s">
        <v>77</v>
      </c>
      <c r="X6" s="46"/>
      <c r="Y6" s="31">
        <v>584</v>
      </c>
      <c r="Z6" s="31">
        <v>13</v>
      </c>
      <c r="AA6" s="31">
        <f t="shared" ref="AA6:AA69" si="8">+Y6/100*95</f>
        <v>554.79999999999995</v>
      </c>
      <c r="AB6" s="31">
        <f t="shared" si="0"/>
        <v>7592</v>
      </c>
      <c r="AC6" s="31">
        <f t="shared" si="1"/>
        <v>7212.4000000000005</v>
      </c>
      <c r="AD6" s="31">
        <f t="shared" si="2"/>
        <v>7212.4</v>
      </c>
      <c r="AE6" s="31">
        <f t="shared" si="3"/>
        <v>379.60000000000036</v>
      </c>
      <c r="AF6" s="31">
        <f t="shared" ref="AF6" si="9">+AD6*1%</f>
        <v>72.123999999999995</v>
      </c>
      <c r="AG6" s="31">
        <v>0</v>
      </c>
      <c r="AH6" s="24"/>
      <c r="AI6" s="24"/>
      <c r="AJ6" s="24"/>
      <c r="AK6" s="24"/>
      <c r="AL6" s="24"/>
      <c r="AM6" s="24"/>
      <c r="AN6" s="34"/>
      <c r="AO6" s="35"/>
      <c r="AP6" s="24">
        <v>0</v>
      </c>
      <c r="AQ6" s="36">
        <f t="shared" ref="AQ6:AQ69" si="10">+AP6/3.25</f>
        <v>0</v>
      </c>
      <c r="AR6" s="16"/>
      <c r="AS6" s="47">
        <f t="shared" ref="AS6:AS69" si="11">+AR6-AQ6</f>
        <v>0</v>
      </c>
      <c r="AT6" s="31"/>
      <c r="AU6" s="47">
        <f t="shared" ref="AU6:AU69" si="12">+AS6-AT6</f>
        <v>0</v>
      </c>
      <c r="AV6" s="48">
        <v>91.99</v>
      </c>
      <c r="AW6" s="31">
        <f t="shared" si="4"/>
        <v>0</v>
      </c>
      <c r="AX6" s="31">
        <f t="shared" si="5"/>
        <v>0</v>
      </c>
      <c r="AY6" s="31"/>
      <c r="AZ6" s="31"/>
      <c r="BA6" s="31"/>
      <c r="BB6" s="31">
        <f t="shared" ref="BB6:BB69" si="13">+AZ6*BA6</f>
        <v>0</v>
      </c>
      <c r="BC6" s="31">
        <f t="shared" ref="BC6:BC69" si="14">+AD6-AF6-AG6-AH6-AI6-AJ6-AK6-AW6-AY6-BB6-AL6</f>
        <v>7140.2759999999998</v>
      </c>
      <c r="BD6" s="31"/>
      <c r="BE6" s="31"/>
      <c r="BF6" s="31"/>
      <c r="BG6" s="24">
        <f>+AD6*8.5%</f>
        <v>613.05399999999997</v>
      </c>
      <c r="BH6" s="24">
        <f>+AD6*8.5%</f>
        <v>613.05399999999997</v>
      </c>
      <c r="BI6" s="31"/>
      <c r="BJ6" s="31">
        <f t="shared" ref="BJ6:BJ69" si="15">+(+BF6+BG6+BH6+BI6)*1%</f>
        <v>12.26108</v>
      </c>
      <c r="BK6" s="31">
        <f t="shared" ref="BK6:BK69" si="16">+BC6+BD6+BE6+BF6+BG6+BH6+BI6-BJ6</f>
        <v>8354.1229199999998</v>
      </c>
      <c r="BL6" s="24" t="s">
        <v>82</v>
      </c>
      <c r="BM6" s="42">
        <f t="shared" si="6"/>
        <v>2</v>
      </c>
      <c r="BN6" s="24" t="s">
        <v>83</v>
      </c>
      <c r="BO6" s="2" t="s">
        <v>84</v>
      </c>
    </row>
    <row r="7" spans="1:67" s="1" customFormat="1" ht="15" customHeight="1" x14ac:dyDescent="0.3">
      <c r="A7" s="20">
        <v>3</v>
      </c>
      <c r="B7" s="21">
        <v>46082</v>
      </c>
      <c r="C7" s="21">
        <v>46088</v>
      </c>
      <c r="D7" s="50" t="s">
        <v>86</v>
      </c>
      <c r="E7" s="23">
        <v>46092</v>
      </c>
      <c r="F7" s="23" t="s">
        <v>7</v>
      </c>
      <c r="G7" s="24" t="s">
        <v>87</v>
      </c>
      <c r="H7" s="24" t="s">
        <v>69</v>
      </c>
      <c r="I7" s="24" t="s">
        <v>88</v>
      </c>
      <c r="J7" s="25" t="s">
        <v>89</v>
      </c>
      <c r="K7" s="45" t="str">
        <f t="shared" si="7"/>
        <v>WB67A9375</v>
      </c>
      <c r="L7" s="26">
        <v>46083</v>
      </c>
      <c r="M7" s="27" t="s">
        <v>90</v>
      </c>
      <c r="N7" s="27">
        <v>8100917757</v>
      </c>
      <c r="O7" s="28">
        <v>0</v>
      </c>
      <c r="P7" s="27"/>
      <c r="Q7" s="29">
        <v>2525348522</v>
      </c>
      <c r="R7" s="30">
        <v>2110795649</v>
      </c>
      <c r="S7" s="31" t="s">
        <v>73</v>
      </c>
      <c r="T7" s="24" t="s">
        <v>91</v>
      </c>
      <c r="U7" s="51" t="s">
        <v>92</v>
      </c>
      <c r="V7" s="32" t="s">
        <v>93</v>
      </c>
      <c r="W7" s="32" t="s">
        <v>94</v>
      </c>
      <c r="X7" s="32" t="s">
        <v>94</v>
      </c>
      <c r="Y7" s="24">
        <v>819</v>
      </c>
      <c r="Z7" s="24">
        <v>25</v>
      </c>
      <c r="AA7" s="24">
        <f t="shared" si="8"/>
        <v>778.05</v>
      </c>
      <c r="AB7" s="24">
        <f t="shared" si="0"/>
        <v>20475</v>
      </c>
      <c r="AC7" s="24">
        <f t="shared" si="1"/>
        <v>19451.25</v>
      </c>
      <c r="AD7" s="24">
        <f t="shared" si="2"/>
        <v>19451.25</v>
      </c>
      <c r="AE7" s="24">
        <f t="shared" si="3"/>
        <v>1023.75</v>
      </c>
      <c r="AF7" s="24">
        <v>0</v>
      </c>
      <c r="AG7" s="33">
        <v>4200</v>
      </c>
      <c r="AH7" s="24"/>
      <c r="AI7" s="24"/>
      <c r="AJ7" s="24"/>
      <c r="AK7" s="24"/>
      <c r="AL7" s="24"/>
      <c r="AM7" s="24" t="s">
        <v>79</v>
      </c>
      <c r="AN7" s="34" t="s">
        <v>95</v>
      </c>
      <c r="AO7" s="35" t="s">
        <v>81</v>
      </c>
      <c r="AP7" s="24">
        <f>154*2</f>
        <v>308</v>
      </c>
      <c r="AQ7" s="36">
        <f t="shared" si="10"/>
        <v>94.769230769230774</v>
      </c>
      <c r="AR7" s="37">
        <v>100</v>
      </c>
      <c r="AS7" s="38">
        <f t="shared" si="11"/>
        <v>5.2307692307692264</v>
      </c>
      <c r="AT7" s="39"/>
      <c r="AU7" s="38">
        <f t="shared" si="12"/>
        <v>5.2307692307692264</v>
      </c>
      <c r="AV7" s="40">
        <v>91.99</v>
      </c>
      <c r="AW7" s="41">
        <f t="shared" si="4"/>
        <v>9199</v>
      </c>
      <c r="AX7" s="24">
        <f t="shared" si="5"/>
        <v>68.885033095559407</v>
      </c>
      <c r="AY7" s="24"/>
      <c r="AZ7" s="24"/>
      <c r="BA7" s="24"/>
      <c r="BB7" s="24">
        <f t="shared" si="13"/>
        <v>0</v>
      </c>
      <c r="BC7" s="24">
        <f t="shared" si="14"/>
        <v>6052.25</v>
      </c>
      <c r="BD7" s="24"/>
      <c r="BE7" s="24"/>
      <c r="BF7" s="24">
        <v>750</v>
      </c>
      <c r="BG7" s="24">
        <f t="shared" ref="BG7:BG17" si="17">+AB7*9.5%</f>
        <v>1945.125</v>
      </c>
      <c r="BH7" s="24"/>
      <c r="BI7" s="24"/>
      <c r="BJ7" s="24">
        <f t="shared" si="15"/>
        <v>26.951250000000002</v>
      </c>
      <c r="BK7" s="24">
        <f t="shared" si="16"/>
        <v>8720.4237499999999</v>
      </c>
      <c r="BL7" s="24" t="s">
        <v>96</v>
      </c>
      <c r="BM7" s="42">
        <f t="shared" si="6"/>
        <v>2</v>
      </c>
      <c r="BN7" s="24" t="s">
        <v>83</v>
      </c>
      <c r="BO7" s="2" t="s">
        <v>84</v>
      </c>
    </row>
    <row r="8" spans="1:67" s="1" customFormat="1" ht="15" customHeight="1" x14ac:dyDescent="0.3">
      <c r="A8" s="43">
        <v>4</v>
      </c>
      <c r="B8" s="21">
        <v>46082</v>
      </c>
      <c r="C8" s="21">
        <v>46088</v>
      </c>
      <c r="D8" s="52" t="s">
        <v>97</v>
      </c>
      <c r="E8" s="23">
        <v>46104</v>
      </c>
      <c r="F8" s="23" t="s">
        <v>7</v>
      </c>
      <c r="G8" s="24" t="s">
        <v>87</v>
      </c>
      <c r="H8" s="24" t="s">
        <v>69</v>
      </c>
      <c r="I8" s="24" t="s">
        <v>98</v>
      </c>
      <c r="J8" s="25" t="s">
        <v>99</v>
      </c>
      <c r="K8" s="45" t="str">
        <f t="shared" si="7"/>
        <v>WB65D7397</v>
      </c>
      <c r="L8" s="26">
        <v>46083</v>
      </c>
      <c r="M8" s="34" t="s">
        <v>100</v>
      </c>
      <c r="N8" s="53">
        <v>8100917811</v>
      </c>
      <c r="O8" s="28">
        <v>0</v>
      </c>
      <c r="P8" s="27"/>
      <c r="Q8" s="29">
        <v>2525348527</v>
      </c>
      <c r="R8" s="30">
        <v>2110795702</v>
      </c>
      <c r="S8" s="54" t="s">
        <v>73</v>
      </c>
      <c r="T8" s="24" t="s">
        <v>91</v>
      </c>
      <c r="U8" s="51" t="s">
        <v>92</v>
      </c>
      <c r="V8" s="32" t="s">
        <v>101</v>
      </c>
      <c r="W8" s="32" t="s">
        <v>102</v>
      </c>
      <c r="X8" s="32" t="s">
        <v>103</v>
      </c>
      <c r="Y8" s="24">
        <v>906</v>
      </c>
      <c r="Z8" s="24">
        <v>25</v>
      </c>
      <c r="AA8" s="24">
        <f t="shared" si="8"/>
        <v>860.7</v>
      </c>
      <c r="AB8" s="24">
        <f t="shared" si="0"/>
        <v>22650</v>
      </c>
      <c r="AC8" s="24">
        <f t="shared" si="1"/>
        <v>21517.5</v>
      </c>
      <c r="AD8" s="24">
        <f t="shared" si="2"/>
        <v>21517.5</v>
      </c>
      <c r="AE8" s="24">
        <f t="shared" si="3"/>
        <v>1132.5</v>
      </c>
      <c r="AF8" s="24">
        <v>0</v>
      </c>
      <c r="AG8" s="33">
        <v>4700</v>
      </c>
      <c r="AH8" s="24"/>
      <c r="AI8" s="24"/>
      <c r="AJ8" s="24"/>
      <c r="AK8" s="24"/>
      <c r="AL8" s="24"/>
      <c r="AM8" s="24" t="s">
        <v>79</v>
      </c>
      <c r="AN8" s="34" t="s">
        <v>104</v>
      </c>
      <c r="AO8" s="35" t="s">
        <v>81</v>
      </c>
      <c r="AP8" s="24">
        <f>201*2</f>
        <v>402</v>
      </c>
      <c r="AQ8" s="36">
        <f t="shared" si="10"/>
        <v>123.69230769230769</v>
      </c>
      <c r="AR8" s="37">
        <v>110</v>
      </c>
      <c r="AS8" s="38">
        <f t="shared" si="11"/>
        <v>-13.692307692307693</v>
      </c>
      <c r="AT8" s="39"/>
      <c r="AU8" s="38">
        <f t="shared" si="12"/>
        <v>-13.692307692307693</v>
      </c>
      <c r="AV8" s="40">
        <v>91.99</v>
      </c>
      <c r="AW8" s="41">
        <f t="shared" si="4"/>
        <v>10118.9</v>
      </c>
      <c r="AX8" s="24">
        <f t="shared" si="5"/>
        <v>68.869060067387011</v>
      </c>
      <c r="AY8" s="24"/>
      <c r="AZ8" s="24"/>
      <c r="BA8" s="24"/>
      <c r="BB8" s="24">
        <f t="shared" si="13"/>
        <v>0</v>
      </c>
      <c r="BC8" s="24">
        <f t="shared" si="14"/>
        <v>6698.6</v>
      </c>
      <c r="BD8" s="24"/>
      <c r="BE8" s="24"/>
      <c r="BF8" s="24">
        <v>750</v>
      </c>
      <c r="BG8" s="24">
        <f>+AD8*9.5%</f>
        <v>2044.1625000000001</v>
      </c>
      <c r="BH8" s="24"/>
      <c r="BI8" s="24"/>
      <c r="BJ8" s="24">
        <f t="shared" si="15"/>
        <v>27.941625000000005</v>
      </c>
      <c r="BK8" s="24">
        <f t="shared" si="16"/>
        <v>9464.8208750000013</v>
      </c>
      <c r="BL8" s="24" t="s">
        <v>105</v>
      </c>
      <c r="BM8" s="42">
        <f t="shared" si="6"/>
        <v>2</v>
      </c>
      <c r="BN8" s="24" t="s">
        <v>83</v>
      </c>
      <c r="BO8" s="2" t="s">
        <v>84</v>
      </c>
    </row>
    <row r="9" spans="1:67" s="1" customFormat="1" ht="15" customHeight="1" x14ac:dyDescent="0.3">
      <c r="A9" s="20">
        <v>5</v>
      </c>
      <c r="B9" s="21">
        <v>46082</v>
      </c>
      <c r="C9" s="21">
        <v>46088</v>
      </c>
      <c r="D9" s="50" t="s">
        <v>86</v>
      </c>
      <c r="E9" s="23">
        <v>46092</v>
      </c>
      <c r="F9" s="23" t="s">
        <v>7</v>
      </c>
      <c r="G9" s="24" t="s">
        <v>87</v>
      </c>
      <c r="H9" s="24" t="s">
        <v>69</v>
      </c>
      <c r="I9" s="24" t="s">
        <v>106</v>
      </c>
      <c r="J9" s="25" t="s">
        <v>107</v>
      </c>
      <c r="K9" s="45" t="str">
        <f t="shared" si="7"/>
        <v>WB57C7436</v>
      </c>
      <c r="L9" s="26">
        <v>46083</v>
      </c>
      <c r="M9" s="34" t="s">
        <v>108</v>
      </c>
      <c r="N9" s="27">
        <v>8100917756</v>
      </c>
      <c r="O9" s="28">
        <v>0</v>
      </c>
      <c r="P9" s="27"/>
      <c r="Q9" s="29">
        <v>2525348530</v>
      </c>
      <c r="R9" s="30">
        <v>2110795648</v>
      </c>
      <c r="S9" s="31" t="s">
        <v>73</v>
      </c>
      <c r="T9" s="24" t="s">
        <v>91</v>
      </c>
      <c r="U9" s="51" t="s">
        <v>92</v>
      </c>
      <c r="V9" s="32" t="s">
        <v>93</v>
      </c>
      <c r="W9" s="32" t="s">
        <v>94</v>
      </c>
      <c r="X9" s="32" t="s">
        <v>94</v>
      </c>
      <c r="Y9" s="24">
        <v>819</v>
      </c>
      <c r="Z9" s="24">
        <v>25</v>
      </c>
      <c r="AA9" s="24">
        <f t="shared" si="8"/>
        <v>778.05</v>
      </c>
      <c r="AB9" s="24">
        <f t="shared" si="0"/>
        <v>20475</v>
      </c>
      <c r="AC9" s="24">
        <f t="shared" si="1"/>
        <v>19451.25</v>
      </c>
      <c r="AD9" s="24">
        <f t="shared" si="2"/>
        <v>19451.25</v>
      </c>
      <c r="AE9" s="24">
        <f t="shared" si="3"/>
        <v>1023.75</v>
      </c>
      <c r="AF9" s="24">
        <v>0</v>
      </c>
      <c r="AG9" s="33">
        <v>9000</v>
      </c>
      <c r="AH9" s="24"/>
      <c r="AI9" s="24"/>
      <c r="AJ9" s="24"/>
      <c r="AK9" s="24"/>
      <c r="AL9" s="24"/>
      <c r="AM9" s="24" t="s">
        <v>79</v>
      </c>
      <c r="AN9" s="34" t="s">
        <v>109</v>
      </c>
      <c r="AO9" s="35" t="s">
        <v>81</v>
      </c>
      <c r="AP9" s="24">
        <f>154*2</f>
        <v>308</v>
      </c>
      <c r="AQ9" s="36">
        <f t="shared" si="10"/>
        <v>94.769230769230774</v>
      </c>
      <c r="AR9" s="37">
        <v>99</v>
      </c>
      <c r="AS9" s="38">
        <f t="shared" si="11"/>
        <v>4.2307692307692264</v>
      </c>
      <c r="AT9" s="39"/>
      <c r="AU9" s="38">
        <f t="shared" si="12"/>
        <v>4.2307692307692264</v>
      </c>
      <c r="AV9" s="40">
        <v>91.99</v>
      </c>
      <c r="AW9" s="41">
        <f t="shared" si="4"/>
        <v>9107.01</v>
      </c>
      <c r="AX9" s="24">
        <f t="shared" si="5"/>
        <v>93.089184499710825</v>
      </c>
      <c r="AY9" s="24"/>
      <c r="AZ9" s="24"/>
      <c r="BA9" s="24"/>
      <c r="BB9" s="24">
        <f t="shared" si="13"/>
        <v>0</v>
      </c>
      <c r="BC9" s="24">
        <f t="shared" si="14"/>
        <v>1344.2399999999998</v>
      </c>
      <c r="BD9" s="24"/>
      <c r="BE9" s="24"/>
      <c r="BF9" s="24">
        <v>750</v>
      </c>
      <c r="BG9" s="24">
        <f t="shared" si="17"/>
        <v>1945.125</v>
      </c>
      <c r="BH9" s="24"/>
      <c r="BI9" s="24"/>
      <c r="BJ9" s="24">
        <f t="shared" si="15"/>
        <v>26.951250000000002</v>
      </c>
      <c r="BK9" s="24">
        <f t="shared" si="16"/>
        <v>4012.4137499999997</v>
      </c>
      <c r="BL9" s="24" t="s">
        <v>110</v>
      </c>
      <c r="BM9" s="42">
        <f t="shared" si="6"/>
        <v>2</v>
      </c>
      <c r="BN9" s="24" t="s">
        <v>83</v>
      </c>
      <c r="BO9" s="2" t="s">
        <v>84</v>
      </c>
    </row>
    <row r="10" spans="1:67" s="1" customFormat="1" ht="15" customHeight="1" x14ac:dyDescent="0.3">
      <c r="A10" s="43">
        <v>6</v>
      </c>
      <c r="B10" s="21">
        <v>46082</v>
      </c>
      <c r="C10" s="21">
        <v>46097</v>
      </c>
      <c r="D10" s="55" t="s">
        <v>111</v>
      </c>
      <c r="E10" s="23">
        <v>46097</v>
      </c>
      <c r="F10" s="23" t="s">
        <v>7</v>
      </c>
      <c r="G10" s="24" t="s">
        <v>87</v>
      </c>
      <c r="H10" s="24" t="s">
        <v>69</v>
      </c>
      <c r="I10" s="24" t="s">
        <v>112</v>
      </c>
      <c r="J10" s="25" t="s">
        <v>113</v>
      </c>
      <c r="K10" s="45" t="str">
        <f t="shared" si="7"/>
        <v>WB39A5062</v>
      </c>
      <c r="L10" s="26">
        <v>46083</v>
      </c>
      <c r="M10" s="34" t="s">
        <v>114</v>
      </c>
      <c r="N10" s="27">
        <v>8100917759</v>
      </c>
      <c r="O10" s="28">
        <v>0</v>
      </c>
      <c r="P10" s="27"/>
      <c r="Q10" s="29">
        <v>2525348534</v>
      </c>
      <c r="R10" s="30">
        <v>2110795681</v>
      </c>
      <c r="S10" s="31" t="s">
        <v>73</v>
      </c>
      <c r="T10" s="24" t="s">
        <v>91</v>
      </c>
      <c r="U10" s="51" t="s">
        <v>92</v>
      </c>
      <c r="V10" s="32" t="s">
        <v>93</v>
      </c>
      <c r="W10" s="32" t="s">
        <v>94</v>
      </c>
      <c r="X10" s="32"/>
      <c r="Y10" s="24">
        <v>819</v>
      </c>
      <c r="Z10" s="24">
        <v>25</v>
      </c>
      <c r="AA10" s="24">
        <f t="shared" si="8"/>
        <v>778.05</v>
      </c>
      <c r="AB10" s="24">
        <f t="shared" si="0"/>
        <v>20475</v>
      </c>
      <c r="AC10" s="24">
        <f t="shared" si="1"/>
        <v>19451.25</v>
      </c>
      <c r="AD10" s="24">
        <f t="shared" si="2"/>
        <v>19451.25</v>
      </c>
      <c r="AE10" s="24">
        <f t="shared" si="3"/>
        <v>1023.75</v>
      </c>
      <c r="AF10" s="24">
        <v>0</v>
      </c>
      <c r="AG10" s="33">
        <v>4500</v>
      </c>
      <c r="AH10" s="24"/>
      <c r="AI10" s="24"/>
      <c r="AJ10" s="24"/>
      <c r="AK10" s="24"/>
      <c r="AL10" s="24"/>
      <c r="AM10" s="24" t="s">
        <v>79</v>
      </c>
      <c r="AN10" s="34" t="s">
        <v>115</v>
      </c>
      <c r="AO10" s="35" t="s">
        <v>81</v>
      </c>
      <c r="AP10" s="24">
        <f t="shared" ref="AP10:AP11" si="18">154*2</f>
        <v>308</v>
      </c>
      <c r="AQ10" s="36">
        <f t="shared" si="10"/>
        <v>94.769230769230774</v>
      </c>
      <c r="AR10" s="37">
        <v>115</v>
      </c>
      <c r="AS10" s="38">
        <f t="shared" si="11"/>
        <v>20.230769230769226</v>
      </c>
      <c r="AT10" s="39"/>
      <c r="AU10" s="38">
        <f t="shared" si="12"/>
        <v>20.230769230769226</v>
      </c>
      <c r="AV10" s="40">
        <v>91.99</v>
      </c>
      <c r="AW10" s="41">
        <f t="shared" si="4"/>
        <v>10578.849999999999</v>
      </c>
      <c r="AX10" s="24">
        <f t="shared" si="5"/>
        <v>77.521238994923209</v>
      </c>
      <c r="AY10" s="24"/>
      <c r="AZ10" s="24"/>
      <c r="BA10" s="24"/>
      <c r="BB10" s="24">
        <f t="shared" si="13"/>
        <v>0</v>
      </c>
      <c r="BC10" s="24">
        <f t="shared" si="14"/>
        <v>4372.4000000000015</v>
      </c>
      <c r="BD10" s="24"/>
      <c r="BE10" s="24"/>
      <c r="BF10" s="24">
        <v>750</v>
      </c>
      <c r="BG10" s="24">
        <f t="shared" si="17"/>
        <v>1945.125</v>
      </c>
      <c r="BH10" s="24"/>
      <c r="BI10" s="24"/>
      <c r="BJ10" s="24">
        <f t="shared" si="15"/>
        <v>26.951250000000002</v>
      </c>
      <c r="BK10" s="24">
        <f t="shared" si="16"/>
        <v>7040.5737500000014</v>
      </c>
      <c r="BL10" s="24" t="s">
        <v>116</v>
      </c>
      <c r="BM10" s="42">
        <f t="shared" si="6"/>
        <v>2</v>
      </c>
      <c r="BN10" s="24" t="s">
        <v>83</v>
      </c>
      <c r="BO10" s="2" t="s">
        <v>84</v>
      </c>
    </row>
    <row r="11" spans="1:67" s="1" customFormat="1" ht="15" customHeight="1" x14ac:dyDescent="0.3">
      <c r="A11" s="20">
        <v>7</v>
      </c>
      <c r="B11" s="21">
        <v>46082</v>
      </c>
      <c r="C11" s="21">
        <v>46088</v>
      </c>
      <c r="D11" s="50" t="s">
        <v>86</v>
      </c>
      <c r="E11" s="23">
        <v>46092</v>
      </c>
      <c r="F11" s="23" t="s">
        <v>7</v>
      </c>
      <c r="G11" s="24" t="s">
        <v>87</v>
      </c>
      <c r="H11" s="24" t="s">
        <v>69</v>
      </c>
      <c r="I11" s="24" t="s">
        <v>117</v>
      </c>
      <c r="J11" s="25" t="s">
        <v>118</v>
      </c>
      <c r="K11" s="45" t="str">
        <f t="shared" si="7"/>
        <v>WB37E6348</v>
      </c>
      <c r="L11" s="26">
        <v>46083</v>
      </c>
      <c r="M11" s="34" t="s">
        <v>119</v>
      </c>
      <c r="N11" s="27">
        <v>8100917758</v>
      </c>
      <c r="O11" s="28">
        <v>0</v>
      </c>
      <c r="P11" s="27"/>
      <c r="Q11" s="29">
        <v>2525348537</v>
      </c>
      <c r="R11" s="30">
        <v>2110795680</v>
      </c>
      <c r="S11" s="31" t="s">
        <v>73</v>
      </c>
      <c r="T11" s="24" t="s">
        <v>91</v>
      </c>
      <c r="U11" s="51" t="s">
        <v>92</v>
      </c>
      <c r="V11" s="32" t="s">
        <v>93</v>
      </c>
      <c r="W11" s="32" t="s">
        <v>94</v>
      </c>
      <c r="X11" s="32" t="s">
        <v>94</v>
      </c>
      <c r="Y11" s="24">
        <v>819</v>
      </c>
      <c r="Z11" s="24">
        <v>25</v>
      </c>
      <c r="AA11" s="24">
        <f t="shared" si="8"/>
        <v>778.05</v>
      </c>
      <c r="AB11" s="24">
        <f t="shared" si="0"/>
        <v>20475</v>
      </c>
      <c r="AC11" s="24">
        <f t="shared" si="1"/>
        <v>19451.25</v>
      </c>
      <c r="AD11" s="24">
        <f t="shared" si="2"/>
        <v>19451.25</v>
      </c>
      <c r="AE11" s="24">
        <f t="shared" si="3"/>
        <v>1023.75</v>
      </c>
      <c r="AF11" s="24">
        <v>0</v>
      </c>
      <c r="AG11" s="33">
        <v>4400</v>
      </c>
      <c r="AH11" s="24"/>
      <c r="AI11" s="24"/>
      <c r="AJ11" s="24"/>
      <c r="AK11" s="24"/>
      <c r="AL11" s="24"/>
      <c r="AM11" s="24" t="s">
        <v>79</v>
      </c>
      <c r="AN11" s="34" t="s">
        <v>120</v>
      </c>
      <c r="AO11" s="35" t="s">
        <v>81</v>
      </c>
      <c r="AP11" s="24">
        <f t="shared" si="18"/>
        <v>308</v>
      </c>
      <c r="AQ11" s="36">
        <f t="shared" si="10"/>
        <v>94.769230769230774</v>
      </c>
      <c r="AR11" s="37">
        <v>95</v>
      </c>
      <c r="AS11" s="38">
        <f t="shared" si="11"/>
        <v>0.2307692307692264</v>
      </c>
      <c r="AT11" s="39"/>
      <c r="AU11" s="38">
        <f t="shared" si="12"/>
        <v>0.2307692307692264</v>
      </c>
      <c r="AV11" s="40">
        <v>91.99</v>
      </c>
      <c r="AW11" s="41">
        <f t="shared" si="4"/>
        <v>8739.0499999999993</v>
      </c>
      <c r="AX11" s="24">
        <f t="shared" si="5"/>
        <v>67.548615127562499</v>
      </c>
      <c r="AY11" s="24"/>
      <c r="AZ11" s="24"/>
      <c r="BA11" s="24"/>
      <c r="BB11" s="24">
        <f t="shared" si="13"/>
        <v>0</v>
      </c>
      <c r="BC11" s="24">
        <f t="shared" si="14"/>
        <v>6312.2000000000007</v>
      </c>
      <c r="BD11" s="24"/>
      <c r="BE11" s="24"/>
      <c r="BF11" s="24">
        <v>750</v>
      </c>
      <c r="BG11" s="24">
        <f t="shared" si="17"/>
        <v>1945.125</v>
      </c>
      <c r="BH11" s="24"/>
      <c r="BI11" s="24"/>
      <c r="BJ11" s="24">
        <f t="shared" si="15"/>
        <v>26.951250000000002</v>
      </c>
      <c r="BK11" s="24">
        <f t="shared" si="16"/>
        <v>8980.3737500000007</v>
      </c>
      <c r="BL11" s="24" t="s">
        <v>121</v>
      </c>
      <c r="BM11" s="42">
        <f t="shared" si="6"/>
        <v>2</v>
      </c>
      <c r="BN11" s="24" t="s">
        <v>83</v>
      </c>
      <c r="BO11" s="2" t="s">
        <v>84</v>
      </c>
    </row>
    <row r="12" spans="1:67" s="1" customFormat="1" ht="15" customHeight="1" x14ac:dyDescent="0.3">
      <c r="A12" s="43">
        <v>8</v>
      </c>
      <c r="B12" s="21">
        <v>46082</v>
      </c>
      <c r="C12" s="21">
        <v>46088</v>
      </c>
      <c r="D12" s="50" t="s">
        <v>86</v>
      </c>
      <c r="E12" s="23">
        <v>46092</v>
      </c>
      <c r="F12" s="23" t="s">
        <v>7</v>
      </c>
      <c r="G12" s="24" t="s">
        <v>87</v>
      </c>
      <c r="H12" s="24" t="s">
        <v>69</v>
      </c>
      <c r="I12" s="24" t="s">
        <v>122</v>
      </c>
      <c r="J12" s="25" t="s">
        <v>123</v>
      </c>
      <c r="K12" s="45" t="str">
        <f t="shared" si="7"/>
        <v>WB23C9555</v>
      </c>
      <c r="L12" s="26">
        <v>46083</v>
      </c>
      <c r="M12" s="34" t="s">
        <v>124</v>
      </c>
      <c r="N12" s="27">
        <v>8100917762</v>
      </c>
      <c r="O12" s="28">
        <v>0</v>
      </c>
      <c r="P12" s="27"/>
      <c r="Q12" s="29">
        <v>2525348545</v>
      </c>
      <c r="R12" s="30">
        <v>2110795683</v>
      </c>
      <c r="S12" s="31" t="s">
        <v>73</v>
      </c>
      <c r="T12" s="24" t="s">
        <v>91</v>
      </c>
      <c r="U12" s="51" t="s">
        <v>92</v>
      </c>
      <c r="V12" s="32" t="s">
        <v>125</v>
      </c>
      <c r="W12" s="32" t="s">
        <v>126</v>
      </c>
      <c r="X12" s="32" t="s">
        <v>126</v>
      </c>
      <c r="Y12" s="24">
        <v>371</v>
      </c>
      <c r="Z12" s="24">
        <v>25</v>
      </c>
      <c r="AA12" s="24">
        <f t="shared" si="8"/>
        <v>352.45</v>
      </c>
      <c r="AB12" s="24">
        <f t="shared" si="0"/>
        <v>9275</v>
      </c>
      <c r="AC12" s="24">
        <f t="shared" si="1"/>
        <v>8811.25</v>
      </c>
      <c r="AD12" s="24">
        <f t="shared" si="2"/>
        <v>8811.25</v>
      </c>
      <c r="AE12" s="24">
        <f t="shared" si="3"/>
        <v>463.75</v>
      </c>
      <c r="AF12" s="24">
        <v>0</v>
      </c>
      <c r="AG12" s="33">
        <v>4000</v>
      </c>
      <c r="AH12" s="24"/>
      <c r="AI12" s="24"/>
      <c r="AJ12" s="24"/>
      <c r="AK12" s="24"/>
      <c r="AL12" s="24"/>
      <c r="AM12" s="24" t="s">
        <v>79</v>
      </c>
      <c r="AN12" s="34" t="s">
        <v>127</v>
      </c>
      <c r="AO12" s="35" t="s">
        <v>81</v>
      </c>
      <c r="AP12" s="24">
        <f>57*2</f>
        <v>114</v>
      </c>
      <c r="AQ12" s="36">
        <f t="shared" si="10"/>
        <v>35.07692307692308</v>
      </c>
      <c r="AR12" s="37">
        <v>35</v>
      </c>
      <c r="AS12" s="38">
        <f t="shared" si="11"/>
        <v>-7.6923076923080203E-2</v>
      </c>
      <c r="AT12" s="39"/>
      <c r="AU12" s="38">
        <f t="shared" si="12"/>
        <v>-7.6923076923080203E-2</v>
      </c>
      <c r="AV12" s="40">
        <v>91.99</v>
      </c>
      <c r="AW12" s="41">
        <f t="shared" si="4"/>
        <v>3219.6499999999996</v>
      </c>
      <c r="AX12" s="24">
        <f t="shared" si="5"/>
        <v>81.936728613987796</v>
      </c>
      <c r="AY12" s="24"/>
      <c r="AZ12" s="24"/>
      <c r="BA12" s="24"/>
      <c r="BB12" s="24">
        <f t="shared" si="13"/>
        <v>0</v>
      </c>
      <c r="BC12" s="24">
        <f t="shared" si="14"/>
        <v>1591.6000000000004</v>
      </c>
      <c r="BD12" s="24"/>
      <c r="BE12" s="24"/>
      <c r="BF12" s="24">
        <v>750</v>
      </c>
      <c r="BG12" s="24">
        <f t="shared" si="17"/>
        <v>881.125</v>
      </c>
      <c r="BH12" s="24"/>
      <c r="BI12" s="24"/>
      <c r="BJ12" s="24">
        <f t="shared" si="15"/>
        <v>16.311250000000001</v>
      </c>
      <c r="BK12" s="24">
        <f t="shared" si="16"/>
        <v>3206.4137500000002</v>
      </c>
      <c r="BL12" s="24" t="s">
        <v>128</v>
      </c>
      <c r="BM12" s="42">
        <f t="shared" si="6"/>
        <v>2</v>
      </c>
      <c r="BN12" s="24" t="s">
        <v>83</v>
      </c>
      <c r="BO12" s="2" t="s">
        <v>129</v>
      </c>
    </row>
    <row r="13" spans="1:67" s="1" customFormat="1" ht="15" customHeight="1" x14ac:dyDescent="0.3">
      <c r="A13" s="20">
        <v>9</v>
      </c>
      <c r="B13" s="21">
        <v>46082</v>
      </c>
      <c r="C13" s="21">
        <v>46097</v>
      </c>
      <c r="D13" s="50" t="s">
        <v>130</v>
      </c>
      <c r="E13" s="23">
        <v>46107</v>
      </c>
      <c r="F13" s="23" t="s">
        <v>7</v>
      </c>
      <c r="G13" s="24" t="s">
        <v>87</v>
      </c>
      <c r="H13" s="24" t="s">
        <v>69</v>
      </c>
      <c r="I13" s="24" t="s">
        <v>131</v>
      </c>
      <c r="J13" s="25" t="s">
        <v>132</v>
      </c>
      <c r="K13" s="45" t="str">
        <f t="shared" si="7"/>
        <v>WB29A8166</v>
      </c>
      <c r="L13" s="26">
        <v>46084</v>
      </c>
      <c r="M13" s="34" t="s">
        <v>133</v>
      </c>
      <c r="N13" s="27">
        <v>8100917842</v>
      </c>
      <c r="O13" s="28">
        <v>0</v>
      </c>
      <c r="P13" s="27"/>
      <c r="Q13" s="29">
        <v>2525348697</v>
      </c>
      <c r="R13" s="30">
        <v>2110795708</v>
      </c>
      <c r="S13" s="31" t="s">
        <v>73</v>
      </c>
      <c r="T13" s="24" t="s">
        <v>91</v>
      </c>
      <c r="U13" s="51" t="s">
        <v>92</v>
      </c>
      <c r="V13" s="32" t="s">
        <v>134</v>
      </c>
      <c r="W13" s="32" t="s">
        <v>135</v>
      </c>
      <c r="X13" s="32" t="s">
        <v>136</v>
      </c>
      <c r="Y13" s="24">
        <v>742</v>
      </c>
      <c r="Z13" s="24">
        <v>25</v>
      </c>
      <c r="AA13" s="24">
        <f t="shared" si="8"/>
        <v>704.9</v>
      </c>
      <c r="AB13" s="24">
        <f t="shared" si="0"/>
        <v>18550</v>
      </c>
      <c r="AC13" s="24">
        <f t="shared" si="1"/>
        <v>17622.5</v>
      </c>
      <c r="AD13" s="24">
        <f t="shared" si="2"/>
        <v>17622.5</v>
      </c>
      <c r="AE13" s="24">
        <f t="shared" si="3"/>
        <v>927.5</v>
      </c>
      <c r="AF13" s="24">
        <v>0</v>
      </c>
      <c r="AG13" s="33">
        <v>7600</v>
      </c>
      <c r="AH13" s="24"/>
      <c r="AI13" s="24"/>
      <c r="AJ13" s="24"/>
      <c r="AK13" s="24"/>
      <c r="AL13" s="24"/>
      <c r="AM13" s="24" t="s">
        <v>79</v>
      </c>
      <c r="AN13" s="34" t="s">
        <v>137</v>
      </c>
      <c r="AO13" s="35" t="s">
        <v>81</v>
      </c>
      <c r="AP13" s="24">
        <f>153*2</f>
        <v>306</v>
      </c>
      <c r="AQ13" s="36">
        <f t="shared" si="10"/>
        <v>94.15384615384616</v>
      </c>
      <c r="AR13" s="37">
        <v>100</v>
      </c>
      <c r="AS13" s="38">
        <f t="shared" si="11"/>
        <v>5.8461538461538396</v>
      </c>
      <c r="AT13" s="39"/>
      <c r="AU13" s="38">
        <f t="shared" si="12"/>
        <v>5.8461538461538396</v>
      </c>
      <c r="AV13" s="40">
        <v>91.99</v>
      </c>
      <c r="AW13" s="41">
        <f t="shared" si="4"/>
        <v>9199</v>
      </c>
      <c r="AX13" s="24">
        <f t="shared" si="5"/>
        <v>95.326996737125839</v>
      </c>
      <c r="AY13" s="24"/>
      <c r="AZ13" s="24"/>
      <c r="BA13" s="24"/>
      <c r="BB13" s="24">
        <f t="shared" si="13"/>
        <v>0</v>
      </c>
      <c r="BC13" s="24">
        <f t="shared" si="14"/>
        <v>823.5</v>
      </c>
      <c r="BD13" s="24"/>
      <c r="BE13" s="24"/>
      <c r="BF13" s="24">
        <v>750</v>
      </c>
      <c r="BG13" s="24">
        <f t="shared" si="17"/>
        <v>1762.25</v>
      </c>
      <c r="BH13" s="24"/>
      <c r="BI13" s="24"/>
      <c r="BJ13" s="24">
        <f t="shared" si="15"/>
        <v>25.122500000000002</v>
      </c>
      <c r="BK13" s="24">
        <f t="shared" si="16"/>
        <v>3310.6275000000001</v>
      </c>
      <c r="BL13" s="24" t="s">
        <v>138</v>
      </c>
      <c r="BM13" s="42">
        <f t="shared" si="6"/>
        <v>3</v>
      </c>
      <c r="BN13" s="24" t="s">
        <v>139</v>
      </c>
      <c r="BO13" s="2" t="s">
        <v>84</v>
      </c>
    </row>
    <row r="14" spans="1:67" s="1" customFormat="1" ht="15" customHeight="1" x14ac:dyDescent="0.3">
      <c r="A14" s="43">
        <v>10</v>
      </c>
      <c r="B14" s="21">
        <v>46082</v>
      </c>
      <c r="C14" s="21">
        <v>46088</v>
      </c>
      <c r="D14" s="56" t="s">
        <v>140</v>
      </c>
      <c r="E14" s="23">
        <v>46092</v>
      </c>
      <c r="F14" s="23" t="s">
        <v>7</v>
      </c>
      <c r="G14" s="24" t="s">
        <v>68</v>
      </c>
      <c r="H14" s="24" t="s">
        <v>69</v>
      </c>
      <c r="I14" s="24" t="s">
        <v>141</v>
      </c>
      <c r="J14" s="25" t="s">
        <v>142</v>
      </c>
      <c r="K14" s="45" t="str">
        <f t="shared" si="7"/>
        <v>WB41F2315</v>
      </c>
      <c r="L14" s="26">
        <v>46084</v>
      </c>
      <c r="M14" s="34" t="s">
        <v>143</v>
      </c>
      <c r="N14" s="27">
        <v>8100918476</v>
      </c>
      <c r="O14" s="28">
        <v>0</v>
      </c>
      <c r="P14" s="27"/>
      <c r="Q14" s="29">
        <v>2525348795</v>
      </c>
      <c r="R14" s="30">
        <v>2110796254</v>
      </c>
      <c r="S14" s="31" t="s">
        <v>73</v>
      </c>
      <c r="T14" s="24" t="s">
        <v>91</v>
      </c>
      <c r="U14" s="24" t="s">
        <v>75</v>
      </c>
      <c r="V14" s="32" t="s">
        <v>144</v>
      </c>
      <c r="W14" s="32" t="s">
        <v>145</v>
      </c>
      <c r="X14" s="32" t="s">
        <v>145</v>
      </c>
      <c r="Y14" s="24">
        <v>1023</v>
      </c>
      <c r="Z14" s="24">
        <v>15</v>
      </c>
      <c r="AA14" s="24">
        <f t="shared" si="8"/>
        <v>971.85</v>
      </c>
      <c r="AB14" s="24">
        <f t="shared" si="0"/>
        <v>15345</v>
      </c>
      <c r="AC14" s="24">
        <f t="shared" si="1"/>
        <v>14577.749999999998</v>
      </c>
      <c r="AD14" s="24">
        <f t="shared" si="2"/>
        <v>14577.75</v>
      </c>
      <c r="AE14" s="24">
        <f t="shared" si="3"/>
        <v>767.25</v>
      </c>
      <c r="AF14" s="24">
        <v>0</v>
      </c>
      <c r="AG14" s="33">
        <v>6000</v>
      </c>
      <c r="AH14" s="24"/>
      <c r="AI14" s="24"/>
      <c r="AJ14" s="24"/>
      <c r="AK14" s="24"/>
      <c r="AL14" s="24"/>
      <c r="AM14" s="24" t="s">
        <v>79</v>
      </c>
      <c r="AN14" s="34" t="s">
        <v>146</v>
      </c>
      <c r="AO14" s="35" t="s">
        <v>81</v>
      </c>
      <c r="AP14" s="24">
        <f>245*2</f>
        <v>490</v>
      </c>
      <c r="AQ14" s="36">
        <f t="shared" si="10"/>
        <v>150.76923076923077</v>
      </c>
      <c r="AR14" s="37">
        <v>152</v>
      </c>
      <c r="AS14" s="38">
        <f t="shared" si="11"/>
        <v>1.2307692307692264</v>
      </c>
      <c r="AT14" s="39"/>
      <c r="AU14" s="38">
        <f t="shared" si="12"/>
        <v>1.2307692307692264</v>
      </c>
      <c r="AV14" s="40">
        <v>91.99</v>
      </c>
      <c r="AW14" s="41">
        <f t="shared" si="4"/>
        <v>13982.48</v>
      </c>
      <c r="AX14" s="24">
        <f t="shared" si="5"/>
        <v>137.0752002195126</v>
      </c>
      <c r="AY14" s="24"/>
      <c r="AZ14" s="24"/>
      <c r="BA14" s="24"/>
      <c r="BB14" s="24">
        <f t="shared" si="13"/>
        <v>0</v>
      </c>
      <c r="BC14" s="24">
        <f t="shared" si="14"/>
        <v>-5404.73</v>
      </c>
      <c r="BD14" s="24">
        <v>135</v>
      </c>
      <c r="BE14" s="24">
        <v>135</v>
      </c>
      <c r="BF14" s="24"/>
      <c r="BG14" s="24">
        <f t="shared" si="17"/>
        <v>1457.7750000000001</v>
      </c>
      <c r="BH14" s="24"/>
      <c r="BI14" s="24"/>
      <c r="BJ14" s="24">
        <f t="shared" si="15"/>
        <v>14.577750000000002</v>
      </c>
      <c r="BK14" s="24">
        <f t="shared" si="16"/>
        <v>-3691.5327499999994</v>
      </c>
      <c r="BL14" s="24" t="s">
        <v>147</v>
      </c>
      <c r="BM14" s="42">
        <f t="shared" si="6"/>
        <v>3</v>
      </c>
      <c r="BN14" s="24" t="s">
        <v>139</v>
      </c>
      <c r="BO14" s="2" t="s">
        <v>148</v>
      </c>
    </row>
    <row r="15" spans="1:67" s="1" customFormat="1" ht="15" customHeight="1" x14ac:dyDescent="0.3">
      <c r="A15" s="20">
        <v>11</v>
      </c>
      <c r="B15" s="21">
        <v>46082</v>
      </c>
      <c r="C15" s="21">
        <v>46088</v>
      </c>
      <c r="D15" s="56" t="s">
        <v>140</v>
      </c>
      <c r="E15" s="23">
        <v>46092</v>
      </c>
      <c r="F15" s="23" t="s">
        <v>7</v>
      </c>
      <c r="G15" s="24" t="s">
        <v>68</v>
      </c>
      <c r="H15" s="24" t="s">
        <v>69</v>
      </c>
      <c r="I15" s="24" t="s">
        <v>141</v>
      </c>
      <c r="J15" s="25" t="s">
        <v>142</v>
      </c>
      <c r="K15" s="45" t="str">
        <f t="shared" si="7"/>
        <v>WB41F2315</v>
      </c>
      <c r="L15" s="26">
        <v>46084</v>
      </c>
      <c r="M15" s="34" t="s">
        <v>149</v>
      </c>
      <c r="N15" s="27">
        <v>8100918477</v>
      </c>
      <c r="O15" s="28">
        <v>0</v>
      </c>
      <c r="P15" s="27"/>
      <c r="Q15" s="29">
        <v>2525348796</v>
      </c>
      <c r="R15" s="30">
        <v>2110796255</v>
      </c>
      <c r="S15" s="31" t="s">
        <v>73</v>
      </c>
      <c r="T15" s="24" t="s">
        <v>91</v>
      </c>
      <c r="U15" s="24" t="s">
        <v>75</v>
      </c>
      <c r="V15" s="32" t="s">
        <v>144</v>
      </c>
      <c r="W15" s="32" t="s">
        <v>145</v>
      </c>
      <c r="X15" s="32" t="s">
        <v>145</v>
      </c>
      <c r="Y15" s="24">
        <v>1023</v>
      </c>
      <c r="Z15" s="24">
        <v>10</v>
      </c>
      <c r="AA15" s="24">
        <f t="shared" si="8"/>
        <v>971.85</v>
      </c>
      <c r="AB15" s="24">
        <f t="shared" si="0"/>
        <v>10230</v>
      </c>
      <c r="AC15" s="24">
        <f t="shared" si="1"/>
        <v>9718.5</v>
      </c>
      <c r="AD15" s="24">
        <f t="shared" si="2"/>
        <v>9718.5</v>
      </c>
      <c r="AE15" s="24">
        <f t="shared" si="3"/>
        <v>511.5</v>
      </c>
      <c r="AF15" s="24">
        <v>0</v>
      </c>
      <c r="AG15" s="31"/>
      <c r="AH15" s="24"/>
      <c r="AI15" s="24"/>
      <c r="AJ15" s="24"/>
      <c r="AK15" s="24"/>
      <c r="AL15" s="24"/>
      <c r="AM15" s="24"/>
      <c r="AN15" s="34"/>
      <c r="AO15" s="35"/>
      <c r="AP15" s="24"/>
      <c r="AQ15" s="36">
        <f t="shared" si="10"/>
        <v>0</v>
      </c>
      <c r="AR15" s="16"/>
      <c r="AS15" s="47">
        <f t="shared" si="11"/>
        <v>0</v>
      </c>
      <c r="AT15" s="31"/>
      <c r="AU15" s="47">
        <f t="shared" si="12"/>
        <v>0</v>
      </c>
      <c r="AV15" s="48">
        <v>91.99</v>
      </c>
      <c r="AW15" s="24">
        <f t="shared" si="4"/>
        <v>0</v>
      </c>
      <c r="AX15" s="24">
        <f t="shared" si="5"/>
        <v>0</v>
      </c>
      <c r="AY15" s="24"/>
      <c r="AZ15" s="24"/>
      <c r="BA15" s="24"/>
      <c r="BB15" s="24">
        <f t="shared" si="13"/>
        <v>0</v>
      </c>
      <c r="BC15" s="24">
        <f t="shared" si="14"/>
        <v>9718.5</v>
      </c>
      <c r="BD15" s="24"/>
      <c r="BE15" s="24"/>
      <c r="BF15" s="24"/>
      <c r="BG15" s="24">
        <f t="shared" si="17"/>
        <v>971.85</v>
      </c>
      <c r="BH15" s="24"/>
      <c r="BI15" s="24"/>
      <c r="BJ15" s="24">
        <f t="shared" si="15"/>
        <v>9.7185000000000006</v>
      </c>
      <c r="BK15" s="24">
        <f t="shared" si="16"/>
        <v>10680.6315</v>
      </c>
      <c r="BL15" s="24" t="s">
        <v>147</v>
      </c>
      <c r="BM15" s="42">
        <f t="shared" si="6"/>
        <v>3</v>
      </c>
      <c r="BN15" s="24" t="s">
        <v>139</v>
      </c>
      <c r="BO15" s="2" t="s">
        <v>148</v>
      </c>
    </row>
    <row r="16" spans="1:67" s="1" customFormat="1" ht="15" customHeight="1" x14ac:dyDescent="0.3">
      <c r="A16" s="43">
        <v>12</v>
      </c>
      <c r="B16" s="21">
        <v>46082</v>
      </c>
      <c r="C16" s="21">
        <v>46088</v>
      </c>
      <c r="D16" s="56" t="s">
        <v>140</v>
      </c>
      <c r="E16" s="23">
        <v>46092</v>
      </c>
      <c r="F16" s="23" t="s">
        <v>7</v>
      </c>
      <c r="G16" s="24" t="s">
        <v>68</v>
      </c>
      <c r="H16" s="24" t="s">
        <v>69</v>
      </c>
      <c r="I16" s="24" t="s">
        <v>70</v>
      </c>
      <c r="J16" s="25" t="s">
        <v>150</v>
      </c>
      <c r="K16" s="45" t="str">
        <f t="shared" si="7"/>
        <v>WB39B9201</v>
      </c>
      <c r="L16" s="26">
        <v>46084</v>
      </c>
      <c r="M16" s="34" t="s">
        <v>151</v>
      </c>
      <c r="N16" s="27">
        <v>8100918961</v>
      </c>
      <c r="O16" s="28">
        <v>0</v>
      </c>
      <c r="P16" s="27"/>
      <c r="Q16" s="29">
        <v>2525349133</v>
      </c>
      <c r="R16" s="30">
        <v>2110796634</v>
      </c>
      <c r="S16" s="31" t="s">
        <v>73</v>
      </c>
      <c r="T16" s="24" t="s">
        <v>91</v>
      </c>
      <c r="U16" s="24" t="s">
        <v>75</v>
      </c>
      <c r="V16" s="32" t="s">
        <v>152</v>
      </c>
      <c r="W16" s="32" t="s">
        <v>153</v>
      </c>
      <c r="X16" s="32" t="s">
        <v>153</v>
      </c>
      <c r="Y16" s="24">
        <v>1022</v>
      </c>
      <c r="Z16" s="24">
        <v>12</v>
      </c>
      <c r="AA16" s="24">
        <f t="shared" si="8"/>
        <v>970.90000000000009</v>
      </c>
      <c r="AB16" s="24">
        <f t="shared" si="0"/>
        <v>12264</v>
      </c>
      <c r="AC16" s="24">
        <f t="shared" si="1"/>
        <v>11650.8</v>
      </c>
      <c r="AD16" s="24">
        <f t="shared" si="2"/>
        <v>11650.800000000001</v>
      </c>
      <c r="AE16" s="24">
        <f t="shared" si="3"/>
        <v>613.19999999999891</v>
      </c>
      <c r="AF16" s="24">
        <v>0</v>
      </c>
      <c r="AG16" s="33">
        <v>3700</v>
      </c>
      <c r="AH16" s="24"/>
      <c r="AI16" s="24"/>
      <c r="AJ16" s="24"/>
      <c r="AK16" s="24">
        <v>115</v>
      </c>
      <c r="AL16" s="24"/>
      <c r="AM16" s="24" t="s">
        <v>79</v>
      </c>
      <c r="AN16" s="34" t="s">
        <v>154</v>
      </c>
      <c r="AO16" s="35" t="s">
        <v>81</v>
      </c>
      <c r="AP16" s="24">
        <f>248*2</f>
        <v>496</v>
      </c>
      <c r="AQ16" s="36">
        <f t="shared" si="10"/>
        <v>152.61538461538461</v>
      </c>
      <c r="AR16" s="37">
        <v>130</v>
      </c>
      <c r="AS16" s="38">
        <f t="shared" si="11"/>
        <v>-22.615384615384613</v>
      </c>
      <c r="AT16" s="39"/>
      <c r="AU16" s="38">
        <f t="shared" si="12"/>
        <v>-22.615384615384613</v>
      </c>
      <c r="AV16" s="40">
        <v>91.99</v>
      </c>
      <c r="AW16" s="41">
        <f t="shared" si="4"/>
        <v>11958.699999999999</v>
      </c>
      <c r="AX16" s="24">
        <f t="shared" si="5"/>
        <v>134.4002128609194</v>
      </c>
      <c r="AY16" s="24"/>
      <c r="AZ16" s="24"/>
      <c r="BA16" s="24"/>
      <c r="BB16" s="24">
        <f t="shared" si="13"/>
        <v>0</v>
      </c>
      <c r="BC16" s="24">
        <f t="shared" si="14"/>
        <v>-4122.8999999999978</v>
      </c>
      <c r="BD16" s="24"/>
      <c r="BE16" s="24"/>
      <c r="BF16" s="24"/>
      <c r="BG16" s="24">
        <f t="shared" si="17"/>
        <v>1165.08</v>
      </c>
      <c r="BH16" s="24"/>
      <c r="BI16" s="24"/>
      <c r="BJ16" s="24">
        <f t="shared" si="15"/>
        <v>11.6508</v>
      </c>
      <c r="BK16" s="24">
        <f t="shared" si="16"/>
        <v>-2969.4707999999978</v>
      </c>
      <c r="BL16" s="24" t="s">
        <v>155</v>
      </c>
      <c r="BM16" s="42">
        <f t="shared" si="6"/>
        <v>3</v>
      </c>
      <c r="BN16" s="24" t="s">
        <v>139</v>
      </c>
      <c r="BO16" s="2" t="s">
        <v>148</v>
      </c>
    </row>
    <row r="17" spans="1:67" s="1" customFormat="1" ht="15" customHeight="1" x14ac:dyDescent="0.3">
      <c r="A17" s="20">
        <v>13</v>
      </c>
      <c r="B17" s="21">
        <v>46082</v>
      </c>
      <c r="C17" s="21">
        <v>46088</v>
      </c>
      <c r="D17" s="56" t="s">
        <v>140</v>
      </c>
      <c r="E17" s="23">
        <v>46092</v>
      </c>
      <c r="F17" s="23" t="s">
        <v>7</v>
      </c>
      <c r="G17" s="24" t="s">
        <v>68</v>
      </c>
      <c r="H17" s="24" t="s">
        <v>69</v>
      </c>
      <c r="I17" s="24" t="s">
        <v>70</v>
      </c>
      <c r="J17" s="25" t="s">
        <v>150</v>
      </c>
      <c r="K17" s="45" t="str">
        <f t="shared" si="7"/>
        <v>WB39B9201</v>
      </c>
      <c r="L17" s="26">
        <v>46084</v>
      </c>
      <c r="M17" s="34" t="s">
        <v>156</v>
      </c>
      <c r="N17" s="27">
        <v>8100918962</v>
      </c>
      <c r="O17" s="28">
        <v>0</v>
      </c>
      <c r="P17" s="27"/>
      <c r="Q17" s="29">
        <v>2525349135</v>
      </c>
      <c r="R17" s="30">
        <v>2110796635</v>
      </c>
      <c r="S17" s="31" t="s">
        <v>73</v>
      </c>
      <c r="T17" s="24" t="s">
        <v>91</v>
      </c>
      <c r="U17" s="24" t="s">
        <v>75</v>
      </c>
      <c r="V17" s="32" t="s">
        <v>152</v>
      </c>
      <c r="W17" s="32" t="s">
        <v>153</v>
      </c>
      <c r="X17" s="32" t="s">
        <v>153</v>
      </c>
      <c r="Y17" s="24">
        <v>1022</v>
      </c>
      <c r="Z17" s="24">
        <v>13</v>
      </c>
      <c r="AA17" s="24">
        <f t="shared" si="8"/>
        <v>970.90000000000009</v>
      </c>
      <c r="AB17" s="24">
        <f t="shared" si="0"/>
        <v>13286</v>
      </c>
      <c r="AC17" s="24">
        <f t="shared" si="1"/>
        <v>12621.7</v>
      </c>
      <c r="AD17" s="24">
        <f t="shared" si="2"/>
        <v>12621.7</v>
      </c>
      <c r="AE17" s="24">
        <f t="shared" si="3"/>
        <v>664.29999999999927</v>
      </c>
      <c r="AF17" s="24">
        <v>0</v>
      </c>
      <c r="AG17" s="31"/>
      <c r="AH17" s="24"/>
      <c r="AI17" s="24"/>
      <c r="AJ17" s="24"/>
      <c r="AK17" s="24"/>
      <c r="AL17" s="24"/>
      <c r="AM17" s="24"/>
      <c r="AN17" s="34"/>
      <c r="AO17" s="35"/>
      <c r="AP17" s="24"/>
      <c r="AQ17" s="36">
        <f t="shared" si="10"/>
        <v>0</v>
      </c>
      <c r="AR17" s="16"/>
      <c r="AS17" s="47">
        <f t="shared" si="11"/>
        <v>0</v>
      </c>
      <c r="AT17" s="31"/>
      <c r="AU17" s="47">
        <f t="shared" si="12"/>
        <v>0</v>
      </c>
      <c r="AV17" s="48">
        <v>91.99</v>
      </c>
      <c r="AW17" s="24">
        <f t="shared" si="4"/>
        <v>0</v>
      </c>
      <c r="AX17" s="24">
        <f t="shared" si="5"/>
        <v>0</v>
      </c>
      <c r="AY17" s="24"/>
      <c r="AZ17" s="24"/>
      <c r="BA17" s="24"/>
      <c r="BB17" s="24">
        <f t="shared" si="13"/>
        <v>0</v>
      </c>
      <c r="BC17" s="24">
        <f t="shared" si="14"/>
        <v>12621.7</v>
      </c>
      <c r="BD17" s="24"/>
      <c r="BE17" s="24"/>
      <c r="BF17" s="24"/>
      <c r="BG17" s="24">
        <f t="shared" si="17"/>
        <v>1262.17</v>
      </c>
      <c r="BH17" s="24"/>
      <c r="BI17" s="24"/>
      <c r="BJ17" s="24">
        <f t="shared" si="15"/>
        <v>12.621700000000001</v>
      </c>
      <c r="BK17" s="24">
        <f t="shared" si="16"/>
        <v>13871.248300000001</v>
      </c>
      <c r="BL17" s="24" t="s">
        <v>155</v>
      </c>
      <c r="BM17" s="42">
        <f t="shared" si="6"/>
        <v>3</v>
      </c>
      <c r="BN17" s="24" t="s">
        <v>139</v>
      </c>
      <c r="BO17" s="2" t="s">
        <v>148</v>
      </c>
    </row>
    <row r="18" spans="1:67" s="1" customFormat="1" ht="15" customHeight="1" x14ac:dyDescent="0.3">
      <c r="A18" s="43">
        <v>14</v>
      </c>
      <c r="B18" s="21">
        <v>46082</v>
      </c>
      <c r="C18" s="21">
        <v>46088</v>
      </c>
      <c r="D18" s="22" t="s">
        <v>67</v>
      </c>
      <c r="E18" s="23">
        <v>46092</v>
      </c>
      <c r="F18" s="23" t="s">
        <v>7</v>
      </c>
      <c r="G18" s="24" t="s">
        <v>68</v>
      </c>
      <c r="H18" s="24" t="s">
        <v>69</v>
      </c>
      <c r="I18" s="24" t="s">
        <v>112</v>
      </c>
      <c r="J18" s="25" t="s">
        <v>157</v>
      </c>
      <c r="K18" s="45" t="str">
        <f t="shared" si="7"/>
        <v>WB39A6898</v>
      </c>
      <c r="L18" s="26">
        <v>46084</v>
      </c>
      <c r="M18" s="34" t="s">
        <v>158</v>
      </c>
      <c r="N18" s="27">
        <v>8100918983</v>
      </c>
      <c r="O18" s="28">
        <v>0</v>
      </c>
      <c r="P18" s="27"/>
      <c r="Q18" s="29">
        <v>2525349157</v>
      </c>
      <c r="R18" s="30">
        <v>2110796656</v>
      </c>
      <c r="S18" s="31" t="s">
        <v>73</v>
      </c>
      <c r="T18" s="24" t="s">
        <v>74</v>
      </c>
      <c r="U18" s="24" t="s">
        <v>75</v>
      </c>
      <c r="V18" s="32" t="s">
        <v>159</v>
      </c>
      <c r="W18" s="32" t="s">
        <v>160</v>
      </c>
      <c r="X18" s="32" t="s">
        <v>161</v>
      </c>
      <c r="Y18" s="24">
        <v>743</v>
      </c>
      <c r="Z18" s="24">
        <v>12</v>
      </c>
      <c r="AA18" s="24">
        <f t="shared" si="8"/>
        <v>705.85</v>
      </c>
      <c r="AB18" s="24">
        <f t="shared" si="0"/>
        <v>8916</v>
      </c>
      <c r="AC18" s="24">
        <f t="shared" si="1"/>
        <v>8470.1999999999989</v>
      </c>
      <c r="AD18" s="24">
        <f t="shared" si="2"/>
        <v>8470.2000000000007</v>
      </c>
      <c r="AE18" s="24">
        <f t="shared" si="3"/>
        <v>445.79999999999927</v>
      </c>
      <c r="AF18" s="24">
        <f t="shared" ref="AF18:AF26" si="19">+AD18*1%</f>
        <v>84.702000000000012</v>
      </c>
      <c r="AG18" s="33">
        <v>3400</v>
      </c>
      <c r="AH18" s="24"/>
      <c r="AI18" s="24"/>
      <c r="AJ18" s="24"/>
      <c r="AK18" s="24"/>
      <c r="AL18" s="24"/>
      <c r="AM18" s="24" t="s">
        <v>79</v>
      </c>
      <c r="AN18" s="34" t="s">
        <v>162</v>
      </c>
      <c r="AO18" s="35" t="s">
        <v>81</v>
      </c>
      <c r="AP18" s="24">
        <f>171*2</f>
        <v>342</v>
      </c>
      <c r="AQ18" s="36">
        <f t="shared" si="10"/>
        <v>105.23076923076923</v>
      </c>
      <c r="AR18" s="37">
        <v>105</v>
      </c>
      <c r="AS18" s="38">
        <f t="shared" si="11"/>
        <v>-0.2307692307692264</v>
      </c>
      <c r="AT18" s="39"/>
      <c r="AU18" s="38">
        <f t="shared" si="12"/>
        <v>-0.2307692307692264</v>
      </c>
      <c r="AV18" s="40">
        <v>91.99</v>
      </c>
      <c r="AW18" s="41">
        <f t="shared" si="4"/>
        <v>9658.9499999999989</v>
      </c>
      <c r="AX18" s="24">
        <f t="shared" si="5"/>
        <v>154.17522608675119</v>
      </c>
      <c r="AY18" s="24">
        <v>120</v>
      </c>
      <c r="AZ18" s="24"/>
      <c r="BA18" s="24"/>
      <c r="BB18" s="24">
        <f t="shared" si="13"/>
        <v>0</v>
      </c>
      <c r="BC18" s="24">
        <f t="shared" si="14"/>
        <v>-4793.4519999999975</v>
      </c>
      <c r="BD18" s="24">
        <v>100</v>
      </c>
      <c r="BE18" s="24">
        <v>100</v>
      </c>
      <c r="BF18" s="24"/>
      <c r="BG18" s="24">
        <f>+AD18*8.5%</f>
        <v>719.9670000000001</v>
      </c>
      <c r="BH18" s="24">
        <f t="shared" ref="BH18:BH19" si="20">+AD18*8.5%</f>
        <v>719.9670000000001</v>
      </c>
      <c r="BI18" s="24"/>
      <c r="BJ18" s="24">
        <f t="shared" si="15"/>
        <v>14.399340000000002</v>
      </c>
      <c r="BK18" s="24">
        <f t="shared" si="16"/>
        <v>-3167.9173399999972</v>
      </c>
      <c r="BL18" s="24" t="s">
        <v>163</v>
      </c>
      <c r="BM18" s="42">
        <f t="shared" si="6"/>
        <v>3</v>
      </c>
      <c r="BN18" s="24" t="s">
        <v>139</v>
      </c>
      <c r="BO18" s="2" t="s">
        <v>129</v>
      </c>
    </row>
    <row r="19" spans="1:67" s="1" customFormat="1" ht="15" customHeight="1" x14ac:dyDescent="0.3">
      <c r="A19" s="20">
        <v>15</v>
      </c>
      <c r="B19" s="21">
        <v>46082</v>
      </c>
      <c r="C19" s="21">
        <v>46088</v>
      </c>
      <c r="D19" s="22" t="s">
        <v>67</v>
      </c>
      <c r="E19" s="23">
        <v>46092</v>
      </c>
      <c r="F19" s="23" t="s">
        <v>7</v>
      </c>
      <c r="G19" s="24" t="s">
        <v>68</v>
      </c>
      <c r="H19" s="24" t="s">
        <v>69</v>
      </c>
      <c r="I19" s="24" t="s">
        <v>112</v>
      </c>
      <c r="J19" s="25" t="s">
        <v>157</v>
      </c>
      <c r="K19" s="45" t="str">
        <f t="shared" si="7"/>
        <v>WB39A6898</v>
      </c>
      <c r="L19" s="26">
        <v>46084</v>
      </c>
      <c r="M19" s="34" t="s">
        <v>164</v>
      </c>
      <c r="N19" s="27">
        <v>8100918984</v>
      </c>
      <c r="O19" s="28">
        <v>0</v>
      </c>
      <c r="P19" s="27"/>
      <c r="Q19" s="29">
        <v>2525349158</v>
      </c>
      <c r="R19" s="30">
        <v>2110796657</v>
      </c>
      <c r="S19" s="31" t="s">
        <v>73</v>
      </c>
      <c r="T19" s="24" t="s">
        <v>74</v>
      </c>
      <c r="U19" s="24" t="s">
        <v>75</v>
      </c>
      <c r="V19" s="32" t="s">
        <v>159</v>
      </c>
      <c r="W19" s="32" t="s">
        <v>160</v>
      </c>
      <c r="X19" s="32"/>
      <c r="Y19" s="24">
        <v>743</v>
      </c>
      <c r="Z19" s="24">
        <v>7</v>
      </c>
      <c r="AA19" s="24">
        <f t="shared" si="8"/>
        <v>705.85</v>
      </c>
      <c r="AB19" s="24">
        <f t="shared" si="0"/>
        <v>5201</v>
      </c>
      <c r="AC19" s="24">
        <f t="shared" si="1"/>
        <v>4940.95</v>
      </c>
      <c r="AD19" s="24">
        <f t="shared" si="2"/>
        <v>4940.95</v>
      </c>
      <c r="AE19" s="24">
        <f t="shared" si="3"/>
        <v>260.05000000000018</v>
      </c>
      <c r="AF19" s="24">
        <f t="shared" si="19"/>
        <v>49.409500000000001</v>
      </c>
      <c r="AG19" s="31"/>
      <c r="AH19" s="24"/>
      <c r="AI19" s="24"/>
      <c r="AJ19" s="24"/>
      <c r="AK19" s="24"/>
      <c r="AL19" s="24"/>
      <c r="AM19" s="24"/>
      <c r="AN19" s="34"/>
      <c r="AO19" s="35"/>
      <c r="AP19" s="24"/>
      <c r="AQ19" s="36">
        <f t="shared" si="10"/>
        <v>0</v>
      </c>
      <c r="AR19" s="16"/>
      <c r="AS19" s="47">
        <f t="shared" si="11"/>
        <v>0</v>
      </c>
      <c r="AT19" s="31"/>
      <c r="AU19" s="47">
        <f t="shared" si="12"/>
        <v>0</v>
      </c>
      <c r="AV19" s="48">
        <v>91.99</v>
      </c>
      <c r="AW19" s="24">
        <f t="shared" si="4"/>
        <v>0</v>
      </c>
      <c r="AX19" s="24">
        <f t="shared" si="5"/>
        <v>0</v>
      </c>
      <c r="AY19" s="24"/>
      <c r="AZ19" s="24"/>
      <c r="BA19" s="24"/>
      <c r="BB19" s="24">
        <f t="shared" si="13"/>
        <v>0</v>
      </c>
      <c r="BC19" s="24">
        <f t="shared" si="14"/>
        <v>4891.5405000000001</v>
      </c>
      <c r="BD19" s="24"/>
      <c r="BE19" s="24"/>
      <c r="BF19" s="24"/>
      <c r="BG19" s="24">
        <f>+AD19*8.5%</f>
        <v>419.98075</v>
      </c>
      <c r="BH19" s="24">
        <f t="shared" si="20"/>
        <v>419.98075</v>
      </c>
      <c r="BI19" s="24"/>
      <c r="BJ19" s="24">
        <f t="shared" si="15"/>
        <v>8.3996150000000007</v>
      </c>
      <c r="BK19" s="24">
        <f t="shared" si="16"/>
        <v>5723.1023849999992</v>
      </c>
      <c r="BL19" s="24" t="s">
        <v>163</v>
      </c>
      <c r="BM19" s="42">
        <f t="shared" si="6"/>
        <v>3</v>
      </c>
      <c r="BN19" s="24" t="s">
        <v>139</v>
      </c>
      <c r="BO19" s="2" t="s">
        <v>129</v>
      </c>
    </row>
    <row r="20" spans="1:67" s="1" customFormat="1" ht="15" customHeight="1" x14ac:dyDescent="0.3">
      <c r="A20" s="43">
        <v>16</v>
      </c>
      <c r="B20" s="21">
        <v>46082</v>
      </c>
      <c r="C20" s="21">
        <v>46088</v>
      </c>
      <c r="D20" s="50" t="s">
        <v>165</v>
      </c>
      <c r="E20" s="23">
        <v>46108</v>
      </c>
      <c r="F20" s="23" t="s">
        <v>7</v>
      </c>
      <c r="G20" s="24" t="s">
        <v>68</v>
      </c>
      <c r="H20" s="24" t="s">
        <v>69</v>
      </c>
      <c r="I20" s="24" t="s">
        <v>166</v>
      </c>
      <c r="J20" s="25" t="s">
        <v>167</v>
      </c>
      <c r="K20" s="45" t="str">
        <f t="shared" si="7"/>
        <v>WB41H0254</v>
      </c>
      <c r="L20" s="26">
        <v>46085</v>
      </c>
      <c r="M20" s="34" t="s">
        <v>168</v>
      </c>
      <c r="N20" s="27">
        <v>8100919050</v>
      </c>
      <c r="O20" s="28">
        <v>0</v>
      </c>
      <c r="P20" s="27"/>
      <c r="Q20" s="29">
        <v>2525349204</v>
      </c>
      <c r="R20" s="30">
        <v>2110796705</v>
      </c>
      <c r="S20" s="31" t="s">
        <v>73</v>
      </c>
      <c r="T20" s="24" t="s">
        <v>91</v>
      </c>
      <c r="U20" s="24" t="s">
        <v>75</v>
      </c>
      <c r="V20" s="32" t="s">
        <v>169</v>
      </c>
      <c r="W20" s="32" t="s">
        <v>170</v>
      </c>
      <c r="X20" s="32" t="s">
        <v>171</v>
      </c>
      <c r="Y20" s="24">
        <v>989</v>
      </c>
      <c r="Z20" s="24">
        <v>25</v>
      </c>
      <c r="AA20" s="24">
        <f t="shared" si="8"/>
        <v>939.55000000000007</v>
      </c>
      <c r="AB20" s="24">
        <f t="shared" si="0"/>
        <v>24725</v>
      </c>
      <c r="AC20" s="24">
        <f t="shared" si="1"/>
        <v>23488.75</v>
      </c>
      <c r="AD20" s="24">
        <f t="shared" si="2"/>
        <v>23488.75</v>
      </c>
      <c r="AE20" s="24">
        <f t="shared" si="3"/>
        <v>1236.25</v>
      </c>
      <c r="AF20" s="24">
        <v>0</v>
      </c>
      <c r="AG20" s="33">
        <v>3500</v>
      </c>
      <c r="AH20" s="24"/>
      <c r="AI20" s="24"/>
      <c r="AJ20" s="24"/>
      <c r="AK20" s="24"/>
      <c r="AL20" s="24"/>
      <c r="AM20" s="24" t="s">
        <v>79</v>
      </c>
      <c r="AN20" s="34" t="s">
        <v>172</v>
      </c>
      <c r="AO20" s="35" t="s">
        <v>81</v>
      </c>
      <c r="AP20" s="24">
        <f>217*2</f>
        <v>434</v>
      </c>
      <c r="AQ20" s="36">
        <f t="shared" si="10"/>
        <v>133.53846153846155</v>
      </c>
      <c r="AR20" s="37">
        <v>135</v>
      </c>
      <c r="AS20" s="38">
        <f t="shared" si="11"/>
        <v>1.4615384615384528</v>
      </c>
      <c r="AT20" s="39"/>
      <c r="AU20" s="38">
        <f t="shared" si="12"/>
        <v>1.4615384615384528</v>
      </c>
      <c r="AV20" s="40">
        <v>91.99</v>
      </c>
      <c r="AW20" s="41">
        <f t="shared" si="4"/>
        <v>12418.65</v>
      </c>
      <c r="AX20" s="24">
        <f t="shared" si="5"/>
        <v>67.771379915917194</v>
      </c>
      <c r="AY20" s="24"/>
      <c r="AZ20" s="24"/>
      <c r="BA20" s="24"/>
      <c r="BB20" s="24">
        <f t="shared" si="13"/>
        <v>0</v>
      </c>
      <c r="BC20" s="24">
        <f t="shared" si="14"/>
        <v>7570.1</v>
      </c>
      <c r="BD20" s="24"/>
      <c r="BE20" s="24"/>
      <c r="BF20" s="24"/>
      <c r="BG20" s="24">
        <f>+AB20*9.5%</f>
        <v>2348.875</v>
      </c>
      <c r="BH20" s="24"/>
      <c r="BI20" s="24"/>
      <c r="BJ20" s="24">
        <f t="shared" si="15"/>
        <v>23.48875</v>
      </c>
      <c r="BK20" s="24">
        <f t="shared" si="16"/>
        <v>9895.4862499999999</v>
      </c>
      <c r="BL20" s="24" t="s">
        <v>173</v>
      </c>
      <c r="BM20" s="42">
        <f t="shared" si="6"/>
        <v>4</v>
      </c>
      <c r="BN20" s="24" t="s">
        <v>174</v>
      </c>
      <c r="BO20" s="2" t="s">
        <v>175</v>
      </c>
    </row>
    <row r="21" spans="1:67" s="1" customFormat="1" ht="15" customHeight="1" x14ac:dyDescent="0.3">
      <c r="A21" s="20">
        <v>17</v>
      </c>
      <c r="B21" s="21">
        <v>46082</v>
      </c>
      <c r="C21" s="21">
        <v>46097</v>
      </c>
      <c r="D21" s="56" t="s">
        <v>176</v>
      </c>
      <c r="E21" s="23">
        <v>46097</v>
      </c>
      <c r="F21" s="23" t="s">
        <v>7</v>
      </c>
      <c r="G21" s="24" t="s">
        <v>68</v>
      </c>
      <c r="H21" s="24" t="s">
        <v>69</v>
      </c>
      <c r="I21" s="24" t="s">
        <v>70</v>
      </c>
      <c r="J21" s="25" t="s">
        <v>177</v>
      </c>
      <c r="K21" s="45" t="str">
        <f t="shared" si="7"/>
        <v>WB39B8916</v>
      </c>
      <c r="L21" s="26">
        <v>46087</v>
      </c>
      <c r="M21" s="34" t="s">
        <v>178</v>
      </c>
      <c r="N21" s="57">
        <v>8100919055</v>
      </c>
      <c r="O21" s="28">
        <v>0</v>
      </c>
      <c r="P21" s="27"/>
      <c r="Q21" s="29">
        <v>2525349209</v>
      </c>
      <c r="R21" s="30">
        <v>2110796707</v>
      </c>
      <c r="S21" s="31" t="s">
        <v>73</v>
      </c>
      <c r="T21" s="24" t="s">
        <v>91</v>
      </c>
      <c r="U21" s="24" t="s">
        <v>75</v>
      </c>
      <c r="V21" s="32" t="s">
        <v>179</v>
      </c>
      <c r="W21" s="32" t="s">
        <v>180</v>
      </c>
      <c r="X21" s="32"/>
      <c r="Y21" s="24">
        <v>1047</v>
      </c>
      <c r="Z21" s="24">
        <v>25</v>
      </c>
      <c r="AA21" s="24">
        <f t="shared" si="8"/>
        <v>994.65000000000009</v>
      </c>
      <c r="AB21" s="24">
        <f t="shared" si="0"/>
        <v>26175</v>
      </c>
      <c r="AC21" s="24">
        <f t="shared" si="1"/>
        <v>24866.25</v>
      </c>
      <c r="AD21" s="24">
        <f t="shared" si="2"/>
        <v>24866.250000000004</v>
      </c>
      <c r="AE21" s="24">
        <f t="shared" si="3"/>
        <v>1308.7499999999964</v>
      </c>
      <c r="AF21" s="24">
        <f t="shared" si="19"/>
        <v>248.66250000000005</v>
      </c>
      <c r="AG21" s="33">
        <v>3700</v>
      </c>
      <c r="AH21" s="24"/>
      <c r="AI21" s="24"/>
      <c r="AJ21" s="24"/>
      <c r="AK21" s="24"/>
      <c r="AL21" s="24"/>
      <c r="AM21" s="24" t="s">
        <v>79</v>
      </c>
      <c r="AN21" s="34" t="s">
        <v>181</v>
      </c>
      <c r="AO21" s="35" t="s">
        <v>81</v>
      </c>
      <c r="AP21" s="24">
        <f>250*2</f>
        <v>500</v>
      </c>
      <c r="AQ21" s="36">
        <f t="shared" si="10"/>
        <v>153.84615384615384</v>
      </c>
      <c r="AR21" s="37">
        <v>158</v>
      </c>
      <c r="AS21" s="38">
        <f t="shared" si="11"/>
        <v>4.1538461538461604</v>
      </c>
      <c r="AT21" s="39"/>
      <c r="AU21" s="38">
        <f t="shared" si="12"/>
        <v>4.1538461538461604</v>
      </c>
      <c r="AV21" s="40">
        <v>91.99</v>
      </c>
      <c r="AW21" s="41">
        <f t="shared" si="4"/>
        <v>14534.42</v>
      </c>
      <c r="AX21" s="24">
        <f t="shared" si="5"/>
        <v>73.329995475795485</v>
      </c>
      <c r="AY21" s="24"/>
      <c r="AZ21" s="24"/>
      <c r="BA21" s="24"/>
      <c r="BB21" s="24">
        <f t="shared" si="13"/>
        <v>0</v>
      </c>
      <c r="BC21" s="24">
        <f t="shared" si="14"/>
        <v>6383.167500000005</v>
      </c>
      <c r="BD21" s="24"/>
      <c r="BE21" s="24"/>
      <c r="BF21" s="24"/>
      <c r="BG21" s="24">
        <f>+AD21*9.5%</f>
        <v>2362.2937500000003</v>
      </c>
      <c r="BH21" s="24"/>
      <c r="BI21" s="24"/>
      <c r="BJ21" s="24">
        <f t="shared" si="15"/>
        <v>23.622937500000003</v>
      </c>
      <c r="BK21" s="24">
        <f t="shared" si="16"/>
        <v>8721.8383125000055</v>
      </c>
      <c r="BL21" s="24" t="s">
        <v>182</v>
      </c>
      <c r="BM21" s="42">
        <f t="shared" si="6"/>
        <v>6</v>
      </c>
      <c r="BN21" s="24" t="s">
        <v>183</v>
      </c>
      <c r="BO21" s="2" t="s">
        <v>184</v>
      </c>
    </row>
    <row r="22" spans="1:67" s="1" customFormat="1" ht="15" customHeight="1" x14ac:dyDescent="0.3">
      <c r="A22" s="43">
        <v>18</v>
      </c>
      <c r="B22" s="21">
        <v>46082</v>
      </c>
      <c r="C22" s="21">
        <v>46107</v>
      </c>
      <c r="D22" s="50" t="s">
        <v>185</v>
      </c>
      <c r="E22" s="23">
        <v>46108</v>
      </c>
      <c r="F22" s="23" t="s">
        <v>7</v>
      </c>
      <c r="G22" s="24" t="s">
        <v>68</v>
      </c>
      <c r="H22" s="24" t="s">
        <v>69</v>
      </c>
      <c r="I22" s="24">
        <v>81</v>
      </c>
      <c r="J22" s="25" t="s">
        <v>186</v>
      </c>
      <c r="K22" s="45" t="str">
        <f t="shared" si="7"/>
        <v>WB813467</v>
      </c>
      <c r="L22" s="26">
        <v>46083</v>
      </c>
      <c r="M22" s="34" t="s">
        <v>187</v>
      </c>
      <c r="N22" s="27">
        <v>8100919059</v>
      </c>
      <c r="O22" s="28">
        <v>0</v>
      </c>
      <c r="P22" s="27"/>
      <c r="Q22" s="29">
        <v>2525349211</v>
      </c>
      <c r="R22" s="30">
        <v>2110796708</v>
      </c>
      <c r="S22" s="31" t="s">
        <v>73</v>
      </c>
      <c r="T22" s="24" t="s">
        <v>188</v>
      </c>
      <c r="U22" s="24" t="s">
        <v>75</v>
      </c>
      <c r="V22" s="32" t="s">
        <v>189</v>
      </c>
      <c r="W22" s="32" t="s">
        <v>190</v>
      </c>
      <c r="X22" s="32" t="s">
        <v>190</v>
      </c>
      <c r="Y22" s="24">
        <v>634</v>
      </c>
      <c r="Z22" s="24">
        <v>13</v>
      </c>
      <c r="AA22" s="24">
        <f t="shared" si="8"/>
        <v>602.29999999999995</v>
      </c>
      <c r="AB22" s="24">
        <f t="shared" si="0"/>
        <v>8242</v>
      </c>
      <c r="AC22" s="24">
        <f t="shared" si="1"/>
        <v>7829.9000000000005</v>
      </c>
      <c r="AD22" s="24">
        <f t="shared" si="2"/>
        <v>7829.9</v>
      </c>
      <c r="AE22" s="24">
        <f t="shared" si="3"/>
        <v>412.10000000000036</v>
      </c>
      <c r="AF22" s="24">
        <f t="shared" si="19"/>
        <v>78.298999999999992</v>
      </c>
      <c r="AG22" s="33">
        <v>1450</v>
      </c>
      <c r="AH22" s="24"/>
      <c r="AI22" s="24"/>
      <c r="AJ22" s="24"/>
      <c r="AK22" s="24">
        <v>115</v>
      </c>
      <c r="AL22" s="24"/>
      <c r="AM22" s="24" t="s">
        <v>79</v>
      </c>
      <c r="AN22" s="34" t="s">
        <v>191</v>
      </c>
      <c r="AO22" s="35" t="s">
        <v>81</v>
      </c>
      <c r="AP22" s="24">
        <f>128*2</f>
        <v>256</v>
      </c>
      <c r="AQ22" s="36">
        <f t="shared" si="10"/>
        <v>78.769230769230774</v>
      </c>
      <c r="AR22" s="37">
        <v>21</v>
      </c>
      <c r="AS22" s="38">
        <f t="shared" si="11"/>
        <v>-57.769230769230774</v>
      </c>
      <c r="AT22" s="39"/>
      <c r="AU22" s="38">
        <f t="shared" si="12"/>
        <v>-57.769230769230774</v>
      </c>
      <c r="AV22" s="40">
        <v>91.99</v>
      </c>
      <c r="AW22" s="41">
        <f t="shared" si="4"/>
        <v>1931.79</v>
      </c>
      <c r="AX22" s="24">
        <f>((AG22+AW22)/AD22)*100</f>
        <v>43.190717633686255</v>
      </c>
      <c r="AY22" s="24"/>
      <c r="AZ22" s="24"/>
      <c r="BA22" s="24"/>
      <c r="BB22" s="24">
        <f t="shared" si="13"/>
        <v>0</v>
      </c>
      <c r="BC22" s="24">
        <f t="shared" si="14"/>
        <v>4254.8109999999997</v>
      </c>
      <c r="BD22" s="24"/>
      <c r="BE22" s="24"/>
      <c r="BF22" s="24"/>
      <c r="BG22" s="24">
        <f>+AB22*9.5%</f>
        <v>782.99</v>
      </c>
      <c r="BH22" s="24"/>
      <c r="BI22" s="24"/>
      <c r="BJ22" s="24">
        <f t="shared" si="15"/>
        <v>7.8299000000000003</v>
      </c>
      <c r="BK22" s="24">
        <f t="shared" si="16"/>
        <v>5029.9710999999998</v>
      </c>
      <c r="BL22" s="24" t="s">
        <v>192</v>
      </c>
      <c r="BM22" s="42">
        <f t="shared" si="6"/>
        <v>2</v>
      </c>
      <c r="BN22" s="24" t="s">
        <v>83</v>
      </c>
      <c r="BO22" s="2" t="s">
        <v>175</v>
      </c>
    </row>
    <row r="23" spans="1:67" s="1" customFormat="1" ht="15" customHeight="1" x14ac:dyDescent="0.3">
      <c r="A23" s="20">
        <v>19</v>
      </c>
      <c r="B23" s="21">
        <v>46083</v>
      </c>
      <c r="C23" s="21">
        <v>46088</v>
      </c>
      <c r="D23" s="50" t="s">
        <v>193</v>
      </c>
      <c r="E23" s="23">
        <v>46139</v>
      </c>
      <c r="F23" s="23" t="s">
        <v>7</v>
      </c>
      <c r="G23" s="24" t="s">
        <v>68</v>
      </c>
      <c r="H23" s="24" t="s">
        <v>69</v>
      </c>
      <c r="I23" s="24" t="s">
        <v>88</v>
      </c>
      <c r="J23" s="25" t="s">
        <v>194</v>
      </c>
      <c r="K23" s="45" t="str">
        <f t="shared" si="7"/>
        <v>WB67A2373</v>
      </c>
      <c r="L23" s="26">
        <v>46084</v>
      </c>
      <c r="M23" s="34" t="s">
        <v>195</v>
      </c>
      <c r="N23" s="27" t="s">
        <v>196</v>
      </c>
      <c r="O23" s="28">
        <v>0</v>
      </c>
      <c r="P23" s="27" t="s">
        <v>197</v>
      </c>
      <c r="Q23" s="29">
        <v>2525349285</v>
      </c>
      <c r="R23" s="30">
        <v>2110796932</v>
      </c>
      <c r="S23" s="31" t="s">
        <v>73</v>
      </c>
      <c r="T23" s="24" t="s">
        <v>74</v>
      </c>
      <c r="U23" s="24" t="s">
        <v>75</v>
      </c>
      <c r="V23" s="32" t="s">
        <v>198</v>
      </c>
      <c r="W23" s="32" t="s">
        <v>199</v>
      </c>
      <c r="X23" s="32" t="s">
        <v>200</v>
      </c>
      <c r="Y23" s="24">
        <v>499</v>
      </c>
      <c r="Z23" s="24">
        <v>19</v>
      </c>
      <c r="AA23" s="24">
        <f t="shared" si="8"/>
        <v>474.05</v>
      </c>
      <c r="AB23" s="24">
        <f t="shared" si="0"/>
        <v>9481</v>
      </c>
      <c r="AC23" s="24">
        <f t="shared" si="1"/>
        <v>9006.9500000000007</v>
      </c>
      <c r="AD23" s="24">
        <f t="shared" si="2"/>
        <v>9006.9500000000007</v>
      </c>
      <c r="AE23" s="24">
        <f t="shared" si="3"/>
        <v>474.04999999999927</v>
      </c>
      <c r="AF23" s="24">
        <f t="shared" si="19"/>
        <v>90.069500000000005</v>
      </c>
      <c r="AG23" s="33">
        <v>2600</v>
      </c>
      <c r="AH23" s="24"/>
      <c r="AI23" s="24"/>
      <c r="AJ23" s="24"/>
      <c r="AK23" s="24"/>
      <c r="AL23" s="24"/>
      <c r="AM23" s="24" t="s">
        <v>79</v>
      </c>
      <c r="AN23" s="34" t="s">
        <v>201</v>
      </c>
      <c r="AO23" s="35" t="s">
        <v>81</v>
      </c>
      <c r="AP23" s="24">
        <f>80*2</f>
        <v>160</v>
      </c>
      <c r="AQ23" s="36">
        <f t="shared" si="10"/>
        <v>49.230769230769234</v>
      </c>
      <c r="AR23" s="37">
        <v>50</v>
      </c>
      <c r="AS23" s="38">
        <f t="shared" si="11"/>
        <v>0.7692307692307665</v>
      </c>
      <c r="AT23" s="39"/>
      <c r="AU23" s="38">
        <f t="shared" si="12"/>
        <v>0.7692307692307665</v>
      </c>
      <c r="AV23" s="40">
        <v>91.99</v>
      </c>
      <c r="AW23" s="41">
        <f t="shared" si="4"/>
        <v>4599.5</v>
      </c>
      <c r="AX23" s="24">
        <f t="shared" ref="AX23:AX86" si="21">((AG23+AW23)/AD23)*100</f>
        <v>79.93271862284125</v>
      </c>
      <c r="AY23" s="24">
        <v>120</v>
      </c>
      <c r="AZ23" s="24"/>
      <c r="BA23" s="24"/>
      <c r="BB23" s="24">
        <f t="shared" si="13"/>
        <v>0</v>
      </c>
      <c r="BC23" s="24">
        <f t="shared" si="14"/>
        <v>1597.3805000000011</v>
      </c>
      <c r="BD23" s="24">
        <v>110</v>
      </c>
      <c r="BE23" s="24">
        <v>110</v>
      </c>
      <c r="BF23" s="24"/>
      <c r="BG23" s="24">
        <f>+AD23*8.5%</f>
        <v>765.59075000000007</v>
      </c>
      <c r="BH23" s="24">
        <f t="shared" ref="BH23:BH26" si="22">+AD23*8.5%</f>
        <v>765.59075000000007</v>
      </c>
      <c r="BI23" s="24"/>
      <c r="BJ23" s="24">
        <f t="shared" si="15"/>
        <v>15.311815000000001</v>
      </c>
      <c r="BK23" s="24">
        <f t="shared" si="16"/>
        <v>3333.2501850000017</v>
      </c>
      <c r="BL23" s="24" t="s">
        <v>82</v>
      </c>
      <c r="BM23" s="42">
        <f t="shared" si="6"/>
        <v>2</v>
      </c>
      <c r="BN23" s="24" t="s">
        <v>83</v>
      </c>
      <c r="BO23" s="2" t="s">
        <v>129</v>
      </c>
    </row>
    <row r="24" spans="1:67" s="1" customFormat="1" ht="15" customHeight="1" x14ac:dyDescent="0.3">
      <c r="A24" s="43">
        <v>20</v>
      </c>
      <c r="B24" s="21">
        <v>46083</v>
      </c>
      <c r="C24" s="21">
        <v>46088</v>
      </c>
      <c r="D24" s="50" t="s">
        <v>202</v>
      </c>
      <c r="E24" s="23">
        <v>46092</v>
      </c>
      <c r="F24" s="23" t="s">
        <v>7</v>
      </c>
      <c r="G24" s="24" t="s">
        <v>68</v>
      </c>
      <c r="H24" s="24" t="s">
        <v>69</v>
      </c>
      <c r="I24" s="24" t="s">
        <v>70</v>
      </c>
      <c r="J24" s="25" t="s">
        <v>203</v>
      </c>
      <c r="K24" s="45" t="str">
        <f t="shared" si="7"/>
        <v>WB39B0800</v>
      </c>
      <c r="L24" s="26">
        <v>46084</v>
      </c>
      <c r="M24" s="34" t="s">
        <v>204</v>
      </c>
      <c r="N24" s="27" t="s">
        <v>205</v>
      </c>
      <c r="O24" s="28">
        <v>0</v>
      </c>
      <c r="P24" s="27" t="s">
        <v>206</v>
      </c>
      <c r="Q24" s="29">
        <v>2525349317</v>
      </c>
      <c r="R24" s="30">
        <v>2110796962</v>
      </c>
      <c r="S24" s="31" t="s">
        <v>73</v>
      </c>
      <c r="T24" s="24" t="s">
        <v>74</v>
      </c>
      <c r="U24" s="24" t="s">
        <v>75</v>
      </c>
      <c r="V24" s="32" t="s">
        <v>207</v>
      </c>
      <c r="W24" s="32" t="s">
        <v>208</v>
      </c>
      <c r="X24" s="32" t="s">
        <v>208</v>
      </c>
      <c r="Y24" s="24">
        <v>409</v>
      </c>
      <c r="Z24" s="24">
        <v>10</v>
      </c>
      <c r="AA24" s="24">
        <f t="shared" si="8"/>
        <v>388.55</v>
      </c>
      <c r="AB24" s="24">
        <f t="shared" si="0"/>
        <v>4090</v>
      </c>
      <c r="AC24" s="24">
        <f t="shared" si="1"/>
        <v>3885.5</v>
      </c>
      <c r="AD24" s="24">
        <f t="shared" si="2"/>
        <v>3885.5</v>
      </c>
      <c r="AE24" s="24">
        <f t="shared" si="3"/>
        <v>204.5</v>
      </c>
      <c r="AF24" s="24">
        <f t="shared" si="19"/>
        <v>38.855000000000004</v>
      </c>
      <c r="AG24" s="33">
        <v>2700</v>
      </c>
      <c r="AH24" s="24"/>
      <c r="AI24" s="24"/>
      <c r="AJ24" s="24"/>
      <c r="AK24" s="24"/>
      <c r="AL24" s="24"/>
      <c r="AM24" s="24" t="s">
        <v>79</v>
      </c>
      <c r="AN24" s="34" t="s">
        <v>209</v>
      </c>
      <c r="AO24" s="35" t="s">
        <v>81</v>
      </c>
      <c r="AP24" s="24">
        <f>66*2</f>
        <v>132</v>
      </c>
      <c r="AQ24" s="36">
        <f t="shared" si="10"/>
        <v>40.615384615384613</v>
      </c>
      <c r="AR24" s="37">
        <v>45</v>
      </c>
      <c r="AS24" s="38">
        <f t="shared" si="11"/>
        <v>4.3846153846153868</v>
      </c>
      <c r="AT24" s="39"/>
      <c r="AU24" s="38">
        <f t="shared" si="12"/>
        <v>4.3846153846153868</v>
      </c>
      <c r="AV24" s="40">
        <v>91.99</v>
      </c>
      <c r="AW24" s="41">
        <f t="shared" si="4"/>
        <v>4139.55</v>
      </c>
      <c r="AX24" s="24">
        <f t="shared" si="21"/>
        <v>176.02753828336122</v>
      </c>
      <c r="AY24" s="24"/>
      <c r="AZ24" s="24"/>
      <c r="BA24" s="24"/>
      <c r="BB24" s="24">
        <f t="shared" si="13"/>
        <v>0</v>
      </c>
      <c r="BC24" s="24">
        <f t="shared" si="14"/>
        <v>-2992.9050000000002</v>
      </c>
      <c r="BD24" s="24">
        <v>110</v>
      </c>
      <c r="BE24" s="24">
        <v>110</v>
      </c>
      <c r="BF24" s="24"/>
      <c r="BG24" s="24">
        <f>+AD24*8.5%</f>
        <v>330.26750000000004</v>
      </c>
      <c r="BH24" s="24">
        <f t="shared" si="22"/>
        <v>330.26750000000004</v>
      </c>
      <c r="BI24" s="24"/>
      <c r="BJ24" s="24">
        <f t="shared" si="15"/>
        <v>6.6053500000000014</v>
      </c>
      <c r="BK24" s="24">
        <f t="shared" si="16"/>
        <v>-2118.9753500000002</v>
      </c>
      <c r="BL24" s="24" t="s">
        <v>82</v>
      </c>
      <c r="BM24" s="42">
        <f t="shared" si="6"/>
        <v>2</v>
      </c>
      <c r="BN24" s="24" t="s">
        <v>83</v>
      </c>
      <c r="BO24" s="2" t="s">
        <v>175</v>
      </c>
    </row>
    <row r="25" spans="1:67" s="1" customFormat="1" ht="15" customHeight="1" x14ac:dyDescent="0.3">
      <c r="A25" s="20">
        <v>21</v>
      </c>
      <c r="B25" s="21">
        <v>46083</v>
      </c>
      <c r="C25" s="21">
        <v>46088</v>
      </c>
      <c r="D25" s="50" t="s">
        <v>202</v>
      </c>
      <c r="E25" s="23">
        <v>46092</v>
      </c>
      <c r="F25" s="23" t="s">
        <v>7</v>
      </c>
      <c r="G25" s="24" t="s">
        <v>68</v>
      </c>
      <c r="H25" s="24" t="s">
        <v>69</v>
      </c>
      <c r="I25" s="24" t="s">
        <v>70</v>
      </c>
      <c r="J25" s="25" t="s">
        <v>203</v>
      </c>
      <c r="K25" s="45" t="str">
        <f t="shared" si="7"/>
        <v>WB39B0800</v>
      </c>
      <c r="L25" s="26">
        <v>46084</v>
      </c>
      <c r="M25" s="34" t="s">
        <v>210</v>
      </c>
      <c r="N25" s="27" t="s">
        <v>211</v>
      </c>
      <c r="O25" s="28">
        <v>0</v>
      </c>
      <c r="P25" s="27" t="s">
        <v>212</v>
      </c>
      <c r="Q25" s="29">
        <v>2525349316</v>
      </c>
      <c r="R25" s="30">
        <v>2110796961</v>
      </c>
      <c r="S25" s="31" t="s">
        <v>73</v>
      </c>
      <c r="T25" s="24" t="s">
        <v>74</v>
      </c>
      <c r="U25" s="24" t="s">
        <v>75</v>
      </c>
      <c r="V25" s="32" t="s">
        <v>207</v>
      </c>
      <c r="W25" s="32" t="s">
        <v>208</v>
      </c>
      <c r="X25" s="32"/>
      <c r="Y25" s="24">
        <v>409</v>
      </c>
      <c r="Z25" s="24">
        <v>9</v>
      </c>
      <c r="AA25" s="24">
        <f t="shared" si="8"/>
        <v>388.55</v>
      </c>
      <c r="AB25" s="24">
        <f t="shared" si="0"/>
        <v>3681</v>
      </c>
      <c r="AC25" s="24">
        <f t="shared" si="1"/>
        <v>3496.9500000000003</v>
      </c>
      <c r="AD25" s="24">
        <f t="shared" si="2"/>
        <v>3496.9500000000003</v>
      </c>
      <c r="AE25" s="24">
        <f t="shared" si="3"/>
        <v>184.04999999999973</v>
      </c>
      <c r="AF25" s="24">
        <f t="shared" si="19"/>
        <v>34.969500000000004</v>
      </c>
      <c r="AG25" s="31">
        <v>0</v>
      </c>
      <c r="AH25" s="24"/>
      <c r="AI25" s="24"/>
      <c r="AJ25" s="24"/>
      <c r="AK25" s="24"/>
      <c r="AL25" s="24"/>
      <c r="AM25" s="24">
        <v>0</v>
      </c>
      <c r="AN25" s="34" t="s">
        <v>213</v>
      </c>
      <c r="AO25" s="35"/>
      <c r="AP25" s="24"/>
      <c r="AQ25" s="36">
        <f t="shared" si="10"/>
        <v>0</v>
      </c>
      <c r="AR25" s="16"/>
      <c r="AS25" s="47">
        <f t="shared" si="11"/>
        <v>0</v>
      </c>
      <c r="AT25" s="31"/>
      <c r="AU25" s="47">
        <f t="shared" si="12"/>
        <v>0</v>
      </c>
      <c r="AV25" s="48">
        <v>91.99</v>
      </c>
      <c r="AW25" s="24">
        <f t="shared" si="4"/>
        <v>0</v>
      </c>
      <c r="AX25" s="24">
        <f>((AG25+AW25)/AD25)*100</f>
        <v>0</v>
      </c>
      <c r="AY25" s="24"/>
      <c r="AZ25" s="24"/>
      <c r="BA25" s="24"/>
      <c r="BB25" s="24">
        <f t="shared" si="13"/>
        <v>0</v>
      </c>
      <c r="BC25" s="24">
        <f t="shared" si="14"/>
        <v>3461.9805000000001</v>
      </c>
      <c r="BD25" s="24"/>
      <c r="BE25" s="24"/>
      <c r="BF25" s="24"/>
      <c r="BG25" s="24">
        <f>+AD25*8.5%</f>
        <v>297.24075000000005</v>
      </c>
      <c r="BH25" s="24">
        <f t="shared" si="22"/>
        <v>297.24075000000005</v>
      </c>
      <c r="BI25" s="24"/>
      <c r="BJ25" s="24">
        <f t="shared" si="15"/>
        <v>5.9448150000000011</v>
      </c>
      <c r="BK25" s="24">
        <f t="shared" si="16"/>
        <v>4050.5171850000002</v>
      </c>
      <c r="BL25" s="24" t="s">
        <v>82</v>
      </c>
      <c r="BM25" s="42">
        <f t="shared" si="6"/>
        <v>2</v>
      </c>
      <c r="BN25" s="24" t="s">
        <v>83</v>
      </c>
      <c r="BO25" s="2" t="s">
        <v>175</v>
      </c>
    </row>
    <row r="26" spans="1:67" s="1" customFormat="1" ht="15" customHeight="1" x14ac:dyDescent="0.3">
      <c r="A26" s="43">
        <v>22</v>
      </c>
      <c r="B26" s="21">
        <v>46083</v>
      </c>
      <c r="C26" s="21">
        <v>46088</v>
      </c>
      <c r="D26" s="52" t="s">
        <v>214</v>
      </c>
      <c r="E26" s="23">
        <v>46104</v>
      </c>
      <c r="F26" s="23" t="s">
        <v>7</v>
      </c>
      <c r="G26" s="24" t="s">
        <v>68</v>
      </c>
      <c r="H26" s="24" t="s">
        <v>69</v>
      </c>
      <c r="I26" s="24" t="s">
        <v>70</v>
      </c>
      <c r="J26" s="25" t="s">
        <v>215</v>
      </c>
      <c r="K26" s="45" t="str">
        <f t="shared" si="7"/>
        <v>WB39B0802</v>
      </c>
      <c r="L26" s="26">
        <v>46084</v>
      </c>
      <c r="M26" s="34" t="s">
        <v>216</v>
      </c>
      <c r="N26" s="27" t="s">
        <v>217</v>
      </c>
      <c r="O26" s="28">
        <v>0</v>
      </c>
      <c r="P26" s="27" t="s">
        <v>218</v>
      </c>
      <c r="Q26" s="29">
        <v>2525349351</v>
      </c>
      <c r="R26" s="30">
        <v>2110796984</v>
      </c>
      <c r="S26" s="54" t="s">
        <v>73</v>
      </c>
      <c r="T26" s="24" t="s">
        <v>74</v>
      </c>
      <c r="U26" s="24" t="s">
        <v>75</v>
      </c>
      <c r="V26" s="32" t="s">
        <v>219</v>
      </c>
      <c r="W26" s="32" t="s">
        <v>220</v>
      </c>
      <c r="X26" s="32" t="s">
        <v>221</v>
      </c>
      <c r="Y26" s="24">
        <v>581</v>
      </c>
      <c r="Z26" s="24">
        <v>19</v>
      </c>
      <c r="AA26" s="24">
        <f t="shared" si="8"/>
        <v>551.94999999999993</v>
      </c>
      <c r="AB26" s="24">
        <f t="shared" si="0"/>
        <v>11039</v>
      </c>
      <c r="AC26" s="24">
        <f t="shared" si="1"/>
        <v>10487.05</v>
      </c>
      <c r="AD26" s="24">
        <f t="shared" si="2"/>
        <v>10487.05</v>
      </c>
      <c r="AE26" s="24">
        <f t="shared" si="3"/>
        <v>551.95000000000073</v>
      </c>
      <c r="AF26" s="24">
        <f t="shared" si="19"/>
        <v>104.87049999999999</v>
      </c>
      <c r="AG26" s="33">
        <v>2800</v>
      </c>
      <c r="AH26" s="24"/>
      <c r="AI26" s="24"/>
      <c r="AJ26" s="24"/>
      <c r="AK26" s="24"/>
      <c r="AL26" s="24"/>
      <c r="AM26" s="24" t="s">
        <v>79</v>
      </c>
      <c r="AN26" s="34" t="s">
        <v>222</v>
      </c>
      <c r="AO26" s="35" t="s">
        <v>81</v>
      </c>
      <c r="AP26" s="24">
        <f>130*2</f>
        <v>260</v>
      </c>
      <c r="AQ26" s="36">
        <f t="shared" si="10"/>
        <v>80</v>
      </c>
      <c r="AR26" s="37">
        <v>70</v>
      </c>
      <c r="AS26" s="38">
        <f t="shared" si="11"/>
        <v>-10</v>
      </c>
      <c r="AT26" s="39"/>
      <c r="AU26" s="38">
        <f t="shared" si="12"/>
        <v>-10</v>
      </c>
      <c r="AV26" s="40">
        <v>91.99</v>
      </c>
      <c r="AW26" s="41">
        <f t="shared" si="4"/>
        <v>6439.2999999999993</v>
      </c>
      <c r="AX26" s="24">
        <f t="shared" si="21"/>
        <v>88.101992457364091</v>
      </c>
      <c r="AY26" s="24">
        <v>120</v>
      </c>
      <c r="AZ26" s="24"/>
      <c r="BA26" s="24"/>
      <c r="BB26" s="24">
        <f t="shared" si="13"/>
        <v>0</v>
      </c>
      <c r="BC26" s="24">
        <f t="shared" si="14"/>
        <v>1022.8794999999991</v>
      </c>
      <c r="BD26" s="24"/>
      <c r="BE26" s="24"/>
      <c r="BF26" s="24"/>
      <c r="BG26" s="24">
        <f>+AD26*8.5%</f>
        <v>891.39925000000005</v>
      </c>
      <c r="BH26" s="24">
        <f t="shared" si="22"/>
        <v>891.39925000000005</v>
      </c>
      <c r="BI26" s="24"/>
      <c r="BJ26" s="24">
        <f t="shared" si="15"/>
        <v>17.827985000000002</v>
      </c>
      <c r="BK26" s="24">
        <f t="shared" si="16"/>
        <v>2787.8500149999991</v>
      </c>
      <c r="BL26" s="24" t="s">
        <v>82</v>
      </c>
      <c r="BM26" s="42">
        <f t="shared" si="6"/>
        <v>2</v>
      </c>
      <c r="BN26" s="24" t="s">
        <v>83</v>
      </c>
      <c r="BO26" s="2" t="s">
        <v>148</v>
      </c>
    </row>
    <row r="27" spans="1:67" s="1" customFormat="1" ht="15" customHeight="1" x14ac:dyDescent="0.3">
      <c r="A27" s="20">
        <v>23</v>
      </c>
      <c r="B27" s="21">
        <v>46083</v>
      </c>
      <c r="C27" s="21">
        <v>46088</v>
      </c>
      <c r="D27" s="50" t="s">
        <v>223</v>
      </c>
      <c r="E27" s="23">
        <v>46130</v>
      </c>
      <c r="F27" s="23" t="s">
        <v>7</v>
      </c>
      <c r="G27" s="24" t="s">
        <v>68</v>
      </c>
      <c r="H27" s="24" t="s">
        <v>69</v>
      </c>
      <c r="I27" s="24" t="s">
        <v>131</v>
      </c>
      <c r="J27" s="25" t="s">
        <v>224</v>
      </c>
      <c r="K27" s="45" t="str">
        <f t="shared" si="7"/>
        <v>WB29A9266</v>
      </c>
      <c r="L27" s="26">
        <v>46084</v>
      </c>
      <c r="M27" s="34" t="s">
        <v>225</v>
      </c>
      <c r="N27" s="27" t="s">
        <v>226</v>
      </c>
      <c r="O27" s="28">
        <v>0</v>
      </c>
      <c r="P27" s="27" t="s">
        <v>227</v>
      </c>
      <c r="Q27" s="29">
        <v>2525349327</v>
      </c>
      <c r="R27" s="30">
        <v>2110796968</v>
      </c>
      <c r="S27" s="31" t="s">
        <v>73</v>
      </c>
      <c r="T27" s="24" t="s">
        <v>91</v>
      </c>
      <c r="U27" s="24" t="s">
        <v>75</v>
      </c>
      <c r="V27" s="32" t="s">
        <v>228</v>
      </c>
      <c r="W27" s="32" t="s">
        <v>229</v>
      </c>
      <c r="X27" s="32" t="s">
        <v>230</v>
      </c>
      <c r="Y27" s="24">
        <v>962</v>
      </c>
      <c r="Z27" s="24">
        <v>20</v>
      </c>
      <c r="AA27" s="24">
        <f t="shared" si="8"/>
        <v>913.9</v>
      </c>
      <c r="AB27" s="24">
        <f t="shared" si="0"/>
        <v>19240</v>
      </c>
      <c r="AC27" s="24">
        <f t="shared" si="1"/>
        <v>18278</v>
      </c>
      <c r="AD27" s="24">
        <f t="shared" si="2"/>
        <v>18278</v>
      </c>
      <c r="AE27" s="24">
        <f t="shared" si="3"/>
        <v>962</v>
      </c>
      <c r="AF27" s="24">
        <v>0</v>
      </c>
      <c r="AG27" s="33">
        <v>6200</v>
      </c>
      <c r="AH27" s="24"/>
      <c r="AI27" s="24"/>
      <c r="AJ27" s="24"/>
      <c r="AK27" s="24"/>
      <c r="AL27" s="24"/>
      <c r="AM27" s="24" t="s">
        <v>79</v>
      </c>
      <c r="AN27" s="34" t="s">
        <v>231</v>
      </c>
      <c r="AO27" s="35" t="s">
        <v>81</v>
      </c>
      <c r="AP27" s="24">
        <f>203*2</f>
        <v>406</v>
      </c>
      <c r="AQ27" s="36">
        <f t="shared" si="10"/>
        <v>124.92307692307692</v>
      </c>
      <c r="AR27" s="37">
        <v>160</v>
      </c>
      <c r="AS27" s="38">
        <f t="shared" si="11"/>
        <v>35.07692307692308</v>
      </c>
      <c r="AT27" s="39"/>
      <c r="AU27" s="38">
        <f t="shared" si="12"/>
        <v>35.07692307692308</v>
      </c>
      <c r="AV27" s="40">
        <v>91.99</v>
      </c>
      <c r="AW27" s="41">
        <f t="shared" si="4"/>
        <v>14718.4</v>
      </c>
      <c r="AX27" s="24">
        <f t="shared" si="21"/>
        <v>114.44578181420289</v>
      </c>
      <c r="AY27" s="24"/>
      <c r="AZ27" s="24"/>
      <c r="BA27" s="24"/>
      <c r="BB27" s="24">
        <f t="shared" si="13"/>
        <v>0</v>
      </c>
      <c r="BC27" s="24">
        <f t="shared" si="14"/>
        <v>-2640.3999999999996</v>
      </c>
      <c r="BD27" s="24">
        <v>200</v>
      </c>
      <c r="BE27" s="24">
        <v>200</v>
      </c>
      <c r="BF27" s="24"/>
      <c r="BG27" s="24">
        <f>+AD27*9.5%</f>
        <v>1736.41</v>
      </c>
      <c r="BH27" s="24"/>
      <c r="BI27" s="24"/>
      <c r="BJ27" s="24">
        <f t="shared" si="15"/>
        <v>17.364100000000001</v>
      </c>
      <c r="BK27" s="24">
        <f t="shared" si="16"/>
        <v>-521.35409999999956</v>
      </c>
      <c r="BL27" s="24" t="s">
        <v>232</v>
      </c>
      <c r="BM27" s="42">
        <f t="shared" si="6"/>
        <v>2</v>
      </c>
      <c r="BN27" s="24" t="s">
        <v>83</v>
      </c>
      <c r="BO27" s="2" t="s">
        <v>129</v>
      </c>
    </row>
    <row r="28" spans="1:67" s="1" customFormat="1" ht="15" customHeight="1" x14ac:dyDescent="0.3">
      <c r="A28" s="43">
        <v>24</v>
      </c>
      <c r="B28" s="21">
        <v>46083</v>
      </c>
      <c r="C28" s="21">
        <v>46088</v>
      </c>
      <c r="D28" s="50" t="s">
        <v>223</v>
      </c>
      <c r="E28" s="23">
        <v>46130</v>
      </c>
      <c r="F28" s="23" t="s">
        <v>7</v>
      </c>
      <c r="G28" s="24" t="s">
        <v>68</v>
      </c>
      <c r="H28" s="24" t="s">
        <v>69</v>
      </c>
      <c r="I28" s="24" t="s">
        <v>131</v>
      </c>
      <c r="J28" s="25" t="s">
        <v>224</v>
      </c>
      <c r="K28" s="45" t="str">
        <f t="shared" si="7"/>
        <v>WB29A9266</v>
      </c>
      <c r="L28" s="26">
        <v>46084</v>
      </c>
      <c r="M28" s="34" t="s">
        <v>233</v>
      </c>
      <c r="N28" s="27" t="s">
        <v>234</v>
      </c>
      <c r="O28" s="28">
        <v>0</v>
      </c>
      <c r="P28" s="27" t="s">
        <v>235</v>
      </c>
      <c r="Q28" s="29">
        <v>2525349326</v>
      </c>
      <c r="R28" s="30">
        <v>2110796967</v>
      </c>
      <c r="S28" s="31" t="s">
        <v>73</v>
      </c>
      <c r="T28" s="24" t="s">
        <v>91</v>
      </c>
      <c r="U28" s="24" t="s">
        <v>75</v>
      </c>
      <c r="V28" s="32" t="s">
        <v>228</v>
      </c>
      <c r="W28" s="32" t="s">
        <v>229</v>
      </c>
      <c r="X28" s="32"/>
      <c r="Y28" s="24">
        <v>962</v>
      </c>
      <c r="Z28" s="24">
        <v>5</v>
      </c>
      <c r="AA28" s="24">
        <f t="shared" si="8"/>
        <v>913.9</v>
      </c>
      <c r="AB28" s="24">
        <f t="shared" si="0"/>
        <v>4810</v>
      </c>
      <c r="AC28" s="24">
        <f t="shared" si="1"/>
        <v>4569.5</v>
      </c>
      <c r="AD28" s="24">
        <f t="shared" si="2"/>
        <v>4569.5</v>
      </c>
      <c r="AE28" s="24">
        <f t="shared" si="3"/>
        <v>240.5</v>
      </c>
      <c r="AF28" s="24">
        <v>0</v>
      </c>
      <c r="AG28" s="31">
        <v>0</v>
      </c>
      <c r="AH28" s="24"/>
      <c r="AI28" s="24"/>
      <c r="AJ28" s="24"/>
      <c r="AK28" s="24"/>
      <c r="AL28" s="24"/>
      <c r="AM28" s="24">
        <v>0</v>
      </c>
      <c r="AN28" s="34" t="s">
        <v>213</v>
      </c>
      <c r="AO28" s="35"/>
      <c r="AP28" s="24"/>
      <c r="AQ28" s="36">
        <f t="shared" si="10"/>
        <v>0</v>
      </c>
      <c r="AR28" s="16"/>
      <c r="AS28" s="47">
        <f t="shared" si="11"/>
        <v>0</v>
      </c>
      <c r="AT28" s="31"/>
      <c r="AU28" s="47">
        <f t="shared" si="12"/>
        <v>0</v>
      </c>
      <c r="AV28" s="48">
        <v>91.99</v>
      </c>
      <c r="AW28" s="24">
        <f t="shared" si="4"/>
        <v>0</v>
      </c>
      <c r="AX28" s="24">
        <f t="shared" si="21"/>
        <v>0</v>
      </c>
      <c r="AY28" s="24"/>
      <c r="AZ28" s="24"/>
      <c r="BA28" s="24"/>
      <c r="BB28" s="24">
        <f t="shared" si="13"/>
        <v>0</v>
      </c>
      <c r="BC28" s="24">
        <f t="shared" si="14"/>
        <v>4569.5</v>
      </c>
      <c r="BD28" s="24"/>
      <c r="BE28" s="24"/>
      <c r="BF28" s="24"/>
      <c r="BG28" s="24">
        <f>+AD28*9.5%</f>
        <v>434.10250000000002</v>
      </c>
      <c r="BH28" s="24"/>
      <c r="BI28" s="24"/>
      <c r="BJ28" s="24">
        <f t="shared" si="15"/>
        <v>4.3410250000000001</v>
      </c>
      <c r="BK28" s="24">
        <f t="shared" si="16"/>
        <v>4999.2614750000002</v>
      </c>
      <c r="BL28" s="24" t="s">
        <v>232</v>
      </c>
      <c r="BM28" s="42">
        <f t="shared" si="6"/>
        <v>2</v>
      </c>
      <c r="BN28" s="24" t="s">
        <v>83</v>
      </c>
      <c r="BO28" s="2" t="s">
        <v>129</v>
      </c>
    </row>
    <row r="29" spans="1:67" s="1" customFormat="1" ht="15" customHeight="1" x14ac:dyDescent="0.3">
      <c r="A29" s="20">
        <v>25</v>
      </c>
      <c r="B29" s="21">
        <v>46083</v>
      </c>
      <c r="C29" s="21">
        <v>46088</v>
      </c>
      <c r="D29" s="56" t="s">
        <v>140</v>
      </c>
      <c r="E29" s="23">
        <v>46092</v>
      </c>
      <c r="F29" s="23" t="s">
        <v>7</v>
      </c>
      <c r="G29" s="24" t="s">
        <v>68</v>
      </c>
      <c r="H29" s="24" t="s">
        <v>69</v>
      </c>
      <c r="I29" s="24" t="s">
        <v>236</v>
      </c>
      <c r="J29" s="25" t="s">
        <v>237</v>
      </c>
      <c r="K29" s="45" t="str">
        <f t="shared" si="7"/>
        <v>WB41J9798</v>
      </c>
      <c r="L29" s="26">
        <v>46086</v>
      </c>
      <c r="M29" s="34" t="s">
        <v>238</v>
      </c>
      <c r="N29" s="27" t="s">
        <v>239</v>
      </c>
      <c r="O29" s="28">
        <v>0</v>
      </c>
      <c r="P29" s="27" t="s">
        <v>240</v>
      </c>
      <c r="Q29" s="29">
        <v>2525350005</v>
      </c>
      <c r="R29" s="30">
        <v>2110797405</v>
      </c>
      <c r="S29" s="31" t="s">
        <v>73</v>
      </c>
      <c r="T29" s="24" t="s">
        <v>241</v>
      </c>
      <c r="U29" s="24" t="s">
        <v>75</v>
      </c>
      <c r="V29" s="32" t="s">
        <v>242</v>
      </c>
      <c r="W29" s="32" t="s">
        <v>243</v>
      </c>
      <c r="X29" s="32" t="s">
        <v>243</v>
      </c>
      <c r="Y29" s="24">
        <v>766</v>
      </c>
      <c r="Z29" s="24">
        <v>30</v>
      </c>
      <c r="AA29" s="24">
        <f t="shared" si="8"/>
        <v>727.7</v>
      </c>
      <c r="AB29" s="24">
        <f t="shared" si="0"/>
        <v>22980</v>
      </c>
      <c r="AC29" s="24">
        <f t="shared" si="1"/>
        <v>21831</v>
      </c>
      <c r="AD29" s="24">
        <f t="shared" si="2"/>
        <v>21831</v>
      </c>
      <c r="AE29" s="24">
        <f t="shared" si="3"/>
        <v>1149</v>
      </c>
      <c r="AF29" s="24">
        <v>0</v>
      </c>
      <c r="AG29" s="33">
        <v>4000</v>
      </c>
      <c r="AH29" s="24"/>
      <c r="AI29" s="24"/>
      <c r="AJ29" s="24"/>
      <c r="AK29" s="24"/>
      <c r="AL29" s="24"/>
      <c r="AM29" s="24" t="s">
        <v>79</v>
      </c>
      <c r="AN29" s="34" t="s">
        <v>244</v>
      </c>
      <c r="AO29" s="35" t="s">
        <v>81</v>
      </c>
      <c r="AP29" s="24">
        <f>171*2</f>
        <v>342</v>
      </c>
      <c r="AQ29" s="36">
        <f t="shared" si="10"/>
        <v>105.23076923076923</v>
      </c>
      <c r="AR29" s="37">
        <v>130</v>
      </c>
      <c r="AS29" s="38">
        <f t="shared" si="11"/>
        <v>24.769230769230774</v>
      </c>
      <c r="AT29" s="39"/>
      <c r="AU29" s="38">
        <f t="shared" si="12"/>
        <v>24.769230769230774</v>
      </c>
      <c r="AV29" s="40">
        <v>91.88</v>
      </c>
      <c r="AW29" s="41">
        <f t="shared" si="4"/>
        <v>11944.4</v>
      </c>
      <c r="AX29" s="24">
        <f t="shared" si="21"/>
        <v>73.035591589940907</v>
      </c>
      <c r="AY29" s="24"/>
      <c r="AZ29" s="24"/>
      <c r="BA29" s="24"/>
      <c r="BB29" s="24">
        <f t="shared" si="13"/>
        <v>0</v>
      </c>
      <c r="BC29" s="24">
        <f t="shared" si="14"/>
        <v>5886.6</v>
      </c>
      <c r="BD29" s="24"/>
      <c r="BE29" s="24"/>
      <c r="BF29" s="24"/>
      <c r="BG29" s="24">
        <f>+AB29*9.5%</f>
        <v>2183.1</v>
      </c>
      <c r="BH29" s="24"/>
      <c r="BI29" s="24"/>
      <c r="BJ29" s="24">
        <f t="shared" si="15"/>
        <v>21.831</v>
      </c>
      <c r="BK29" s="24">
        <f t="shared" si="16"/>
        <v>8047.8690000000006</v>
      </c>
      <c r="BL29" s="24" t="s">
        <v>245</v>
      </c>
      <c r="BM29" s="42">
        <f t="shared" si="6"/>
        <v>4</v>
      </c>
      <c r="BN29" s="24" t="s">
        <v>174</v>
      </c>
      <c r="BO29" s="2" t="s">
        <v>148</v>
      </c>
    </row>
    <row r="30" spans="1:67" s="1" customFormat="1" ht="15" customHeight="1" x14ac:dyDescent="0.3">
      <c r="A30" s="43">
        <v>26</v>
      </c>
      <c r="B30" s="21">
        <v>46083</v>
      </c>
      <c r="C30" s="21">
        <v>46088</v>
      </c>
      <c r="D30" s="56" t="s">
        <v>140</v>
      </c>
      <c r="E30" s="23">
        <v>46092</v>
      </c>
      <c r="F30" s="23" t="s">
        <v>7</v>
      </c>
      <c r="G30" s="24" t="s">
        <v>68</v>
      </c>
      <c r="H30" s="24" t="s">
        <v>69</v>
      </c>
      <c r="I30" s="24" t="s">
        <v>141</v>
      </c>
      <c r="J30" s="25" t="s">
        <v>246</v>
      </c>
      <c r="K30" s="45" t="str">
        <f t="shared" si="7"/>
        <v>WB41F4393</v>
      </c>
      <c r="L30" s="26">
        <v>46084</v>
      </c>
      <c r="M30" s="34" t="s">
        <v>247</v>
      </c>
      <c r="N30" s="27" t="s">
        <v>248</v>
      </c>
      <c r="O30" s="28">
        <v>0</v>
      </c>
      <c r="P30" s="27" t="s">
        <v>249</v>
      </c>
      <c r="Q30" s="29">
        <v>2525350151</v>
      </c>
      <c r="R30" s="30">
        <v>2110797506</v>
      </c>
      <c r="S30" s="31" t="s">
        <v>73</v>
      </c>
      <c r="T30" s="24" t="s">
        <v>91</v>
      </c>
      <c r="U30" s="24" t="s">
        <v>75</v>
      </c>
      <c r="V30" s="32" t="s">
        <v>250</v>
      </c>
      <c r="W30" s="32" t="s">
        <v>251</v>
      </c>
      <c r="X30" s="32" t="s">
        <v>251</v>
      </c>
      <c r="Y30" s="24">
        <v>1019</v>
      </c>
      <c r="Z30" s="24">
        <v>25</v>
      </c>
      <c r="AA30" s="24">
        <f t="shared" si="8"/>
        <v>968.05</v>
      </c>
      <c r="AB30" s="24">
        <f t="shared" si="0"/>
        <v>25475</v>
      </c>
      <c r="AC30" s="24">
        <f t="shared" si="1"/>
        <v>24201.25</v>
      </c>
      <c r="AD30" s="24">
        <f t="shared" si="2"/>
        <v>24201.25</v>
      </c>
      <c r="AE30" s="24">
        <f t="shared" si="3"/>
        <v>1273.75</v>
      </c>
      <c r="AF30" s="24">
        <f t="shared" ref="AF30:AF33" si="23">+AD30*1%</f>
        <v>242.01250000000002</v>
      </c>
      <c r="AG30" s="33">
        <v>4350</v>
      </c>
      <c r="AH30" s="24"/>
      <c r="AI30" s="24"/>
      <c r="AJ30" s="24"/>
      <c r="AK30" s="24"/>
      <c r="AL30" s="24"/>
      <c r="AM30" s="24" t="s">
        <v>79</v>
      </c>
      <c r="AN30" s="34" t="s">
        <v>252</v>
      </c>
      <c r="AO30" s="35" t="s">
        <v>81</v>
      </c>
      <c r="AP30" s="24">
        <f>230*2</f>
        <v>460</v>
      </c>
      <c r="AQ30" s="36">
        <f t="shared" si="10"/>
        <v>141.53846153846155</v>
      </c>
      <c r="AR30" s="37">
        <v>135</v>
      </c>
      <c r="AS30" s="38">
        <f t="shared" si="11"/>
        <v>-6.5384615384615472</v>
      </c>
      <c r="AT30" s="39"/>
      <c r="AU30" s="38">
        <f t="shared" si="12"/>
        <v>-6.5384615384615472</v>
      </c>
      <c r="AV30" s="40">
        <v>91.99</v>
      </c>
      <c r="AW30" s="41">
        <f t="shared" si="4"/>
        <v>12418.65</v>
      </c>
      <c r="AX30" s="24">
        <f t="shared" si="21"/>
        <v>69.288363204379948</v>
      </c>
      <c r="AY30" s="24"/>
      <c r="AZ30" s="24"/>
      <c r="BA30" s="24"/>
      <c r="BB30" s="24">
        <f t="shared" si="13"/>
        <v>0</v>
      </c>
      <c r="BC30" s="24">
        <f t="shared" si="14"/>
        <v>7190.5874999999996</v>
      </c>
      <c r="BD30" s="24">
        <v>135</v>
      </c>
      <c r="BE30" s="24">
        <v>135</v>
      </c>
      <c r="BF30" s="24"/>
      <c r="BG30" s="24">
        <f>+AB30*9.5%</f>
        <v>2420.125</v>
      </c>
      <c r="BH30" s="24"/>
      <c r="BI30" s="24"/>
      <c r="BJ30" s="24">
        <f t="shared" si="15"/>
        <v>24.201250000000002</v>
      </c>
      <c r="BK30" s="24">
        <f t="shared" si="16"/>
        <v>9856.5112499999996</v>
      </c>
      <c r="BL30" s="24" t="s">
        <v>253</v>
      </c>
      <c r="BM30" s="42">
        <f t="shared" si="6"/>
        <v>2</v>
      </c>
      <c r="BN30" s="24" t="s">
        <v>83</v>
      </c>
      <c r="BO30" s="2" t="s">
        <v>129</v>
      </c>
    </row>
    <row r="31" spans="1:67" s="1" customFormat="1" ht="15" customHeight="1" x14ac:dyDescent="0.3">
      <c r="A31" s="20">
        <v>27</v>
      </c>
      <c r="B31" s="21">
        <v>46084</v>
      </c>
      <c r="C31" s="21">
        <v>46102</v>
      </c>
      <c r="D31" s="52" t="s">
        <v>254</v>
      </c>
      <c r="E31" s="23">
        <v>46104</v>
      </c>
      <c r="F31" s="23" t="s">
        <v>7</v>
      </c>
      <c r="G31" s="24" t="s">
        <v>68</v>
      </c>
      <c r="H31" s="24" t="s">
        <v>69</v>
      </c>
      <c r="I31" s="24" t="s">
        <v>166</v>
      </c>
      <c r="J31" s="25" t="s">
        <v>255</v>
      </c>
      <c r="K31" s="45" t="str">
        <f t="shared" si="7"/>
        <v>WB41H0177</v>
      </c>
      <c r="L31" s="26">
        <v>46085</v>
      </c>
      <c r="M31" s="34" t="s">
        <v>256</v>
      </c>
      <c r="N31" s="27" t="s">
        <v>257</v>
      </c>
      <c r="O31" s="28">
        <v>0</v>
      </c>
      <c r="P31" s="27" t="s">
        <v>258</v>
      </c>
      <c r="Q31" s="29">
        <v>2525350198</v>
      </c>
      <c r="R31" s="30">
        <v>2110797612</v>
      </c>
      <c r="S31" s="31" t="s">
        <v>73</v>
      </c>
      <c r="T31" s="24" t="s">
        <v>91</v>
      </c>
      <c r="U31" s="24" t="s">
        <v>75</v>
      </c>
      <c r="V31" s="32" t="s">
        <v>259</v>
      </c>
      <c r="W31" s="32" t="s">
        <v>251</v>
      </c>
      <c r="X31" s="32" t="s">
        <v>251</v>
      </c>
      <c r="Y31" s="24">
        <v>1023</v>
      </c>
      <c r="Z31" s="24">
        <v>25</v>
      </c>
      <c r="AA31" s="24">
        <f t="shared" si="8"/>
        <v>971.85</v>
      </c>
      <c r="AB31" s="24">
        <f t="shared" si="0"/>
        <v>25575</v>
      </c>
      <c r="AC31" s="24">
        <f t="shared" si="1"/>
        <v>24296.25</v>
      </c>
      <c r="AD31" s="24">
        <f t="shared" si="2"/>
        <v>24296.25</v>
      </c>
      <c r="AE31" s="24">
        <f t="shared" si="3"/>
        <v>1278.75</v>
      </c>
      <c r="AF31" s="24">
        <f t="shared" si="23"/>
        <v>242.96250000000001</v>
      </c>
      <c r="AG31" s="33">
        <v>3500</v>
      </c>
      <c r="AH31" s="24"/>
      <c r="AI31" s="24"/>
      <c r="AJ31" s="24"/>
      <c r="AK31" s="24"/>
      <c r="AL31" s="24"/>
      <c r="AM31" s="24" t="s">
        <v>79</v>
      </c>
      <c r="AN31" s="34" t="s">
        <v>260</v>
      </c>
      <c r="AO31" s="35" t="s">
        <v>81</v>
      </c>
      <c r="AP31" s="24">
        <f>235*2</f>
        <v>470</v>
      </c>
      <c r="AQ31" s="36">
        <f t="shared" si="10"/>
        <v>144.61538461538461</v>
      </c>
      <c r="AR31" s="37">
        <v>148</v>
      </c>
      <c r="AS31" s="38">
        <f t="shared" si="11"/>
        <v>3.3846153846153868</v>
      </c>
      <c r="AT31" s="39"/>
      <c r="AU31" s="38">
        <f t="shared" si="12"/>
        <v>3.3846153846153868</v>
      </c>
      <c r="AV31" s="40">
        <v>91.99</v>
      </c>
      <c r="AW31" s="41">
        <f t="shared" si="4"/>
        <v>13614.519999999999</v>
      </c>
      <c r="AX31" s="24">
        <f t="shared" si="21"/>
        <v>70.440993980552548</v>
      </c>
      <c r="AY31" s="24"/>
      <c r="AZ31" s="24"/>
      <c r="BA31" s="24"/>
      <c r="BB31" s="24">
        <f t="shared" si="13"/>
        <v>0</v>
      </c>
      <c r="BC31" s="24">
        <f t="shared" si="14"/>
        <v>6938.7674999999999</v>
      </c>
      <c r="BD31" s="24">
        <v>135</v>
      </c>
      <c r="BE31" s="24">
        <v>135</v>
      </c>
      <c r="BF31" s="24"/>
      <c r="BG31" s="24">
        <f>+AB31*9.5%</f>
        <v>2429.625</v>
      </c>
      <c r="BH31" s="24"/>
      <c r="BI31" s="24"/>
      <c r="BJ31" s="24">
        <f t="shared" si="15"/>
        <v>24.296250000000001</v>
      </c>
      <c r="BK31" s="24">
        <f t="shared" si="16"/>
        <v>9614.0962500000005</v>
      </c>
      <c r="BL31" s="24" t="s">
        <v>261</v>
      </c>
      <c r="BM31" s="42">
        <f t="shared" si="6"/>
        <v>2</v>
      </c>
      <c r="BN31" s="24" t="s">
        <v>83</v>
      </c>
      <c r="BO31" s="2" t="s">
        <v>129</v>
      </c>
    </row>
    <row r="32" spans="1:67" s="1" customFormat="1" ht="15" customHeight="1" x14ac:dyDescent="0.3">
      <c r="A32" s="43">
        <v>28</v>
      </c>
      <c r="B32" s="21">
        <v>46084</v>
      </c>
      <c r="C32" s="21">
        <v>46097</v>
      </c>
      <c r="D32" s="52" t="s">
        <v>262</v>
      </c>
      <c r="E32" s="23">
        <v>46105</v>
      </c>
      <c r="F32" s="23" t="s">
        <v>7</v>
      </c>
      <c r="G32" s="24" t="s">
        <v>68</v>
      </c>
      <c r="H32" s="24" t="s">
        <v>69</v>
      </c>
      <c r="I32" s="24" t="s">
        <v>263</v>
      </c>
      <c r="J32" s="25" t="s">
        <v>264</v>
      </c>
      <c r="K32" s="45" t="str">
        <f t="shared" si="7"/>
        <v>WB41G1024</v>
      </c>
      <c r="L32" s="26">
        <v>46086</v>
      </c>
      <c r="M32" s="34" t="s">
        <v>265</v>
      </c>
      <c r="N32" s="27" t="s">
        <v>266</v>
      </c>
      <c r="O32" s="28">
        <v>0</v>
      </c>
      <c r="P32" s="27" t="s">
        <v>267</v>
      </c>
      <c r="Q32" s="29">
        <v>2525350534</v>
      </c>
      <c r="R32" s="30">
        <v>2110798014</v>
      </c>
      <c r="S32" s="54" t="s">
        <v>73</v>
      </c>
      <c r="T32" s="24" t="s">
        <v>91</v>
      </c>
      <c r="U32" s="24" t="s">
        <v>75</v>
      </c>
      <c r="V32" s="32" t="s">
        <v>268</v>
      </c>
      <c r="W32" s="32" t="s">
        <v>269</v>
      </c>
      <c r="X32" s="32" t="s">
        <v>270</v>
      </c>
      <c r="Y32" s="24">
        <v>1319</v>
      </c>
      <c r="Z32" s="24">
        <v>25</v>
      </c>
      <c r="AA32" s="24">
        <f t="shared" si="8"/>
        <v>1253.05</v>
      </c>
      <c r="AB32" s="24">
        <f t="shared" si="0"/>
        <v>32975</v>
      </c>
      <c r="AC32" s="24">
        <f t="shared" si="1"/>
        <v>31326.25</v>
      </c>
      <c r="AD32" s="24">
        <f t="shared" si="2"/>
        <v>31326.25</v>
      </c>
      <c r="AE32" s="24">
        <f t="shared" si="3"/>
        <v>1648.75</v>
      </c>
      <c r="AF32" s="24">
        <v>0</v>
      </c>
      <c r="AG32" s="33">
        <v>5500</v>
      </c>
      <c r="AH32" s="24"/>
      <c r="AI32" s="24"/>
      <c r="AJ32" s="24"/>
      <c r="AK32" s="24"/>
      <c r="AL32" s="24"/>
      <c r="AM32" s="24" t="s">
        <v>79</v>
      </c>
      <c r="AN32" s="34" t="s">
        <v>271</v>
      </c>
      <c r="AO32" s="35" t="s">
        <v>81</v>
      </c>
      <c r="AP32" s="24">
        <f>332*2</f>
        <v>664</v>
      </c>
      <c r="AQ32" s="36">
        <f t="shared" si="10"/>
        <v>204.30769230769232</v>
      </c>
      <c r="AR32" s="37">
        <v>205</v>
      </c>
      <c r="AS32" s="38">
        <f t="shared" si="11"/>
        <v>0.69230769230767919</v>
      </c>
      <c r="AT32" s="39"/>
      <c r="AU32" s="38">
        <f t="shared" si="12"/>
        <v>0.69230769230767919</v>
      </c>
      <c r="AV32" s="40">
        <v>91.99</v>
      </c>
      <c r="AW32" s="41">
        <f t="shared" si="4"/>
        <v>18857.95</v>
      </c>
      <c r="AX32" s="24">
        <f t="shared" si="21"/>
        <v>77.75571605283109</v>
      </c>
      <c r="AY32" s="24"/>
      <c r="AZ32" s="24"/>
      <c r="BA32" s="24"/>
      <c r="BB32" s="24">
        <f t="shared" si="13"/>
        <v>0</v>
      </c>
      <c r="BC32" s="24">
        <f t="shared" si="14"/>
        <v>6968.2999999999993</v>
      </c>
      <c r="BD32" s="24">
        <v>135</v>
      </c>
      <c r="BE32" s="24">
        <v>135</v>
      </c>
      <c r="BF32" s="24"/>
      <c r="BG32" s="24">
        <f>+AB32*9.5%</f>
        <v>3132.625</v>
      </c>
      <c r="BH32" s="24"/>
      <c r="BI32" s="24"/>
      <c r="BJ32" s="24">
        <f t="shared" si="15"/>
        <v>31.326250000000002</v>
      </c>
      <c r="BK32" s="24">
        <f t="shared" si="16"/>
        <v>10339.598749999999</v>
      </c>
      <c r="BL32" s="24" t="s">
        <v>96</v>
      </c>
      <c r="BM32" s="42">
        <f t="shared" si="6"/>
        <v>3</v>
      </c>
      <c r="BN32" s="24" t="s">
        <v>139</v>
      </c>
      <c r="BO32" s="2" t="s">
        <v>84</v>
      </c>
    </row>
    <row r="33" spans="1:67" s="1" customFormat="1" ht="15" customHeight="1" x14ac:dyDescent="0.3">
      <c r="A33" s="20">
        <v>29</v>
      </c>
      <c r="B33" s="21">
        <v>46084</v>
      </c>
      <c r="C33" s="21">
        <v>46088</v>
      </c>
      <c r="D33" s="50" t="s">
        <v>202</v>
      </c>
      <c r="E33" s="23">
        <v>46092</v>
      </c>
      <c r="F33" s="23" t="s">
        <v>7</v>
      </c>
      <c r="G33" s="24" t="s">
        <v>68</v>
      </c>
      <c r="H33" s="24" t="s">
        <v>69</v>
      </c>
      <c r="I33" s="24" t="s">
        <v>70</v>
      </c>
      <c r="J33" s="25" t="s">
        <v>71</v>
      </c>
      <c r="K33" s="45" t="str">
        <f t="shared" si="7"/>
        <v>WB39B0034</v>
      </c>
      <c r="L33" s="26">
        <v>46085</v>
      </c>
      <c r="M33" s="34" t="s">
        <v>272</v>
      </c>
      <c r="N33" s="27" t="s">
        <v>273</v>
      </c>
      <c r="O33" s="28">
        <v>0</v>
      </c>
      <c r="P33" s="27" t="s">
        <v>274</v>
      </c>
      <c r="Q33" s="29">
        <v>2525350547</v>
      </c>
      <c r="R33" s="30">
        <v>2110798019</v>
      </c>
      <c r="S33" s="31" t="s">
        <v>73</v>
      </c>
      <c r="T33" s="24" t="s">
        <v>74</v>
      </c>
      <c r="U33" s="24" t="s">
        <v>75</v>
      </c>
      <c r="V33" s="32" t="s">
        <v>275</v>
      </c>
      <c r="W33" s="32" t="s">
        <v>276</v>
      </c>
      <c r="X33" s="32" t="s">
        <v>276</v>
      </c>
      <c r="Y33" s="24">
        <v>620</v>
      </c>
      <c r="Z33" s="24">
        <v>19</v>
      </c>
      <c r="AA33" s="24">
        <f t="shared" si="8"/>
        <v>589</v>
      </c>
      <c r="AB33" s="24">
        <f t="shared" si="0"/>
        <v>11780</v>
      </c>
      <c r="AC33" s="24">
        <f t="shared" si="1"/>
        <v>11191</v>
      </c>
      <c r="AD33" s="24">
        <f t="shared" si="2"/>
        <v>11191</v>
      </c>
      <c r="AE33" s="24">
        <f t="shared" si="3"/>
        <v>589</v>
      </c>
      <c r="AF33" s="24">
        <f t="shared" si="23"/>
        <v>111.91</v>
      </c>
      <c r="AG33" s="33">
        <v>2600</v>
      </c>
      <c r="AH33" s="24"/>
      <c r="AI33" s="24"/>
      <c r="AJ33" s="24"/>
      <c r="AK33" s="24"/>
      <c r="AL33" s="24"/>
      <c r="AM33" s="24" t="s">
        <v>79</v>
      </c>
      <c r="AN33" s="34" t="s">
        <v>277</v>
      </c>
      <c r="AO33" s="35" t="s">
        <v>81</v>
      </c>
      <c r="AP33" s="24">
        <f>127*2</f>
        <v>254</v>
      </c>
      <c r="AQ33" s="36">
        <f t="shared" si="10"/>
        <v>78.15384615384616</v>
      </c>
      <c r="AR33" s="37">
        <v>72</v>
      </c>
      <c r="AS33" s="38">
        <f t="shared" si="11"/>
        <v>-6.1538461538461604</v>
      </c>
      <c r="AT33" s="39"/>
      <c r="AU33" s="38">
        <f t="shared" si="12"/>
        <v>-6.1538461538461604</v>
      </c>
      <c r="AV33" s="40">
        <v>91.99</v>
      </c>
      <c r="AW33" s="41">
        <f t="shared" si="4"/>
        <v>6623.28</v>
      </c>
      <c r="AX33" s="24">
        <f t="shared" si="21"/>
        <v>82.416942185684917</v>
      </c>
      <c r="AY33" s="24"/>
      <c r="AZ33" s="24"/>
      <c r="BA33" s="24"/>
      <c r="BB33" s="24">
        <f t="shared" si="13"/>
        <v>0</v>
      </c>
      <c r="BC33" s="24">
        <f t="shared" si="14"/>
        <v>1855.8100000000004</v>
      </c>
      <c r="BD33" s="24"/>
      <c r="BE33" s="24"/>
      <c r="BF33" s="24"/>
      <c r="BG33" s="24">
        <f>+AD33*8.5%</f>
        <v>951.23500000000001</v>
      </c>
      <c r="BH33" s="24">
        <f>+AD33*8.5%</f>
        <v>951.23500000000001</v>
      </c>
      <c r="BI33" s="24"/>
      <c r="BJ33" s="24">
        <f t="shared" si="15"/>
        <v>19.024699999999999</v>
      </c>
      <c r="BK33" s="24">
        <f t="shared" si="16"/>
        <v>3739.2553000000007</v>
      </c>
      <c r="BL33" s="24" t="s">
        <v>82</v>
      </c>
      <c r="BM33" s="42">
        <f t="shared" si="6"/>
        <v>2</v>
      </c>
      <c r="BN33" s="24" t="s">
        <v>83</v>
      </c>
      <c r="BO33" s="2" t="s">
        <v>148</v>
      </c>
    </row>
    <row r="34" spans="1:67" s="1" customFormat="1" ht="15" customHeight="1" x14ac:dyDescent="0.3">
      <c r="A34" s="20">
        <v>30</v>
      </c>
      <c r="B34" s="21">
        <v>46085</v>
      </c>
      <c r="C34" s="21">
        <v>46097</v>
      </c>
      <c r="D34" s="55" t="s">
        <v>111</v>
      </c>
      <c r="E34" s="23">
        <v>46097</v>
      </c>
      <c r="F34" s="23" t="s">
        <v>7</v>
      </c>
      <c r="G34" s="24" t="s">
        <v>87</v>
      </c>
      <c r="H34" s="24" t="s">
        <v>69</v>
      </c>
      <c r="I34" s="24" t="s">
        <v>88</v>
      </c>
      <c r="J34" s="25" t="s">
        <v>278</v>
      </c>
      <c r="K34" s="45" t="str">
        <f t="shared" si="7"/>
        <v>WB67A4475</v>
      </c>
      <c r="L34" s="26">
        <v>46086</v>
      </c>
      <c r="M34" s="34" t="s">
        <v>279</v>
      </c>
      <c r="N34" s="27" t="s">
        <v>280</v>
      </c>
      <c r="O34" s="28">
        <v>0</v>
      </c>
      <c r="P34" s="27"/>
      <c r="Q34" s="29">
        <v>2525350827</v>
      </c>
      <c r="R34" s="30">
        <v>2110798232</v>
      </c>
      <c r="S34" s="31" t="s">
        <v>73</v>
      </c>
      <c r="T34" s="24" t="s">
        <v>91</v>
      </c>
      <c r="U34" s="24" t="s">
        <v>75</v>
      </c>
      <c r="V34" s="32" t="s">
        <v>281</v>
      </c>
      <c r="W34" s="32" t="s">
        <v>199</v>
      </c>
      <c r="X34" s="32"/>
      <c r="Y34" s="24">
        <v>790</v>
      </c>
      <c r="Z34" s="58">
        <v>15</v>
      </c>
      <c r="AA34" s="58">
        <f t="shared" si="8"/>
        <v>750.5</v>
      </c>
      <c r="AB34" s="24">
        <f t="shared" si="0"/>
        <v>11850</v>
      </c>
      <c r="AC34" s="24">
        <f t="shared" si="1"/>
        <v>11257.5</v>
      </c>
      <c r="AD34" s="24">
        <f t="shared" si="2"/>
        <v>11257.5</v>
      </c>
      <c r="AE34" s="24">
        <f t="shared" si="3"/>
        <v>592.5</v>
      </c>
      <c r="AF34" s="24">
        <v>0</v>
      </c>
      <c r="AG34" s="33">
        <v>3500</v>
      </c>
      <c r="AH34" s="24"/>
      <c r="AI34" s="24"/>
      <c r="AJ34" s="24"/>
      <c r="AK34" s="24"/>
      <c r="AL34" s="24"/>
      <c r="AM34" s="24" t="s">
        <v>79</v>
      </c>
      <c r="AN34" s="34" t="s">
        <v>282</v>
      </c>
      <c r="AO34" s="35" t="s">
        <v>81</v>
      </c>
      <c r="AP34" s="24">
        <f>164*2</f>
        <v>328</v>
      </c>
      <c r="AQ34" s="36">
        <f t="shared" si="10"/>
        <v>100.92307692307692</v>
      </c>
      <c r="AR34" s="37">
        <v>100</v>
      </c>
      <c r="AS34" s="38">
        <f t="shared" si="11"/>
        <v>-0.9230769230769198</v>
      </c>
      <c r="AT34" s="39"/>
      <c r="AU34" s="38">
        <f t="shared" si="12"/>
        <v>-0.9230769230769198</v>
      </c>
      <c r="AV34" s="40">
        <v>91.99</v>
      </c>
      <c r="AW34" s="41">
        <f t="shared" si="4"/>
        <v>9199</v>
      </c>
      <c r="AX34" s="24">
        <f t="shared" si="21"/>
        <v>112.80479680213192</v>
      </c>
      <c r="AY34" s="24"/>
      <c r="AZ34" s="24"/>
      <c r="BA34" s="24"/>
      <c r="BB34" s="24">
        <f t="shared" si="13"/>
        <v>0</v>
      </c>
      <c r="BC34" s="24">
        <f t="shared" si="14"/>
        <v>-1441.5</v>
      </c>
      <c r="BD34" s="24">
        <v>135</v>
      </c>
      <c r="BE34" s="24">
        <v>135</v>
      </c>
      <c r="BF34" s="24"/>
      <c r="BG34" s="24">
        <f>+AB34*9.5%</f>
        <v>1125.75</v>
      </c>
      <c r="BH34" s="24"/>
      <c r="BI34" s="24"/>
      <c r="BJ34" s="24">
        <f t="shared" si="15"/>
        <v>11.2575</v>
      </c>
      <c r="BK34" s="24">
        <f t="shared" si="16"/>
        <v>-57.0075</v>
      </c>
      <c r="BL34" s="24" t="s">
        <v>283</v>
      </c>
      <c r="BM34" s="42">
        <f t="shared" si="6"/>
        <v>2</v>
      </c>
      <c r="BN34" s="24" t="s">
        <v>83</v>
      </c>
      <c r="BO34" s="2" t="s">
        <v>129</v>
      </c>
    </row>
    <row r="35" spans="1:67" s="1" customFormat="1" ht="15" customHeight="1" x14ac:dyDescent="0.3">
      <c r="A35" s="43">
        <v>31</v>
      </c>
      <c r="B35" s="21">
        <v>46085</v>
      </c>
      <c r="C35" s="21">
        <v>46097</v>
      </c>
      <c r="D35" s="55" t="s">
        <v>111</v>
      </c>
      <c r="E35" s="23">
        <v>46097</v>
      </c>
      <c r="F35" s="23" t="s">
        <v>7</v>
      </c>
      <c r="G35" s="24" t="s">
        <v>87</v>
      </c>
      <c r="H35" s="24" t="s">
        <v>69</v>
      </c>
      <c r="I35" s="24" t="s">
        <v>88</v>
      </c>
      <c r="J35" s="25" t="s">
        <v>278</v>
      </c>
      <c r="K35" s="45" t="str">
        <f t="shared" si="7"/>
        <v>WB67A4475</v>
      </c>
      <c r="L35" s="26">
        <v>46086</v>
      </c>
      <c r="M35" s="34" t="s">
        <v>284</v>
      </c>
      <c r="N35" s="27" t="s">
        <v>285</v>
      </c>
      <c r="O35" s="28">
        <v>0</v>
      </c>
      <c r="P35" s="27"/>
      <c r="Q35" s="29">
        <v>2525350826</v>
      </c>
      <c r="R35" s="30">
        <v>2110798231</v>
      </c>
      <c r="S35" s="31" t="s">
        <v>73</v>
      </c>
      <c r="T35" s="24" t="s">
        <v>91</v>
      </c>
      <c r="U35" s="24" t="s">
        <v>75</v>
      </c>
      <c r="V35" s="32" t="s">
        <v>281</v>
      </c>
      <c r="W35" s="32" t="s">
        <v>199</v>
      </c>
      <c r="X35" s="32"/>
      <c r="Y35" s="24">
        <v>790</v>
      </c>
      <c r="Z35" s="58">
        <v>10</v>
      </c>
      <c r="AA35" s="58">
        <f t="shared" si="8"/>
        <v>750.5</v>
      </c>
      <c r="AB35" s="24">
        <f t="shared" si="0"/>
        <v>7900</v>
      </c>
      <c r="AC35" s="24">
        <f t="shared" si="1"/>
        <v>7505</v>
      </c>
      <c r="AD35" s="24">
        <f t="shared" si="2"/>
        <v>7505</v>
      </c>
      <c r="AE35" s="24">
        <f t="shared" si="3"/>
        <v>395</v>
      </c>
      <c r="AF35" s="24">
        <v>0</v>
      </c>
      <c r="AG35" s="31"/>
      <c r="AH35" s="24"/>
      <c r="AI35" s="24"/>
      <c r="AJ35" s="24"/>
      <c r="AK35" s="24"/>
      <c r="AL35" s="24"/>
      <c r="AM35" s="24">
        <v>0</v>
      </c>
      <c r="AN35" s="34" t="s">
        <v>213</v>
      </c>
      <c r="AO35" s="35"/>
      <c r="AP35" s="24"/>
      <c r="AQ35" s="36">
        <f t="shared" si="10"/>
        <v>0</v>
      </c>
      <c r="AR35" s="16">
        <v>0</v>
      </c>
      <c r="AS35" s="47">
        <f t="shared" si="11"/>
        <v>0</v>
      </c>
      <c r="AT35" s="31"/>
      <c r="AU35" s="47">
        <f t="shared" si="12"/>
        <v>0</v>
      </c>
      <c r="AV35" s="48">
        <v>91.99</v>
      </c>
      <c r="AW35" s="24">
        <f t="shared" si="4"/>
        <v>0</v>
      </c>
      <c r="AX35" s="24">
        <f t="shared" si="21"/>
        <v>0</v>
      </c>
      <c r="AY35" s="24"/>
      <c r="AZ35" s="24"/>
      <c r="BA35" s="24"/>
      <c r="BB35" s="24">
        <f t="shared" si="13"/>
        <v>0</v>
      </c>
      <c r="BC35" s="24">
        <f t="shared" si="14"/>
        <v>7505</v>
      </c>
      <c r="BD35" s="24"/>
      <c r="BE35" s="24"/>
      <c r="BF35" s="24"/>
      <c r="BG35" s="24">
        <f>+AB35*9.5%</f>
        <v>750.5</v>
      </c>
      <c r="BH35" s="24"/>
      <c r="BI35" s="24"/>
      <c r="BJ35" s="24">
        <f t="shared" si="15"/>
        <v>7.5049999999999999</v>
      </c>
      <c r="BK35" s="24">
        <f t="shared" si="16"/>
        <v>8247.9950000000008</v>
      </c>
      <c r="BL35" s="24" t="s">
        <v>283</v>
      </c>
      <c r="BM35" s="42">
        <f t="shared" si="6"/>
        <v>2</v>
      </c>
      <c r="BN35" s="24" t="s">
        <v>83</v>
      </c>
      <c r="BO35" s="2" t="s">
        <v>129</v>
      </c>
    </row>
    <row r="36" spans="1:67" s="1" customFormat="1" ht="15" customHeight="1" x14ac:dyDescent="0.3">
      <c r="A36" s="20">
        <v>32</v>
      </c>
      <c r="B36" s="21">
        <v>46085</v>
      </c>
      <c r="C36" s="21"/>
      <c r="D36" s="50" t="s">
        <v>286</v>
      </c>
      <c r="E36" s="23">
        <v>46175</v>
      </c>
      <c r="F36" s="23" t="s">
        <v>7</v>
      </c>
      <c r="G36" s="24" t="s">
        <v>68</v>
      </c>
      <c r="H36" s="24" t="s">
        <v>69</v>
      </c>
      <c r="I36" s="24" t="s">
        <v>70</v>
      </c>
      <c r="J36" s="25" t="s">
        <v>287</v>
      </c>
      <c r="K36" s="45" t="str">
        <f t="shared" si="7"/>
        <v>WB39B1080</v>
      </c>
      <c r="L36" s="26">
        <v>46087</v>
      </c>
      <c r="M36" s="34" t="s">
        <v>288</v>
      </c>
      <c r="N36" s="27" t="s">
        <v>289</v>
      </c>
      <c r="O36" s="28">
        <v>0</v>
      </c>
      <c r="P36" s="27" t="s">
        <v>290</v>
      </c>
      <c r="Q36" s="29">
        <v>2525350858</v>
      </c>
      <c r="R36" s="30">
        <v>2110798248</v>
      </c>
      <c r="S36" s="31"/>
      <c r="T36" s="24" t="s">
        <v>91</v>
      </c>
      <c r="U36" s="24" t="s">
        <v>75</v>
      </c>
      <c r="V36" s="32" t="s">
        <v>179</v>
      </c>
      <c r="W36" s="32" t="s">
        <v>180</v>
      </c>
      <c r="X36" s="32"/>
      <c r="Y36" s="24">
        <v>1047</v>
      </c>
      <c r="Z36" s="24">
        <v>25</v>
      </c>
      <c r="AA36" s="24">
        <f t="shared" si="8"/>
        <v>994.65000000000009</v>
      </c>
      <c r="AB36" s="24">
        <f t="shared" si="0"/>
        <v>26175</v>
      </c>
      <c r="AC36" s="24">
        <f t="shared" si="1"/>
        <v>24866.25</v>
      </c>
      <c r="AD36" s="24">
        <f t="shared" si="2"/>
        <v>24866.250000000004</v>
      </c>
      <c r="AE36" s="24">
        <f t="shared" si="3"/>
        <v>1308.7499999999964</v>
      </c>
      <c r="AF36" s="24">
        <f t="shared" ref="AF36:AF44" si="24">+AD36*1%</f>
        <v>248.66250000000005</v>
      </c>
      <c r="AG36" s="33">
        <v>3900</v>
      </c>
      <c r="AH36" s="24"/>
      <c r="AI36" s="24"/>
      <c r="AJ36" s="24"/>
      <c r="AK36" s="24"/>
      <c r="AL36" s="24"/>
      <c r="AM36" s="24" t="s">
        <v>79</v>
      </c>
      <c r="AN36" s="34" t="s">
        <v>291</v>
      </c>
      <c r="AO36" s="35" t="s">
        <v>81</v>
      </c>
      <c r="AP36" s="24">
        <f>250*2</f>
        <v>500</v>
      </c>
      <c r="AQ36" s="36">
        <f t="shared" si="10"/>
        <v>153.84615384615384</v>
      </c>
      <c r="AR36" s="37">
        <v>170</v>
      </c>
      <c r="AS36" s="38">
        <f t="shared" si="11"/>
        <v>16.15384615384616</v>
      </c>
      <c r="AT36" s="39"/>
      <c r="AU36" s="38">
        <f t="shared" si="12"/>
        <v>16.15384615384616</v>
      </c>
      <c r="AV36" s="40">
        <v>91.88</v>
      </c>
      <c r="AW36" s="41">
        <f t="shared" si="4"/>
        <v>15619.599999999999</v>
      </c>
      <c r="AX36" s="24">
        <f t="shared" si="21"/>
        <v>78.49836625948825</v>
      </c>
      <c r="AY36" s="24"/>
      <c r="AZ36" s="24"/>
      <c r="BA36" s="24"/>
      <c r="BB36" s="24">
        <f t="shared" si="13"/>
        <v>0</v>
      </c>
      <c r="BC36" s="24">
        <f t="shared" si="14"/>
        <v>5097.9875000000065</v>
      </c>
      <c r="BD36" s="24"/>
      <c r="BE36" s="24"/>
      <c r="BF36" s="24"/>
      <c r="BG36" s="24">
        <f>+AD36*9.5%</f>
        <v>2362.2937500000003</v>
      </c>
      <c r="BH36" s="24"/>
      <c r="BI36" s="24"/>
      <c r="BJ36" s="24">
        <f t="shared" si="15"/>
        <v>23.622937500000003</v>
      </c>
      <c r="BK36" s="24">
        <f t="shared" si="16"/>
        <v>7436.658312500007</v>
      </c>
      <c r="BL36" s="24" t="s">
        <v>292</v>
      </c>
      <c r="BM36" s="42">
        <f t="shared" si="6"/>
        <v>3</v>
      </c>
      <c r="BN36" s="24" t="s">
        <v>139</v>
      </c>
      <c r="BO36" s="2" t="s">
        <v>175</v>
      </c>
    </row>
    <row r="37" spans="1:67" s="1" customFormat="1" ht="15" customHeight="1" x14ac:dyDescent="0.3">
      <c r="A37" s="20">
        <v>33</v>
      </c>
      <c r="B37" s="21">
        <v>46085</v>
      </c>
      <c r="C37" s="21">
        <v>46097</v>
      </c>
      <c r="D37" s="50" t="s">
        <v>165</v>
      </c>
      <c r="E37" s="23">
        <v>46108</v>
      </c>
      <c r="F37" s="23" t="s">
        <v>7</v>
      </c>
      <c r="G37" s="24" t="s">
        <v>68</v>
      </c>
      <c r="H37" s="24" t="s">
        <v>69</v>
      </c>
      <c r="I37" s="24" t="s">
        <v>70</v>
      </c>
      <c r="J37" s="25" t="s">
        <v>293</v>
      </c>
      <c r="K37" s="45" t="str">
        <f t="shared" si="7"/>
        <v>WB39B4313</v>
      </c>
      <c r="L37" s="26">
        <v>46087</v>
      </c>
      <c r="M37" s="34" t="s">
        <v>294</v>
      </c>
      <c r="N37" s="27" t="s">
        <v>295</v>
      </c>
      <c r="O37" s="28">
        <v>0</v>
      </c>
      <c r="P37" s="27" t="s">
        <v>296</v>
      </c>
      <c r="Q37" s="29">
        <v>2525350854</v>
      </c>
      <c r="R37" s="30">
        <v>2110798244</v>
      </c>
      <c r="S37" s="31" t="s">
        <v>73</v>
      </c>
      <c r="T37" s="24" t="s">
        <v>91</v>
      </c>
      <c r="U37" s="24" t="s">
        <v>75</v>
      </c>
      <c r="V37" s="32" t="s">
        <v>297</v>
      </c>
      <c r="W37" s="32" t="s">
        <v>298</v>
      </c>
      <c r="X37" s="32" t="s">
        <v>299</v>
      </c>
      <c r="Y37" s="24">
        <v>1059</v>
      </c>
      <c r="Z37" s="24">
        <v>19</v>
      </c>
      <c r="AA37" s="24">
        <f t="shared" si="8"/>
        <v>1006.05</v>
      </c>
      <c r="AB37" s="24">
        <f t="shared" si="0"/>
        <v>20121</v>
      </c>
      <c r="AC37" s="24">
        <f t="shared" si="1"/>
        <v>19114.95</v>
      </c>
      <c r="AD37" s="24">
        <f t="shared" si="2"/>
        <v>19114.95</v>
      </c>
      <c r="AE37" s="24">
        <f t="shared" si="3"/>
        <v>1006.0499999999993</v>
      </c>
      <c r="AF37" s="24">
        <f t="shared" si="24"/>
        <v>191.14950000000002</v>
      </c>
      <c r="AG37" s="33">
        <v>4800</v>
      </c>
      <c r="AH37" s="24"/>
      <c r="AI37" s="24"/>
      <c r="AJ37" s="24"/>
      <c r="AK37" s="24"/>
      <c r="AL37" s="24"/>
      <c r="AM37" s="24" t="s">
        <v>79</v>
      </c>
      <c r="AN37" s="34" t="s">
        <v>300</v>
      </c>
      <c r="AO37" s="35" t="s">
        <v>81</v>
      </c>
      <c r="AP37" s="24">
        <f>238*2</f>
        <v>476</v>
      </c>
      <c r="AQ37" s="36">
        <f t="shared" si="10"/>
        <v>146.46153846153845</v>
      </c>
      <c r="AR37" s="37">
        <v>152</v>
      </c>
      <c r="AS37" s="38">
        <f t="shared" si="11"/>
        <v>5.5384615384615472</v>
      </c>
      <c r="AT37" s="39"/>
      <c r="AU37" s="38">
        <f t="shared" si="12"/>
        <v>5.5384615384615472</v>
      </c>
      <c r="AV37" s="40">
        <v>91.99</v>
      </c>
      <c r="AW37" s="41">
        <f t="shared" si="4"/>
        <v>13982.48</v>
      </c>
      <c r="AX37" s="24">
        <f t="shared" si="21"/>
        <v>98.260680776041781</v>
      </c>
      <c r="AY37" s="24"/>
      <c r="AZ37" s="24"/>
      <c r="BA37" s="24"/>
      <c r="BB37" s="24">
        <f t="shared" si="13"/>
        <v>0</v>
      </c>
      <c r="BC37" s="24">
        <f t="shared" si="14"/>
        <v>141.32050000000163</v>
      </c>
      <c r="BD37" s="24"/>
      <c r="BE37" s="24"/>
      <c r="BF37" s="24"/>
      <c r="BG37" s="24">
        <f>+AB37*9.5%</f>
        <v>1911.4950000000001</v>
      </c>
      <c r="BH37" s="24"/>
      <c r="BI37" s="24"/>
      <c r="BJ37" s="24">
        <f t="shared" si="15"/>
        <v>19.11495</v>
      </c>
      <c r="BK37" s="24">
        <f t="shared" si="16"/>
        <v>2033.7005500000016</v>
      </c>
      <c r="BL37" s="24" t="s">
        <v>253</v>
      </c>
      <c r="BM37" s="42">
        <f t="shared" si="6"/>
        <v>3</v>
      </c>
      <c r="BN37" s="24" t="s">
        <v>139</v>
      </c>
      <c r="BO37" s="2" t="s">
        <v>129</v>
      </c>
    </row>
    <row r="38" spans="1:67" s="1" customFormat="1" ht="15" customHeight="1" x14ac:dyDescent="0.3">
      <c r="A38" s="43">
        <v>34</v>
      </c>
      <c r="B38" s="21">
        <v>46085</v>
      </c>
      <c r="C38" s="21">
        <v>46097</v>
      </c>
      <c r="D38" s="50" t="s">
        <v>165</v>
      </c>
      <c r="E38" s="23">
        <v>46108</v>
      </c>
      <c r="F38" s="23" t="s">
        <v>7</v>
      </c>
      <c r="G38" s="24" t="s">
        <v>68</v>
      </c>
      <c r="H38" s="24" t="s">
        <v>69</v>
      </c>
      <c r="I38" s="24" t="s">
        <v>70</v>
      </c>
      <c r="J38" s="25" t="s">
        <v>293</v>
      </c>
      <c r="K38" s="45" t="str">
        <f t="shared" si="7"/>
        <v>WB39B4313</v>
      </c>
      <c r="L38" s="26">
        <v>46087</v>
      </c>
      <c r="M38" s="34" t="s">
        <v>301</v>
      </c>
      <c r="N38" s="27" t="s">
        <v>302</v>
      </c>
      <c r="O38" s="28">
        <v>0</v>
      </c>
      <c r="P38" s="27" t="s">
        <v>303</v>
      </c>
      <c r="Q38" s="29">
        <v>2525350855</v>
      </c>
      <c r="R38" s="30">
        <v>2110798245</v>
      </c>
      <c r="S38" s="31" t="s">
        <v>73</v>
      </c>
      <c r="T38" s="24" t="s">
        <v>91</v>
      </c>
      <c r="U38" s="24" t="s">
        <v>75</v>
      </c>
      <c r="V38" s="32" t="s">
        <v>297</v>
      </c>
      <c r="W38" s="32" t="s">
        <v>298</v>
      </c>
      <c r="X38" s="32"/>
      <c r="Y38" s="24">
        <v>1059</v>
      </c>
      <c r="Z38" s="24">
        <v>6</v>
      </c>
      <c r="AA38" s="24">
        <f t="shared" si="8"/>
        <v>1006.05</v>
      </c>
      <c r="AB38" s="24">
        <f t="shared" si="0"/>
        <v>6354</v>
      </c>
      <c r="AC38" s="24">
        <f t="shared" si="1"/>
        <v>6036.3</v>
      </c>
      <c r="AD38" s="24">
        <f t="shared" si="2"/>
        <v>6036.2999999999993</v>
      </c>
      <c r="AE38" s="24">
        <f t="shared" si="3"/>
        <v>317.70000000000073</v>
      </c>
      <c r="AF38" s="24">
        <f t="shared" si="24"/>
        <v>60.362999999999992</v>
      </c>
      <c r="AG38" s="31"/>
      <c r="AH38" s="24"/>
      <c r="AI38" s="24"/>
      <c r="AJ38" s="24"/>
      <c r="AK38" s="24">
        <v>115</v>
      </c>
      <c r="AL38" s="24"/>
      <c r="AM38" s="24">
        <v>0</v>
      </c>
      <c r="AN38" s="34" t="s">
        <v>213</v>
      </c>
      <c r="AO38" s="35"/>
      <c r="AP38" s="24"/>
      <c r="AQ38" s="36">
        <f t="shared" si="10"/>
        <v>0</v>
      </c>
      <c r="AR38" s="16">
        <v>0</v>
      </c>
      <c r="AS38" s="47">
        <f t="shared" si="11"/>
        <v>0</v>
      </c>
      <c r="AT38" s="31"/>
      <c r="AU38" s="47">
        <f t="shared" si="12"/>
        <v>0</v>
      </c>
      <c r="AV38" s="48">
        <v>91.99</v>
      </c>
      <c r="AW38" s="24">
        <f t="shared" si="4"/>
        <v>0</v>
      </c>
      <c r="AX38" s="24">
        <f t="shared" si="21"/>
        <v>0</v>
      </c>
      <c r="AY38" s="24"/>
      <c r="AZ38" s="24"/>
      <c r="BA38" s="24"/>
      <c r="BB38" s="24">
        <f t="shared" si="13"/>
        <v>0</v>
      </c>
      <c r="BC38" s="24">
        <f t="shared" si="14"/>
        <v>5860.936999999999</v>
      </c>
      <c r="BD38" s="24"/>
      <c r="BE38" s="24"/>
      <c r="BF38" s="24"/>
      <c r="BG38" s="24">
        <f>+AB38*9.5%</f>
        <v>603.63</v>
      </c>
      <c r="BH38" s="24"/>
      <c r="BI38" s="24"/>
      <c r="BJ38" s="24">
        <f t="shared" si="15"/>
        <v>6.0362999999999998</v>
      </c>
      <c r="BK38" s="24">
        <f t="shared" si="16"/>
        <v>6458.5306999999993</v>
      </c>
      <c r="BL38" s="24" t="s">
        <v>253</v>
      </c>
      <c r="BM38" s="42">
        <f t="shared" si="6"/>
        <v>3</v>
      </c>
      <c r="BN38" s="24" t="s">
        <v>139</v>
      </c>
      <c r="BO38" s="2" t="s">
        <v>129</v>
      </c>
    </row>
    <row r="39" spans="1:67" s="1" customFormat="1" ht="15" customHeight="1" x14ac:dyDescent="0.3">
      <c r="A39" s="20">
        <v>35</v>
      </c>
      <c r="B39" s="21">
        <v>46085</v>
      </c>
      <c r="C39" s="21">
        <v>46088</v>
      </c>
      <c r="D39" s="50" t="s">
        <v>304</v>
      </c>
      <c r="E39" s="23">
        <v>46175</v>
      </c>
      <c r="F39" s="23" t="s">
        <v>7</v>
      </c>
      <c r="G39" s="24" t="s">
        <v>68</v>
      </c>
      <c r="H39" s="24" t="s">
        <v>69</v>
      </c>
      <c r="I39" s="24" t="s">
        <v>122</v>
      </c>
      <c r="J39" s="25" t="s">
        <v>123</v>
      </c>
      <c r="K39" s="45" t="str">
        <f t="shared" si="7"/>
        <v>WB23C9555</v>
      </c>
      <c r="L39" s="26">
        <v>46086</v>
      </c>
      <c r="M39" s="34" t="s">
        <v>305</v>
      </c>
      <c r="N39" s="27" t="s">
        <v>306</v>
      </c>
      <c r="O39" s="28">
        <v>0</v>
      </c>
      <c r="P39" s="27" t="s">
        <v>307</v>
      </c>
      <c r="Q39" s="29">
        <v>2525350873</v>
      </c>
      <c r="R39" s="30">
        <v>2110798257</v>
      </c>
      <c r="S39" s="31" t="s">
        <v>308</v>
      </c>
      <c r="T39" s="24" t="s">
        <v>91</v>
      </c>
      <c r="U39" s="24" t="s">
        <v>75</v>
      </c>
      <c r="V39" s="32" t="s">
        <v>309</v>
      </c>
      <c r="W39" s="32" t="s">
        <v>310</v>
      </c>
      <c r="X39" s="32" t="s">
        <v>311</v>
      </c>
      <c r="Y39" s="24">
        <v>535</v>
      </c>
      <c r="Z39" s="24">
        <v>19</v>
      </c>
      <c r="AA39" s="24">
        <f t="shared" si="8"/>
        <v>508.24999999999994</v>
      </c>
      <c r="AB39" s="24">
        <f t="shared" si="0"/>
        <v>10165</v>
      </c>
      <c r="AC39" s="24">
        <f t="shared" si="1"/>
        <v>9656.75</v>
      </c>
      <c r="AD39" s="24">
        <f t="shared" si="2"/>
        <v>9656.7499999999982</v>
      </c>
      <c r="AE39" s="24">
        <f t="shared" si="3"/>
        <v>508.25000000000182</v>
      </c>
      <c r="AF39" s="24">
        <v>0</v>
      </c>
      <c r="AG39" s="33">
        <v>3400</v>
      </c>
      <c r="AH39" s="24"/>
      <c r="AI39" s="24"/>
      <c r="AJ39" s="24"/>
      <c r="AK39" s="24"/>
      <c r="AL39" s="24"/>
      <c r="AM39" s="24" t="s">
        <v>79</v>
      </c>
      <c r="AN39" s="34" t="s">
        <v>312</v>
      </c>
      <c r="AO39" s="35" t="s">
        <v>81</v>
      </c>
      <c r="AP39" s="24">
        <f>100*2</f>
        <v>200</v>
      </c>
      <c r="AQ39" s="36">
        <f t="shared" si="10"/>
        <v>61.53846153846154</v>
      </c>
      <c r="AR39" s="37">
        <v>70</v>
      </c>
      <c r="AS39" s="38">
        <f t="shared" si="11"/>
        <v>8.4615384615384599</v>
      </c>
      <c r="AT39" s="39"/>
      <c r="AU39" s="38">
        <f t="shared" si="12"/>
        <v>8.4615384615384599</v>
      </c>
      <c r="AV39" s="40">
        <v>91.99</v>
      </c>
      <c r="AW39" s="41">
        <f t="shared" si="4"/>
        <v>6439.2999999999993</v>
      </c>
      <c r="AX39" s="24">
        <f t="shared" si="21"/>
        <v>101.89038755274808</v>
      </c>
      <c r="AY39" s="24"/>
      <c r="AZ39" s="24"/>
      <c r="BA39" s="24"/>
      <c r="BB39" s="24">
        <f t="shared" si="13"/>
        <v>0</v>
      </c>
      <c r="BC39" s="24">
        <f t="shared" si="14"/>
        <v>-182.55000000000109</v>
      </c>
      <c r="BD39" s="24"/>
      <c r="BE39" s="24"/>
      <c r="BF39" s="24"/>
      <c r="BG39" s="24">
        <f>+AB39*9.5%</f>
        <v>965.67499999999995</v>
      </c>
      <c r="BH39" s="24"/>
      <c r="BI39" s="24"/>
      <c r="BJ39" s="24">
        <f t="shared" si="15"/>
        <v>9.6567500000000006</v>
      </c>
      <c r="BK39" s="24">
        <f t="shared" si="16"/>
        <v>773.46824999999887</v>
      </c>
      <c r="BL39" s="24" t="s">
        <v>128</v>
      </c>
      <c r="BM39" s="42">
        <f t="shared" si="6"/>
        <v>2</v>
      </c>
      <c r="BN39" s="24" t="s">
        <v>83</v>
      </c>
      <c r="BO39" s="2" t="s">
        <v>84</v>
      </c>
    </row>
    <row r="40" spans="1:67" s="1" customFormat="1" ht="15" customHeight="1" x14ac:dyDescent="0.3">
      <c r="A40" s="20">
        <v>36</v>
      </c>
      <c r="B40" s="21">
        <v>46085</v>
      </c>
      <c r="C40" s="21">
        <v>46088</v>
      </c>
      <c r="D40" s="50" t="s">
        <v>304</v>
      </c>
      <c r="E40" s="23">
        <v>46175</v>
      </c>
      <c r="F40" s="23" t="s">
        <v>7</v>
      </c>
      <c r="G40" s="24" t="s">
        <v>68</v>
      </c>
      <c r="H40" s="24" t="s">
        <v>69</v>
      </c>
      <c r="I40" s="24" t="s">
        <v>122</v>
      </c>
      <c r="J40" s="25" t="s">
        <v>123</v>
      </c>
      <c r="K40" s="45" t="str">
        <f t="shared" si="7"/>
        <v>WB23C9555</v>
      </c>
      <c r="L40" s="26">
        <v>46086</v>
      </c>
      <c r="M40" s="34" t="s">
        <v>313</v>
      </c>
      <c r="N40" s="27" t="s">
        <v>314</v>
      </c>
      <c r="O40" s="28">
        <v>0</v>
      </c>
      <c r="P40" s="27" t="s">
        <v>315</v>
      </c>
      <c r="Q40" s="29">
        <v>2525350874</v>
      </c>
      <c r="R40" s="30">
        <v>2110798258</v>
      </c>
      <c r="S40" s="31" t="s">
        <v>308</v>
      </c>
      <c r="T40" s="24" t="s">
        <v>91</v>
      </c>
      <c r="U40" s="24" t="s">
        <v>75</v>
      </c>
      <c r="V40" s="32" t="s">
        <v>309</v>
      </c>
      <c r="W40" s="32" t="s">
        <v>310</v>
      </c>
      <c r="X40" s="32"/>
      <c r="Y40" s="24">
        <v>535</v>
      </c>
      <c r="Z40" s="24">
        <v>6</v>
      </c>
      <c r="AA40" s="24">
        <f t="shared" si="8"/>
        <v>508.24999999999994</v>
      </c>
      <c r="AB40" s="24">
        <f t="shared" si="0"/>
        <v>3210</v>
      </c>
      <c r="AC40" s="24">
        <f t="shared" si="1"/>
        <v>3049.5</v>
      </c>
      <c r="AD40" s="24">
        <f t="shared" si="2"/>
        <v>3049.4999999999995</v>
      </c>
      <c r="AE40" s="24">
        <f t="shared" si="3"/>
        <v>160.50000000000045</v>
      </c>
      <c r="AF40" s="24">
        <v>0</v>
      </c>
      <c r="AG40" s="31"/>
      <c r="AH40" s="24"/>
      <c r="AI40" s="24"/>
      <c r="AJ40" s="24"/>
      <c r="AK40" s="24"/>
      <c r="AL40" s="24"/>
      <c r="AM40" s="24">
        <v>0</v>
      </c>
      <c r="AN40" s="34" t="s">
        <v>213</v>
      </c>
      <c r="AO40" s="35"/>
      <c r="AP40" s="24"/>
      <c r="AQ40" s="36">
        <f t="shared" si="10"/>
        <v>0</v>
      </c>
      <c r="AR40" s="16">
        <v>0</v>
      </c>
      <c r="AS40" s="47">
        <f t="shared" si="11"/>
        <v>0</v>
      </c>
      <c r="AT40" s="31"/>
      <c r="AU40" s="47">
        <f t="shared" si="12"/>
        <v>0</v>
      </c>
      <c r="AV40" s="48">
        <v>91.99</v>
      </c>
      <c r="AW40" s="24">
        <f t="shared" si="4"/>
        <v>0</v>
      </c>
      <c r="AX40" s="24">
        <f t="shared" si="21"/>
        <v>0</v>
      </c>
      <c r="AY40" s="24"/>
      <c r="AZ40" s="24"/>
      <c r="BA40" s="24"/>
      <c r="BB40" s="24">
        <f t="shared" si="13"/>
        <v>0</v>
      </c>
      <c r="BC40" s="24">
        <f t="shared" si="14"/>
        <v>3049.4999999999995</v>
      </c>
      <c r="BD40" s="24"/>
      <c r="BE40" s="24"/>
      <c r="BF40" s="24"/>
      <c r="BG40" s="24">
        <f>+AB40*9.5%</f>
        <v>304.95</v>
      </c>
      <c r="BH40" s="24"/>
      <c r="BI40" s="24"/>
      <c r="BJ40" s="24">
        <f t="shared" si="15"/>
        <v>3.0495000000000001</v>
      </c>
      <c r="BK40" s="24">
        <f t="shared" si="16"/>
        <v>3351.4004999999993</v>
      </c>
      <c r="BL40" s="24" t="s">
        <v>128</v>
      </c>
      <c r="BM40" s="42">
        <f t="shared" si="6"/>
        <v>2</v>
      </c>
      <c r="BN40" s="24" t="s">
        <v>83</v>
      </c>
      <c r="BO40" s="2" t="s">
        <v>84</v>
      </c>
    </row>
    <row r="41" spans="1:67" s="1" customFormat="1" ht="15" customHeight="1" x14ac:dyDescent="0.3">
      <c r="A41" s="43">
        <v>37</v>
      </c>
      <c r="B41" s="21">
        <v>46085</v>
      </c>
      <c r="C41" s="21">
        <v>46097</v>
      </c>
      <c r="D41" s="52" t="s">
        <v>262</v>
      </c>
      <c r="E41" s="23">
        <v>46105</v>
      </c>
      <c r="F41" s="23" t="s">
        <v>7</v>
      </c>
      <c r="G41" s="24" t="s">
        <v>68</v>
      </c>
      <c r="H41" s="24" t="s">
        <v>69</v>
      </c>
      <c r="I41" s="24" t="s">
        <v>263</v>
      </c>
      <c r="J41" s="25" t="s">
        <v>316</v>
      </c>
      <c r="K41" s="45" t="str">
        <f t="shared" si="7"/>
        <v>WB41G6396</v>
      </c>
      <c r="L41" s="26">
        <v>46086</v>
      </c>
      <c r="M41" s="34" t="s">
        <v>317</v>
      </c>
      <c r="N41" s="27" t="s">
        <v>318</v>
      </c>
      <c r="O41" s="28">
        <v>0</v>
      </c>
      <c r="P41" s="27" t="s">
        <v>319</v>
      </c>
      <c r="Q41" s="29">
        <v>2525350882</v>
      </c>
      <c r="R41" s="30">
        <v>2110798262</v>
      </c>
      <c r="S41" s="54" t="s">
        <v>73</v>
      </c>
      <c r="T41" s="24" t="s">
        <v>91</v>
      </c>
      <c r="U41" s="24" t="s">
        <v>75</v>
      </c>
      <c r="V41" s="32" t="s">
        <v>320</v>
      </c>
      <c r="W41" s="32" t="s">
        <v>321</v>
      </c>
      <c r="X41" s="32" t="s">
        <v>322</v>
      </c>
      <c r="Y41" s="24">
        <v>1057</v>
      </c>
      <c r="Z41" s="24">
        <v>25</v>
      </c>
      <c r="AA41" s="24">
        <f t="shared" si="8"/>
        <v>1004.15</v>
      </c>
      <c r="AB41" s="24">
        <f t="shared" si="0"/>
        <v>26425</v>
      </c>
      <c r="AC41" s="24">
        <f t="shared" si="1"/>
        <v>25103.75</v>
      </c>
      <c r="AD41" s="24">
        <f t="shared" si="2"/>
        <v>25103.75</v>
      </c>
      <c r="AE41" s="24">
        <f t="shared" si="3"/>
        <v>1321.25</v>
      </c>
      <c r="AF41" s="24">
        <v>0</v>
      </c>
      <c r="AG41" s="33">
        <v>7000</v>
      </c>
      <c r="AH41" s="24"/>
      <c r="AI41" s="24"/>
      <c r="AJ41" s="24"/>
      <c r="AK41" s="24"/>
      <c r="AL41" s="24"/>
      <c r="AM41" s="24" t="s">
        <v>79</v>
      </c>
      <c r="AN41" s="34" t="s">
        <v>323</v>
      </c>
      <c r="AO41" s="35" t="s">
        <v>81</v>
      </c>
      <c r="AP41" s="24">
        <f>243*2</f>
        <v>486</v>
      </c>
      <c r="AQ41" s="36">
        <f t="shared" si="10"/>
        <v>149.53846153846155</v>
      </c>
      <c r="AR41" s="37">
        <v>150</v>
      </c>
      <c r="AS41" s="38">
        <f t="shared" si="11"/>
        <v>0.46153846153845279</v>
      </c>
      <c r="AT41" s="39"/>
      <c r="AU41" s="38">
        <f t="shared" si="12"/>
        <v>0.46153846153845279</v>
      </c>
      <c r="AV41" s="40">
        <v>91.99</v>
      </c>
      <c r="AW41" s="41">
        <f t="shared" si="4"/>
        <v>13798.5</v>
      </c>
      <c r="AX41" s="24">
        <f t="shared" si="21"/>
        <v>82.85017178708361</v>
      </c>
      <c r="AY41" s="24"/>
      <c r="AZ41" s="24"/>
      <c r="BA41" s="24"/>
      <c r="BB41" s="24">
        <f t="shared" si="13"/>
        <v>0</v>
      </c>
      <c r="BC41" s="24">
        <f t="shared" si="14"/>
        <v>4305.25</v>
      </c>
      <c r="BD41" s="24">
        <v>135</v>
      </c>
      <c r="BE41" s="24">
        <v>135</v>
      </c>
      <c r="BF41" s="24"/>
      <c r="BG41" s="24">
        <f>+AB41*9.5%</f>
        <v>2510.375</v>
      </c>
      <c r="BH41" s="24"/>
      <c r="BI41" s="24"/>
      <c r="BJ41" s="24">
        <f t="shared" si="15"/>
        <v>25.103750000000002</v>
      </c>
      <c r="BK41" s="24">
        <f t="shared" si="16"/>
        <v>7060.5212499999998</v>
      </c>
      <c r="BL41" s="24" t="s">
        <v>121</v>
      </c>
      <c r="BM41" s="42">
        <f t="shared" si="6"/>
        <v>2</v>
      </c>
      <c r="BN41" s="24" t="s">
        <v>83</v>
      </c>
      <c r="BO41" s="2" t="s">
        <v>84</v>
      </c>
    </row>
    <row r="42" spans="1:67" s="1" customFormat="1" ht="15" customHeight="1" x14ac:dyDescent="0.3">
      <c r="A42" s="20">
        <v>38</v>
      </c>
      <c r="B42" s="21">
        <v>46085</v>
      </c>
      <c r="C42" s="21">
        <v>46088</v>
      </c>
      <c r="D42" s="56" t="s">
        <v>140</v>
      </c>
      <c r="E42" s="23">
        <v>46092</v>
      </c>
      <c r="F42" s="23" t="s">
        <v>7</v>
      </c>
      <c r="G42" s="24" t="s">
        <v>68</v>
      </c>
      <c r="H42" s="24" t="s">
        <v>69</v>
      </c>
      <c r="I42" s="24" t="s">
        <v>70</v>
      </c>
      <c r="J42" s="25" t="s">
        <v>215</v>
      </c>
      <c r="K42" s="45" t="str">
        <f t="shared" si="7"/>
        <v>WB39B0802</v>
      </c>
      <c r="L42" s="26">
        <v>46086</v>
      </c>
      <c r="M42" s="34" t="s">
        <v>324</v>
      </c>
      <c r="N42" s="27" t="s">
        <v>325</v>
      </c>
      <c r="O42" s="28">
        <v>0</v>
      </c>
      <c r="P42" s="27" t="s">
        <v>326</v>
      </c>
      <c r="Q42" s="29">
        <v>2525350889</v>
      </c>
      <c r="R42" s="30">
        <v>2110798266</v>
      </c>
      <c r="S42" s="31" t="s">
        <v>73</v>
      </c>
      <c r="T42" s="24" t="s">
        <v>74</v>
      </c>
      <c r="U42" s="24" t="s">
        <v>75</v>
      </c>
      <c r="V42" s="32" t="s">
        <v>327</v>
      </c>
      <c r="W42" s="32" t="s">
        <v>328</v>
      </c>
      <c r="X42" s="32" t="s">
        <v>328</v>
      </c>
      <c r="Y42" s="24">
        <v>392</v>
      </c>
      <c r="Z42" s="24">
        <v>19</v>
      </c>
      <c r="AA42" s="24">
        <f t="shared" si="8"/>
        <v>372.4</v>
      </c>
      <c r="AB42" s="24">
        <f t="shared" si="0"/>
        <v>7448</v>
      </c>
      <c r="AC42" s="24">
        <f t="shared" si="1"/>
        <v>7075.6</v>
      </c>
      <c r="AD42" s="24">
        <f t="shared" si="2"/>
        <v>7075.5999999999995</v>
      </c>
      <c r="AE42" s="24">
        <f t="shared" si="3"/>
        <v>372.40000000000055</v>
      </c>
      <c r="AF42" s="24">
        <f t="shared" si="24"/>
        <v>70.756</v>
      </c>
      <c r="AG42" s="33">
        <v>2700</v>
      </c>
      <c r="AH42" s="24"/>
      <c r="AI42" s="24"/>
      <c r="AJ42" s="24"/>
      <c r="AK42" s="24"/>
      <c r="AL42" s="24"/>
      <c r="AM42" s="24" t="s">
        <v>79</v>
      </c>
      <c r="AN42" s="34" t="s">
        <v>329</v>
      </c>
      <c r="AO42" s="35" t="s">
        <v>81</v>
      </c>
      <c r="AP42" s="24">
        <f>64*2</f>
        <v>128</v>
      </c>
      <c r="AQ42" s="36">
        <f t="shared" si="10"/>
        <v>39.384615384615387</v>
      </c>
      <c r="AR42" s="37">
        <v>38</v>
      </c>
      <c r="AS42" s="38">
        <f t="shared" si="11"/>
        <v>-1.3846153846153868</v>
      </c>
      <c r="AT42" s="39"/>
      <c r="AU42" s="38">
        <f t="shared" si="12"/>
        <v>-1.3846153846153868</v>
      </c>
      <c r="AV42" s="40">
        <v>91.99</v>
      </c>
      <c r="AW42" s="41">
        <f t="shared" si="4"/>
        <v>3495.62</v>
      </c>
      <c r="AX42" s="24">
        <f t="shared" si="21"/>
        <v>87.56317485442932</v>
      </c>
      <c r="AY42" s="24"/>
      <c r="AZ42" s="24"/>
      <c r="BA42" s="24"/>
      <c r="BB42" s="24">
        <f t="shared" si="13"/>
        <v>0</v>
      </c>
      <c r="BC42" s="24">
        <f t="shared" si="14"/>
        <v>809.22399999999925</v>
      </c>
      <c r="BD42" s="24"/>
      <c r="BE42" s="24"/>
      <c r="BF42" s="24"/>
      <c r="BG42" s="24">
        <f>+AD42*8.5%</f>
        <v>601.42600000000004</v>
      </c>
      <c r="BH42" s="24">
        <f t="shared" ref="BH42:BH44" si="25">+AD42*8.5%</f>
        <v>601.42600000000004</v>
      </c>
      <c r="BI42" s="24"/>
      <c r="BJ42" s="24">
        <f t="shared" si="15"/>
        <v>12.02852</v>
      </c>
      <c r="BK42" s="24">
        <f t="shared" si="16"/>
        <v>2000.047479999999</v>
      </c>
      <c r="BL42" s="24" t="s">
        <v>82</v>
      </c>
      <c r="BM42" s="42">
        <f t="shared" si="6"/>
        <v>2</v>
      </c>
      <c r="BN42" s="24" t="s">
        <v>83</v>
      </c>
      <c r="BO42" s="2" t="s">
        <v>148</v>
      </c>
    </row>
    <row r="43" spans="1:67" s="1" customFormat="1" ht="15" customHeight="1" x14ac:dyDescent="0.3">
      <c r="A43" s="20">
        <v>39</v>
      </c>
      <c r="B43" s="21">
        <v>46085</v>
      </c>
      <c r="C43" s="21">
        <v>46097</v>
      </c>
      <c r="D43" s="50" t="s">
        <v>330</v>
      </c>
      <c r="E43" s="23">
        <v>46097</v>
      </c>
      <c r="F43" s="23" t="s">
        <v>7</v>
      </c>
      <c r="G43" s="24" t="s">
        <v>68</v>
      </c>
      <c r="H43" s="24" t="s">
        <v>69</v>
      </c>
      <c r="I43" s="24" t="s">
        <v>112</v>
      </c>
      <c r="J43" s="25" t="s">
        <v>157</v>
      </c>
      <c r="K43" s="45" t="str">
        <f t="shared" si="7"/>
        <v>WB39A6898</v>
      </c>
      <c r="L43" s="26">
        <v>46087</v>
      </c>
      <c r="M43" s="34" t="s">
        <v>331</v>
      </c>
      <c r="N43" s="27" t="s">
        <v>332</v>
      </c>
      <c r="O43" s="28">
        <v>0</v>
      </c>
      <c r="P43" s="27" t="s">
        <v>333</v>
      </c>
      <c r="Q43" s="29">
        <v>2525350902</v>
      </c>
      <c r="R43" s="30">
        <v>2110798218</v>
      </c>
      <c r="S43" s="31" t="s">
        <v>73</v>
      </c>
      <c r="T43" s="24" t="s">
        <v>74</v>
      </c>
      <c r="U43" s="24" t="s">
        <v>75</v>
      </c>
      <c r="V43" s="32" t="s">
        <v>275</v>
      </c>
      <c r="W43" s="32" t="s">
        <v>276</v>
      </c>
      <c r="X43" s="32"/>
      <c r="Y43" s="24">
        <v>620</v>
      </c>
      <c r="Z43" s="24">
        <v>19</v>
      </c>
      <c r="AA43" s="24">
        <f t="shared" si="8"/>
        <v>589</v>
      </c>
      <c r="AB43" s="24">
        <f t="shared" si="0"/>
        <v>11780</v>
      </c>
      <c r="AC43" s="24">
        <f t="shared" si="1"/>
        <v>11191</v>
      </c>
      <c r="AD43" s="24">
        <f t="shared" si="2"/>
        <v>11191</v>
      </c>
      <c r="AE43" s="24">
        <f t="shared" si="3"/>
        <v>589</v>
      </c>
      <c r="AF43" s="24">
        <f t="shared" si="24"/>
        <v>111.91</v>
      </c>
      <c r="AG43" s="33">
        <v>2600</v>
      </c>
      <c r="AH43" s="24"/>
      <c r="AI43" s="24"/>
      <c r="AJ43" s="24"/>
      <c r="AK43" s="24">
        <v>115</v>
      </c>
      <c r="AL43" s="24"/>
      <c r="AM43" s="24" t="s">
        <v>79</v>
      </c>
      <c r="AN43" s="34" t="s">
        <v>334</v>
      </c>
      <c r="AO43" s="35" t="s">
        <v>81</v>
      </c>
      <c r="AP43" s="24">
        <f>127*2</f>
        <v>254</v>
      </c>
      <c r="AQ43" s="36">
        <f t="shared" si="10"/>
        <v>78.15384615384616</v>
      </c>
      <c r="AR43" s="37">
        <f>16+56</f>
        <v>72</v>
      </c>
      <c r="AS43" s="38">
        <f t="shared" si="11"/>
        <v>-6.1538461538461604</v>
      </c>
      <c r="AT43" s="39"/>
      <c r="AU43" s="38">
        <f t="shared" si="12"/>
        <v>-6.1538461538461604</v>
      </c>
      <c r="AV43" s="40">
        <v>91.99</v>
      </c>
      <c r="AW43" s="41">
        <f t="shared" si="4"/>
        <v>6623.28</v>
      </c>
      <c r="AX43" s="24">
        <f t="shared" si="21"/>
        <v>82.416942185684917</v>
      </c>
      <c r="AY43" s="24"/>
      <c r="AZ43" s="24"/>
      <c r="BA43" s="24"/>
      <c r="BB43" s="24">
        <f t="shared" si="13"/>
        <v>0</v>
      </c>
      <c r="BC43" s="24">
        <f t="shared" si="14"/>
        <v>1740.8100000000004</v>
      </c>
      <c r="BD43" s="24"/>
      <c r="BE43" s="24"/>
      <c r="BF43" s="24"/>
      <c r="BG43" s="24">
        <f>+AD43*8.5%</f>
        <v>951.23500000000001</v>
      </c>
      <c r="BH43" s="24">
        <f t="shared" si="25"/>
        <v>951.23500000000001</v>
      </c>
      <c r="BI43" s="24"/>
      <c r="BJ43" s="24">
        <f t="shared" si="15"/>
        <v>19.024699999999999</v>
      </c>
      <c r="BK43" s="24">
        <f t="shared" si="16"/>
        <v>3624.2553000000007</v>
      </c>
      <c r="BL43" s="24" t="s">
        <v>163</v>
      </c>
      <c r="BM43" s="42">
        <f t="shared" si="6"/>
        <v>3</v>
      </c>
      <c r="BN43" s="24" t="s">
        <v>139</v>
      </c>
      <c r="BO43" s="2" t="s">
        <v>129</v>
      </c>
    </row>
    <row r="44" spans="1:67" s="1" customFormat="1" ht="15" customHeight="1" x14ac:dyDescent="0.3">
      <c r="A44" s="43">
        <v>40</v>
      </c>
      <c r="B44" s="21">
        <v>46085</v>
      </c>
      <c r="C44" s="21">
        <v>46097</v>
      </c>
      <c r="D44" s="50" t="s">
        <v>335</v>
      </c>
      <c r="E44" s="23">
        <v>46097</v>
      </c>
      <c r="F44" s="23" t="s">
        <v>7</v>
      </c>
      <c r="G44" s="24" t="s">
        <v>68</v>
      </c>
      <c r="H44" s="24" t="s">
        <v>69</v>
      </c>
      <c r="I44" s="24" t="s">
        <v>70</v>
      </c>
      <c r="J44" s="25" t="s">
        <v>336</v>
      </c>
      <c r="K44" s="45" t="str">
        <f t="shared" si="7"/>
        <v>WB39B0801</v>
      </c>
      <c r="L44" s="26">
        <v>46088</v>
      </c>
      <c r="M44" s="34" t="s">
        <v>337</v>
      </c>
      <c r="N44" s="27" t="s">
        <v>338</v>
      </c>
      <c r="O44" s="28">
        <v>0</v>
      </c>
      <c r="P44" s="27" t="s">
        <v>339</v>
      </c>
      <c r="Q44" s="29">
        <v>2525350916</v>
      </c>
      <c r="R44" s="30">
        <v>2110798277</v>
      </c>
      <c r="S44" s="31" t="s">
        <v>73</v>
      </c>
      <c r="T44" s="24" t="s">
        <v>74</v>
      </c>
      <c r="U44" s="24" t="s">
        <v>75</v>
      </c>
      <c r="V44" s="32" t="s">
        <v>340</v>
      </c>
      <c r="W44" s="32" t="s">
        <v>341</v>
      </c>
      <c r="X44" s="32"/>
      <c r="Y44" s="24">
        <v>365</v>
      </c>
      <c r="Z44" s="24">
        <v>19</v>
      </c>
      <c r="AA44" s="24">
        <f t="shared" si="8"/>
        <v>346.75</v>
      </c>
      <c r="AB44" s="24">
        <f t="shared" si="0"/>
        <v>6935</v>
      </c>
      <c r="AC44" s="24">
        <f t="shared" si="1"/>
        <v>6588.2499999999991</v>
      </c>
      <c r="AD44" s="24">
        <f t="shared" si="2"/>
        <v>6588.25</v>
      </c>
      <c r="AE44" s="24">
        <f t="shared" si="3"/>
        <v>346.75</v>
      </c>
      <c r="AF44" s="24">
        <f t="shared" si="24"/>
        <v>65.882500000000007</v>
      </c>
      <c r="AG44" s="33">
        <v>3000</v>
      </c>
      <c r="AH44" s="24"/>
      <c r="AI44" s="24"/>
      <c r="AJ44" s="24"/>
      <c r="AK44" s="24"/>
      <c r="AL44" s="24"/>
      <c r="AM44" s="24" t="s">
        <v>79</v>
      </c>
      <c r="AN44" s="34" t="s">
        <v>342</v>
      </c>
      <c r="AO44" s="35" t="s">
        <v>81</v>
      </c>
      <c r="AP44" s="24">
        <f>48*2</f>
        <v>96</v>
      </c>
      <c r="AQ44" s="36">
        <f t="shared" si="10"/>
        <v>29.53846153846154</v>
      </c>
      <c r="AR44" s="37">
        <v>30</v>
      </c>
      <c r="AS44" s="38">
        <f t="shared" si="11"/>
        <v>0.4615384615384599</v>
      </c>
      <c r="AT44" s="39"/>
      <c r="AU44" s="38">
        <f t="shared" si="12"/>
        <v>0.4615384615384599</v>
      </c>
      <c r="AV44" s="40">
        <v>91.99</v>
      </c>
      <c r="AW44" s="41">
        <f t="shared" si="4"/>
        <v>2759.7</v>
      </c>
      <c r="AX44" s="24">
        <f t="shared" si="21"/>
        <v>87.423822714681449</v>
      </c>
      <c r="AY44" s="24"/>
      <c r="AZ44" s="24"/>
      <c r="BA44" s="24"/>
      <c r="BB44" s="24">
        <f t="shared" si="13"/>
        <v>0</v>
      </c>
      <c r="BC44" s="24">
        <f t="shared" si="14"/>
        <v>762.66750000000047</v>
      </c>
      <c r="BD44" s="24">
        <v>110</v>
      </c>
      <c r="BE44" s="24">
        <v>110</v>
      </c>
      <c r="BF44" s="24"/>
      <c r="BG44" s="24">
        <f>+AD44*8.5%</f>
        <v>560.00125000000003</v>
      </c>
      <c r="BH44" s="24">
        <f t="shared" si="25"/>
        <v>560.00125000000003</v>
      </c>
      <c r="BI44" s="24"/>
      <c r="BJ44" s="24">
        <f t="shared" si="15"/>
        <v>11.200025</v>
      </c>
      <c r="BK44" s="24">
        <f t="shared" si="16"/>
        <v>2091.4699750000004</v>
      </c>
      <c r="BL44" s="24" t="s">
        <v>82</v>
      </c>
      <c r="BM44" s="42">
        <f t="shared" si="6"/>
        <v>4</v>
      </c>
      <c r="BN44" s="24" t="s">
        <v>174</v>
      </c>
      <c r="BO44" s="2" t="s">
        <v>175</v>
      </c>
    </row>
    <row r="45" spans="1:67" s="1" customFormat="1" ht="15" customHeight="1" x14ac:dyDescent="0.3">
      <c r="A45" s="20">
        <v>41</v>
      </c>
      <c r="B45" s="21">
        <v>46086</v>
      </c>
      <c r="C45" s="21">
        <v>46097</v>
      </c>
      <c r="D45" s="50" t="s">
        <v>343</v>
      </c>
      <c r="E45" s="23">
        <v>46097</v>
      </c>
      <c r="F45" s="23" t="s">
        <v>7</v>
      </c>
      <c r="G45" s="24" t="s">
        <v>68</v>
      </c>
      <c r="H45" s="24" t="s">
        <v>69</v>
      </c>
      <c r="I45" s="24" t="s">
        <v>98</v>
      </c>
      <c r="J45" s="25" t="s">
        <v>99</v>
      </c>
      <c r="K45" s="45" t="str">
        <f t="shared" si="7"/>
        <v>WB65D7397</v>
      </c>
      <c r="L45" s="26">
        <v>46087</v>
      </c>
      <c r="M45" s="34" t="s">
        <v>344</v>
      </c>
      <c r="N45" s="27" t="s">
        <v>345</v>
      </c>
      <c r="O45" s="28">
        <v>0</v>
      </c>
      <c r="P45" s="27" t="s">
        <v>346</v>
      </c>
      <c r="Q45" s="29">
        <v>2590193628</v>
      </c>
      <c r="R45" s="30">
        <v>2160371835</v>
      </c>
      <c r="S45" s="31" t="s">
        <v>73</v>
      </c>
      <c r="T45" s="24" t="s">
        <v>91</v>
      </c>
      <c r="U45" s="24" t="s">
        <v>347</v>
      </c>
      <c r="V45" s="32" t="s">
        <v>348</v>
      </c>
      <c r="W45" s="32" t="s">
        <v>349</v>
      </c>
      <c r="X45" s="32"/>
      <c r="Y45" s="24">
        <v>706</v>
      </c>
      <c r="Z45" s="24">
        <v>25</v>
      </c>
      <c r="AA45" s="24">
        <f t="shared" si="8"/>
        <v>670.69999999999993</v>
      </c>
      <c r="AB45" s="24">
        <f t="shared" si="0"/>
        <v>17650</v>
      </c>
      <c r="AC45" s="24">
        <f t="shared" si="1"/>
        <v>16767.5</v>
      </c>
      <c r="AD45" s="24">
        <f t="shared" si="2"/>
        <v>16767.5</v>
      </c>
      <c r="AE45" s="24">
        <f t="shared" si="3"/>
        <v>882.5</v>
      </c>
      <c r="AF45" s="24">
        <v>0</v>
      </c>
      <c r="AG45" s="33">
        <v>3700</v>
      </c>
      <c r="AH45" s="24"/>
      <c r="AI45" s="24"/>
      <c r="AJ45" s="24"/>
      <c r="AK45" s="24">
        <v>115</v>
      </c>
      <c r="AL45" s="24"/>
      <c r="AM45" s="24" t="s">
        <v>79</v>
      </c>
      <c r="AN45" s="34" t="s">
        <v>350</v>
      </c>
      <c r="AO45" s="35" t="s">
        <v>81</v>
      </c>
      <c r="AP45" s="24">
        <f>129*2</f>
        <v>258</v>
      </c>
      <c r="AQ45" s="36">
        <f t="shared" si="10"/>
        <v>79.384615384615387</v>
      </c>
      <c r="AR45" s="37">
        <v>85</v>
      </c>
      <c r="AS45" s="38">
        <f t="shared" si="11"/>
        <v>5.6153846153846132</v>
      </c>
      <c r="AT45" s="39"/>
      <c r="AU45" s="38">
        <f t="shared" si="12"/>
        <v>5.6153846153846132</v>
      </c>
      <c r="AV45" s="40">
        <v>91.99</v>
      </c>
      <c r="AW45" s="41">
        <f t="shared" si="4"/>
        <v>7819.15</v>
      </c>
      <c r="AX45" s="24">
        <f t="shared" si="21"/>
        <v>68.699269420008946</v>
      </c>
      <c r="AY45" s="24"/>
      <c r="AZ45" s="24"/>
      <c r="BA45" s="24"/>
      <c r="BB45" s="24">
        <f t="shared" si="13"/>
        <v>0</v>
      </c>
      <c r="BC45" s="24">
        <f t="shared" si="14"/>
        <v>5133.3500000000004</v>
      </c>
      <c r="BD45" s="24"/>
      <c r="BE45" s="24"/>
      <c r="BF45" s="24"/>
      <c r="BG45" s="24">
        <f>+AD45*9.5%</f>
        <v>1592.9124999999999</v>
      </c>
      <c r="BH45" s="24"/>
      <c r="BI45" s="24"/>
      <c r="BJ45" s="24">
        <f t="shared" si="15"/>
        <v>15.929124999999999</v>
      </c>
      <c r="BK45" s="24">
        <f t="shared" si="16"/>
        <v>6710.3333750000011</v>
      </c>
      <c r="BL45" s="24" t="s">
        <v>105</v>
      </c>
      <c r="BM45" s="42">
        <f t="shared" si="6"/>
        <v>2</v>
      </c>
      <c r="BN45" s="24" t="s">
        <v>83</v>
      </c>
      <c r="BO45" s="2" t="s">
        <v>148</v>
      </c>
    </row>
    <row r="46" spans="1:67" s="1" customFormat="1" ht="15" customHeight="1" x14ac:dyDescent="0.3">
      <c r="A46" s="20">
        <v>42</v>
      </c>
      <c r="B46" s="21">
        <v>46086</v>
      </c>
      <c r="C46" s="21">
        <v>46102</v>
      </c>
      <c r="D46" s="52" t="s">
        <v>351</v>
      </c>
      <c r="E46" s="23">
        <v>46104</v>
      </c>
      <c r="F46" s="23" t="s">
        <v>7</v>
      </c>
      <c r="G46" s="24" t="s">
        <v>68</v>
      </c>
      <c r="H46" s="24" t="s">
        <v>69</v>
      </c>
      <c r="I46" s="24" t="s">
        <v>166</v>
      </c>
      <c r="J46" s="25" t="s">
        <v>255</v>
      </c>
      <c r="K46" s="45" t="str">
        <f t="shared" si="7"/>
        <v>WB41H0177</v>
      </c>
      <c r="L46" s="26">
        <v>46087</v>
      </c>
      <c r="M46" s="34" t="s">
        <v>352</v>
      </c>
      <c r="N46" s="27" t="s">
        <v>353</v>
      </c>
      <c r="O46" s="28">
        <v>0</v>
      </c>
      <c r="P46" s="27" t="s">
        <v>354</v>
      </c>
      <c r="Q46" s="29">
        <v>2525351692</v>
      </c>
      <c r="R46" s="30">
        <v>2110798744</v>
      </c>
      <c r="S46" s="31" t="s">
        <v>73</v>
      </c>
      <c r="T46" s="24" t="s">
        <v>91</v>
      </c>
      <c r="U46" s="24" t="s">
        <v>75</v>
      </c>
      <c r="V46" s="32" t="s">
        <v>355</v>
      </c>
      <c r="W46" s="32" t="s">
        <v>251</v>
      </c>
      <c r="X46" s="32" t="s">
        <v>251</v>
      </c>
      <c r="Y46" s="24">
        <v>1019</v>
      </c>
      <c r="Z46" s="24">
        <v>17</v>
      </c>
      <c r="AA46" s="24">
        <f t="shared" si="8"/>
        <v>968.05</v>
      </c>
      <c r="AB46" s="24">
        <f t="shared" si="0"/>
        <v>17323</v>
      </c>
      <c r="AC46" s="24">
        <f t="shared" si="1"/>
        <v>16456.849999999999</v>
      </c>
      <c r="AD46" s="24">
        <f t="shared" si="2"/>
        <v>16456.849999999999</v>
      </c>
      <c r="AE46" s="24">
        <f t="shared" si="3"/>
        <v>866.15000000000146</v>
      </c>
      <c r="AF46" s="24">
        <f t="shared" ref="AF46:AF56" si="26">+AD46*1%</f>
        <v>164.5685</v>
      </c>
      <c r="AG46" s="33">
        <v>3500</v>
      </c>
      <c r="AH46" s="24"/>
      <c r="AI46" s="24"/>
      <c r="AJ46" s="24"/>
      <c r="AK46" s="24"/>
      <c r="AL46" s="24"/>
      <c r="AM46" s="24" t="s">
        <v>79</v>
      </c>
      <c r="AN46" s="34" t="s">
        <v>356</v>
      </c>
      <c r="AO46" s="35" t="s">
        <v>81</v>
      </c>
      <c r="AP46" s="24">
        <f>230*2</f>
        <v>460</v>
      </c>
      <c r="AQ46" s="36">
        <f t="shared" si="10"/>
        <v>141.53846153846155</v>
      </c>
      <c r="AR46" s="37">
        <v>148</v>
      </c>
      <c r="AS46" s="38">
        <f t="shared" si="11"/>
        <v>6.4615384615384528</v>
      </c>
      <c r="AT46" s="39"/>
      <c r="AU46" s="38">
        <f t="shared" si="12"/>
        <v>6.4615384615384528</v>
      </c>
      <c r="AV46" s="40">
        <v>91.99</v>
      </c>
      <c r="AW46" s="41">
        <f t="shared" si="4"/>
        <v>13614.519999999999</v>
      </c>
      <c r="AX46" s="24">
        <f t="shared" si="21"/>
        <v>103.99632979579931</v>
      </c>
      <c r="AY46" s="24"/>
      <c r="AZ46" s="24"/>
      <c r="BA46" s="24"/>
      <c r="BB46" s="24">
        <f t="shared" si="13"/>
        <v>0</v>
      </c>
      <c r="BC46" s="24">
        <f t="shared" si="14"/>
        <v>-822.23849999999948</v>
      </c>
      <c r="BD46" s="24">
        <v>135</v>
      </c>
      <c r="BE46" s="24">
        <v>135</v>
      </c>
      <c r="BF46" s="24"/>
      <c r="BG46" s="24">
        <f t="shared" ref="BG46:BG51" si="27">+AB46*9.5%</f>
        <v>1645.6849999999999</v>
      </c>
      <c r="BH46" s="24"/>
      <c r="BI46" s="24"/>
      <c r="BJ46" s="24">
        <f t="shared" si="15"/>
        <v>16.456849999999999</v>
      </c>
      <c r="BK46" s="24">
        <f t="shared" si="16"/>
        <v>1076.9896500000004</v>
      </c>
      <c r="BL46" s="24" t="s">
        <v>261</v>
      </c>
      <c r="BM46" s="42">
        <f t="shared" si="6"/>
        <v>2</v>
      </c>
      <c r="BN46" s="24" t="s">
        <v>83</v>
      </c>
      <c r="BO46" s="2" t="s">
        <v>84</v>
      </c>
    </row>
    <row r="47" spans="1:67" s="1" customFormat="1" ht="15" customHeight="1" x14ac:dyDescent="0.3">
      <c r="A47" s="43">
        <v>43</v>
      </c>
      <c r="B47" s="21">
        <v>46086</v>
      </c>
      <c r="C47" s="21">
        <v>46102</v>
      </c>
      <c r="D47" s="52" t="s">
        <v>351</v>
      </c>
      <c r="E47" s="23">
        <v>46104</v>
      </c>
      <c r="F47" s="23" t="s">
        <v>7</v>
      </c>
      <c r="G47" s="24" t="s">
        <v>68</v>
      </c>
      <c r="H47" s="24" t="s">
        <v>69</v>
      </c>
      <c r="I47" s="24" t="s">
        <v>166</v>
      </c>
      <c r="J47" s="25" t="s">
        <v>255</v>
      </c>
      <c r="K47" s="45" t="str">
        <f t="shared" si="7"/>
        <v>WB41H0177</v>
      </c>
      <c r="L47" s="26">
        <v>46087</v>
      </c>
      <c r="M47" s="34" t="s">
        <v>357</v>
      </c>
      <c r="N47" s="27" t="s">
        <v>358</v>
      </c>
      <c r="O47" s="28">
        <v>0</v>
      </c>
      <c r="P47" s="27" t="s">
        <v>359</v>
      </c>
      <c r="Q47" s="29">
        <v>2525351697</v>
      </c>
      <c r="R47" s="30">
        <v>2110798745</v>
      </c>
      <c r="S47" s="31" t="s">
        <v>73</v>
      </c>
      <c r="T47" s="24" t="s">
        <v>91</v>
      </c>
      <c r="U47" s="24" t="s">
        <v>75</v>
      </c>
      <c r="V47" s="32" t="s">
        <v>355</v>
      </c>
      <c r="W47" s="32" t="s">
        <v>251</v>
      </c>
      <c r="X47" s="32" t="s">
        <v>251</v>
      </c>
      <c r="Y47" s="24">
        <v>1019</v>
      </c>
      <c r="Z47" s="24">
        <v>8</v>
      </c>
      <c r="AA47" s="24">
        <f t="shared" si="8"/>
        <v>968.05</v>
      </c>
      <c r="AB47" s="24">
        <f t="shared" si="0"/>
        <v>8152</v>
      </c>
      <c r="AC47" s="24">
        <f t="shared" si="1"/>
        <v>7744.4</v>
      </c>
      <c r="AD47" s="24">
        <f t="shared" si="2"/>
        <v>7744.4</v>
      </c>
      <c r="AE47" s="24">
        <f t="shared" si="3"/>
        <v>407.60000000000036</v>
      </c>
      <c r="AF47" s="24">
        <f t="shared" si="26"/>
        <v>77.444000000000003</v>
      </c>
      <c r="AG47" s="31">
        <v>0</v>
      </c>
      <c r="AH47" s="24"/>
      <c r="AI47" s="24"/>
      <c r="AJ47" s="24"/>
      <c r="AK47" s="24"/>
      <c r="AL47" s="24"/>
      <c r="AM47" s="24">
        <v>0</v>
      </c>
      <c r="AN47" s="34" t="s">
        <v>213</v>
      </c>
      <c r="AO47" s="35"/>
      <c r="AP47" s="24"/>
      <c r="AQ47" s="36">
        <f t="shared" si="10"/>
        <v>0</v>
      </c>
      <c r="AR47" s="16">
        <v>0</v>
      </c>
      <c r="AS47" s="47">
        <f t="shared" si="11"/>
        <v>0</v>
      </c>
      <c r="AT47" s="31"/>
      <c r="AU47" s="47">
        <f t="shared" si="12"/>
        <v>0</v>
      </c>
      <c r="AV47" s="48">
        <v>91.99</v>
      </c>
      <c r="AW47" s="24">
        <f t="shared" si="4"/>
        <v>0</v>
      </c>
      <c r="AX47" s="24">
        <f t="shared" si="21"/>
        <v>0</v>
      </c>
      <c r="AY47" s="24"/>
      <c r="AZ47" s="24"/>
      <c r="BA47" s="24"/>
      <c r="BB47" s="24">
        <f t="shared" si="13"/>
        <v>0</v>
      </c>
      <c r="BC47" s="24">
        <f t="shared" si="14"/>
        <v>7666.9559999999992</v>
      </c>
      <c r="BD47" s="24">
        <v>0</v>
      </c>
      <c r="BE47" s="24">
        <v>0</v>
      </c>
      <c r="BF47" s="24"/>
      <c r="BG47" s="24">
        <f t="shared" si="27"/>
        <v>774.44</v>
      </c>
      <c r="BH47" s="24"/>
      <c r="BI47" s="24"/>
      <c r="BJ47" s="24">
        <f t="shared" si="15"/>
        <v>7.7444000000000006</v>
      </c>
      <c r="BK47" s="24">
        <f t="shared" si="16"/>
        <v>8433.6515999999992</v>
      </c>
      <c r="BL47" s="24" t="s">
        <v>261</v>
      </c>
      <c r="BM47" s="42">
        <f t="shared" si="6"/>
        <v>2</v>
      </c>
      <c r="BN47" s="24" t="s">
        <v>83</v>
      </c>
      <c r="BO47" s="2" t="s">
        <v>84</v>
      </c>
    </row>
    <row r="48" spans="1:67" s="1" customFormat="1" ht="15" customHeight="1" x14ac:dyDescent="0.3">
      <c r="A48" s="20">
        <v>44</v>
      </c>
      <c r="B48" s="21">
        <v>46086</v>
      </c>
      <c r="C48" s="21">
        <v>46097</v>
      </c>
      <c r="D48" s="50" t="s">
        <v>343</v>
      </c>
      <c r="E48" s="23">
        <v>46097</v>
      </c>
      <c r="F48" s="23" t="s">
        <v>7</v>
      </c>
      <c r="G48" s="24" t="s">
        <v>68</v>
      </c>
      <c r="H48" s="24" t="s">
        <v>69</v>
      </c>
      <c r="I48" s="24" t="s">
        <v>166</v>
      </c>
      <c r="J48" s="25" t="s">
        <v>360</v>
      </c>
      <c r="K48" s="45" t="str">
        <f t="shared" si="7"/>
        <v>WB41H6585</v>
      </c>
      <c r="L48" s="26">
        <v>46087</v>
      </c>
      <c r="M48" s="34" t="s">
        <v>361</v>
      </c>
      <c r="N48" s="27" t="s">
        <v>362</v>
      </c>
      <c r="O48" s="28">
        <v>0</v>
      </c>
      <c r="P48" s="27" t="s">
        <v>363</v>
      </c>
      <c r="Q48" s="29">
        <v>2590193638</v>
      </c>
      <c r="R48" s="30">
        <v>2160371837</v>
      </c>
      <c r="S48" s="31" t="s">
        <v>73</v>
      </c>
      <c r="T48" s="24" t="s">
        <v>91</v>
      </c>
      <c r="U48" s="24" t="s">
        <v>347</v>
      </c>
      <c r="V48" s="32" t="s">
        <v>348</v>
      </c>
      <c r="W48" s="32" t="s">
        <v>349</v>
      </c>
      <c r="X48" s="32"/>
      <c r="Y48" s="24">
        <v>706</v>
      </c>
      <c r="Z48" s="24">
        <v>25</v>
      </c>
      <c r="AA48" s="24">
        <f t="shared" si="8"/>
        <v>670.69999999999993</v>
      </c>
      <c r="AB48" s="24">
        <f t="shared" si="0"/>
        <v>17650</v>
      </c>
      <c r="AC48" s="24">
        <f t="shared" si="1"/>
        <v>16767.5</v>
      </c>
      <c r="AD48" s="24">
        <f t="shared" si="2"/>
        <v>16767.5</v>
      </c>
      <c r="AE48" s="24">
        <f t="shared" si="3"/>
        <v>882.5</v>
      </c>
      <c r="AF48" s="24">
        <v>0</v>
      </c>
      <c r="AG48" s="33">
        <v>3500</v>
      </c>
      <c r="AH48" s="24"/>
      <c r="AI48" s="24"/>
      <c r="AJ48" s="24"/>
      <c r="AK48" s="24"/>
      <c r="AL48" s="24"/>
      <c r="AM48" s="24" t="s">
        <v>79</v>
      </c>
      <c r="AN48" s="34" t="s">
        <v>364</v>
      </c>
      <c r="AO48" s="35" t="s">
        <v>81</v>
      </c>
      <c r="AP48" s="24">
        <f>129*2</f>
        <v>258</v>
      </c>
      <c r="AQ48" s="36">
        <f t="shared" si="10"/>
        <v>79.384615384615387</v>
      </c>
      <c r="AR48" s="37">
        <v>70</v>
      </c>
      <c r="AS48" s="47">
        <f t="shared" si="11"/>
        <v>-9.3846153846153868</v>
      </c>
      <c r="AT48" s="31"/>
      <c r="AU48" s="47">
        <f t="shared" si="12"/>
        <v>-9.3846153846153868</v>
      </c>
      <c r="AV48" s="40">
        <v>91.99</v>
      </c>
      <c r="AW48" s="41">
        <f t="shared" si="4"/>
        <v>6439.2999999999993</v>
      </c>
      <c r="AX48" s="24">
        <f t="shared" si="21"/>
        <v>59.277173102728483</v>
      </c>
      <c r="AY48" s="24"/>
      <c r="AZ48" s="24"/>
      <c r="BA48" s="24"/>
      <c r="BB48" s="24">
        <f t="shared" si="13"/>
        <v>0</v>
      </c>
      <c r="BC48" s="24">
        <f t="shared" si="14"/>
        <v>6828.2000000000007</v>
      </c>
      <c r="BD48" s="24"/>
      <c r="BE48" s="24"/>
      <c r="BF48" s="24"/>
      <c r="BG48" s="24">
        <f t="shared" si="27"/>
        <v>1676.75</v>
      </c>
      <c r="BH48" s="24"/>
      <c r="BI48" s="24"/>
      <c r="BJ48" s="24">
        <f t="shared" si="15"/>
        <v>16.767500000000002</v>
      </c>
      <c r="BK48" s="24">
        <f t="shared" si="16"/>
        <v>8488.1825000000008</v>
      </c>
      <c r="BL48" s="24" t="s">
        <v>365</v>
      </c>
      <c r="BM48" s="42">
        <f t="shared" si="6"/>
        <v>2</v>
      </c>
      <c r="BN48" s="24" t="s">
        <v>83</v>
      </c>
      <c r="BO48" s="2" t="s">
        <v>148</v>
      </c>
    </row>
    <row r="49" spans="1:67" s="1" customFormat="1" ht="15" customHeight="1" x14ac:dyDescent="0.3">
      <c r="A49" s="20">
        <v>45</v>
      </c>
      <c r="B49" s="21">
        <v>46086</v>
      </c>
      <c r="C49" s="21">
        <v>46097</v>
      </c>
      <c r="D49" s="56" t="s">
        <v>176</v>
      </c>
      <c r="E49" s="23">
        <v>46097</v>
      </c>
      <c r="F49" s="23" t="s">
        <v>7</v>
      </c>
      <c r="G49" s="24" t="s">
        <v>68</v>
      </c>
      <c r="H49" s="24" t="s">
        <v>69</v>
      </c>
      <c r="I49" s="24" t="s">
        <v>236</v>
      </c>
      <c r="J49" s="25" t="s">
        <v>366</v>
      </c>
      <c r="K49" s="45" t="str">
        <f t="shared" si="7"/>
        <v>WB41J5775</v>
      </c>
      <c r="L49" s="26">
        <v>46087</v>
      </c>
      <c r="M49" s="34" t="s">
        <v>367</v>
      </c>
      <c r="N49" s="27" t="s">
        <v>368</v>
      </c>
      <c r="O49" s="28">
        <v>0</v>
      </c>
      <c r="P49" s="27" t="s">
        <v>369</v>
      </c>
      <c r="Q49" s="29">
        <v>2525351715</v>
      </c>
      <c r="R49" s="30">
        <v>2110798748</v>
      </c>
      <c r="S49" s="31" t="s">
        <v>73</v>
      </c>
      <c r="T49" s="24" t="s">
        <v>91</v>
      </c>
      <c r="U49" s="24" t="s">
        <v>75</v>
      </c>
      <c r="V49" s="32" t="s">
        <v>152</v>
      </c>
      <c r="W49" s="32" t="s">
        <v>153</v>
      </c>
      <c r="X49" s="32"/>
      <c r="Y49" s="24">
        <v>1022</v>
      </c>
      <c r="Z49" s="24">
        <v>25</v>
      </c>
      <c r="AA49" s="24">
        <f t="shared" si="8"/>
        <v>970.90000000000009</v>
      </c>
      <c r="AB49" s="24">
        <f t="shared" si="0"/>
        <v>25550</v>
      </c>
      <c r="AC49" s="24">
        <f t="shared" si="1"/>
        <v>24272.5</v>
      </c>
      <c r="AD49" s="24">
        <f t="shared" si="2"/>
        <v>24272.500000000004</v>
      </c>
      <c r="AE49" s="24">
        <f t="shared" si="3"/>
        <v>1277.4999999999964</v>
      </c>
      <c r="AF49" s="24">
        <v>0</v>
      </c>
      <c r="AG49" s="33">
        <v>4700</v>
      </c>
      <c r="AH49" s="24"/>
      <c r="AI49" s="24"/>
      <c r="AJ49" s="24"/>
      <c r="AK49" s="24"/>
      <c r="AL49" s="24"/>
      <c r="AM49" s="24" t="s">
        <v>79</v>
      </c>
      <c r="AN49" s="34" t="s">
        <v>370</v>
      </c>
      <c r="AO49" s="35" t="s">
        <v>81</v>
      </c>
      <c r="AP49" s="24">
        <f>248*2</f>
        <v>496</v>
      </c>
      <c r="AQ49" s="36">
        <f t="shared" si="10"/>
        <v>152.61538461538461</v>
      </c>
      <c r="AR49" s="37">
        <v>155</v>
      </c>
      <c r="AS49" s="38">
        <f t="shared" si="11"/>
        <v>2.3846153846153868</v>
      </c>
      <c r="AT49" s="39"/>
      <c r="AU49" s="38">
        <f t="shared" si="12"/>
        <v>2.3846153846153868</v>
      </c>
      <c r="AV49" s="40">
        <v>91.99</v>
      </c>
      <c r="AW49" s="41">
        <f t="shared" si="4"/>
        <v>14258.449999999999</v>
      </c>
      <c r="AX49" s="24">
        <f t="shared" si="21"/>
        <v>78.106705118961756</v>
      </c>
      <c r="AY49" s="24"/>
      <c r="AZ49" s="24"/>
      <c r="BA49" s="24"/>
      <c r="BB49" s="24">
        <f t="shared" si="13"/>
        <v>0</v>
      </c>
      <c r="BC49" s="24">
        <f t="shared" si="14"/>
        <v>5314.0500000000047</v>
      </c>
      <c r="BD49" s="24"/>
      <c r="BE49" s="24"/>
      <c r="BF49" s="24"/>
      <c r="BG49" s="24">
        <f t="shared" si="27"/>
        <v>2427.25</v>
      </c>
      <c r="BH49" s="24"/>
      <c r="BI49" s="24"/>
      <c r="BJ49" s="24">
        <f t="shared" si="15"/>
        <v>24.272500000000001</v>
      </c>
      <c r="BK49" s="24">
        <f t="shared" si="16"/>
        <v>7717.0275000000047</v>
      </c>
      <c r="BL49" s="24" t="s">
        <v>245</v>
      </c>
      <c r="BM49" s="42">
        <f t="shared" si="6"/>
        <v>2</v>
      </c>
      <c r="BN49" s="24" t="s">
        <v>83</v>
      </c>
      <c r="BO49" s="2" t="s">
        <v>148</v>
      </c>
    </row>
    <row r="50" spans="1:67" s="1" customFormat="1" ht="15" customHeight="1" x14ac:dyDescent="0.3">
      <c r="A50" s="43">
        <v>46</v>
      </c>
      <c r="B50" s="21">
        <v>46086</v>
      </c>
      <c r="C50" s="21">
        <v>46097</v>
      </c>
      <c r="D50" s="52" t="s">
        <v>97</v>
      </c>
      <c r="E50" s="23">
        <v>46104</v>
      </c>
      <c r="F50" s="23" t="s">
        <v>7</v>
      </c>
      <c r="G50" s="24" t="s">
        <v>87</v>
      </c>
      <c r="H50" s="24" t="s">
        <v>69</v>
      </c>
      <c r="I50" s="24" t="s">
        <v>371</v>
      </c>
      <c r="J50" s="25" t="s">
        <v>372</v>
      </c>
      <c r="K50" s="45" t="str">
        <f t="shared" si="7"/>
        <v>WB39C7433</v>
      </c>
      <c r="L50" s="26">
        <v>46087</v>
      </c>
      <c r="M50" s="34" t="s">
        <v>373</v>
      </c>
      <c r="N50" s="27" t="s">
        <v>374</v>
      </c>
      <c r="O50" s="28">
        <v>0</v>
      </c>
      <c r="P50" s="27"/>
      <c r="Q50" s="29">
        <v>2525351747</v>
      </c>
      <c r="R50" s="30">
        <v>2110798288</v>
      </c>
      <c r="S50" s="54" t="s">
        <v>73</v>
      </c>
      <c r="T50" s="24" t="s">
        <v>91</v>
      </c>
      <c r="U50" s="24" t="s">
        <v>75</v>
      </c>
      <c r="V50" s="32" t="s">
        <v>375</v>
      </c>
      <c r="W50" s="32" t="s">
        <v>376</v>
      </c>
      <c r="X50" s="32" t="s">
        <v>377</v>
      </c>
      <c r="Y50" s="24">
        <v>741</v>
      </c>
      <c r="Z50" s="24">
        <v>25</v>
      </c>
      <c r="AA50" s="24">
        <f t="shared" si="8"/>
        <v>703.95</v>
      </c>
      <c r="AB50" s="24">
        <f t="shared" si="0"/>
        <v>18525</v>
      </c>
      <c r="AC50" s="24">
        <f t="shared" si="1"/>
        <v>17598.75</v>
      </c>
      <c r="AD50" s="24">
        <f t="shared" si="2"/>
        <v>17598.75</v>
      </c>
      <c r="AE50" s="24">
        <f t="shared" si="3"/>
        <v>926.25</v>
      </c>
      <c r="AF50" s="24">
        <f>+AD50*1%</f>
        <v>175.98750000000001</v>
      </c>
      <c r="AG50" s="33">
        <v>4300</v>
      </c>
      <c r="AH50" s="24"/>
      <c r="AI50" s="24"/>
      <c r="AJ50" s="24">
        <v>100</v>
      </c>
      <c r="AK50" s="24">
        <v>115</v>
      </c>
      <c r="AL50" s="24">
        <v>1500</v>
      </c>
      <c r="AM50" s="24" t="s">
        <v>79</v>
      </c>
      <c r="AN50" s="34" t="s">
        <v>378</v>
      </c>
      <c r="AO50" s="35" t="s">
        <v>81</v>
      </c>
      <c r="AP50" s="24">
        <f>164*2</f>
        <v>328</v>
      </c>
      <c r="AQ50" s="36">
        <f t="shared" si="10"/>
        <v>100.92307692307692</v>
      </c>
      <c r="AR50" s="37">
        <v>90</v>
      </c>
      <c r="AS50" s="38">
        <f t="shared" si="11"/>
        <v>-10.92307692307692</v>
      </c>
      <c r="AT50" s="39"/>
      <c r="AU50" s="38">
        <f t="shared" si="12"/>
        <v>-10.92307692307692</v>
      </c>
      <c r="AV50" s="40">
        <v>91.99</v>
      </c>
      <c r="AW50" s="41">
        <f t="shared" si="4"/>
        <v>8279.1</v>
      </c>
      <c r="AX50" s="24">
        <f t="shared" si="21"/>
        <v>71.477235599119254</v>
      </c>
      <c r="AY50" s="24"/>
      <c r="AZ50" s="24"/>
      <c r="BA50" s="24"/>
      <c r="BB50" s="24">
        <f t="shared" si="13"/>
        <v>0</v>
      </c>
      <c r="BC50" s="24">
        <f t="shared" si="14"/>
        <v>3128.6625000000004</v>
      </c>
      <c r="BD50" s="24"/>
      <c r="BE50" s="24"/>
      <c r="BF50" s="24"/>
      <c r="BG50" s="24">
        <f t="shared" si="27"/>
        <v>1759.875</v>
      </c>
      <c r="BH50" s="24"/>
      <c r="BI50" s="24"/>
      <c r="BJ50" s="24">
        <f t="shared" si="15"/>
        <v>17.598749999999999</v>
      </c>
      <c r="BK50" s="24">
        <f t="shared" si="16"/>
        <v>4870.9387500000003</v>
      </c>
      <c r="BL50" s="24" t="s">
        <v>379</v>
      </c>
      <c r="BM50" s="42">
        <f t="shared" si="6"/>
        <v>2</v>
      </c>
      <c r="BN50" s="24" t="s">
        <v>83</v>
      </c>
      <c r="BO50" s="2" t="s">
        <v>129</v>
      </c>
    </row>
    <row r="51" spans="1:67" s="1" customFormat="1" ht="15" customHeight="1" x14ac:dyDescent="0.3">
      <c r="A51" s="20">
        <v>47</v>
      </c>
      <c r="B51" s="21">
        <v>46086</v>
      </c>
      <c r="C51" s="21">
        <v>46097</v>
      </c>
      <c r="D51" s="50" t="s">
        <v>380</v>
      </c>
      <c r="E51" s="23">
        <v>46097</v>
      </c>
      <c r="F51" s="23" t="s">
        <v>7</v>
      </c>
      <c r="G51" s="24" t="s">
        <v>68</v>
      </c>
      <c r="H51" s="24" t="s">
        <v>69</v>
      </c>
      <c r="I51" s="24" t="s">
        <v>381</v>
      </c>
      <c r="J51" s="25" t="s">
        <v>382</v>
      </c>
      <c r="K51" s="45" t="str">
        <f t="shared" si="7"/>
        <v>WB41K2967</v>
      </c>
      <c r="L51" s="26">
        <v>46087</v>
      </c>
      <c r="M51" s="34" t="s">
        <v>383</v>
      </c>
      <c r="N51" s="27" t="s">
        <v>384</v>
      </c>
      <c r="O51" s="28">
        <v>0</v>
      </c>
      <c r="P51" s="27" t="s">
        <v>385</v>
      </c>
      <c r="Q51" s="29">
        <v>2590193710</v>
      </c>
      <c r="R51" s="30">
        <v>2160371964</v>
      </c>
      <c r="S51" s="31" t="s">
        <v>73</v>
      </c>
      <c r="T51" s="24" t="s">
        <v>241</v>
      </c>
      <c r="U51" s="24" t="s">
        <v>347</v>
      </c>
      <c r="V51" s="32" t="s">
        <v>386</v>
      </c>
      <c r="W51" s="32" t="s">
        <v>349</v>
      </c>
      <c r="X51" s="32"/>
      <c r="Y51" s="24">
        <v>1002</v>
      </c>
      <c r="Z51" s="24">
        <v>30</v>
      </c>
      <c r="AA51" s="24">
        <f t="shared" si="8"/>
        <v>951.9</v>
      </c>
      <c r="AB51" s="24">
        <f t="shared" si="0"/>
        <v>30060</v>
      </c>
      <c r="AC51" s="24">
        <f t="shared" si="1"/>
        <v>28557.000000000004</v>
      </c>
      <c r="AD51" s="24">
        <f t="shared" si="2"/>
        <v>28557</v>
      </c>
      <c r="AE51" s="24">
        <f t="shared" si="3"/>
        <v>1503</v>
      </c>
      <c r="AF51" s="24">
        <f t="shared" si="26"/>
        <v>285.57</v>
      </c>
      <c r="AG51" s="33">
        <v>3500</v>
      </c>
      <c r="AH51" s="24"/>
      <c r="AI51" s="24"/>
      <c r="AJ51" s="24"/>
      <c r="AK51" s="24"/>
      <c r="AL51" s="24"/>
      <c r="AM51" s="24" t="s">
        <v>79</v>
      </c>
      <c r="AN51" s="34" t="s">
        <v>387</v>
      </c>
      <c r="AO51" s="35" t="s">
        <v>81</v>
      </c>
      <c r="AP51" s="24">
        <f>269*2</f>
        <v>538</v>
      </c>
      <c r="AQ51" s="36">
        <f t="shared" si="10"/>
        <v>165.53846153846155</v>
      </c>
      <c r="AR51" s="37">
        <v>178</v>
      </c>
      <c r="AS51" s="38">
        <f t="shared" si="11"/>
        <v>12.461538461538453</v>
      </c>
      <c r="AT51" s="39"/>
      <c r="AU51" s="38">
        <f t="shared" si="12"/>
        <v>12.461538461538453</v>
      </c>
      <c r="AV51" s="40">
        <v>91.99</v>
      </c>
      <c r="AW51" s="41">
        <f t="shared" si="4"/>
        <v>16374.22</v>
      </c>
      <c r="AX51" s="24">
        <f t="shared" si="21"/>
        <v>69.59491543229332</v>
      </c>
      <c r="AY51" s="24"/>
      <c r="AZ51" s="24"/>
      <c r="BA51" s="24"/>
      <c r="BB51" s="24">
        <f t="shared" si="13"/>
        <v>0</v>
      </c>
      <c r="BC51" s="24">
        <f t="shared" si="14"/>
        <v>8397.2100000000009</v>
      </c>
      <c r="BD51" s="24"/>
      <c r="BE51" s="24"/>
      <c r="BF51" s="24"/>
      <c r="BG51" s="24">
        <f t="shared" si="27"/>
        <v>2855.7</v>
      </c>
      <c r="BH51" s="24"/>
      <c r="BI51" s="24"/>
      <c r="BJ51" s="24">
        <f t="shared" si="15"/>
        <v>28.556999999999999</v>
      </c>
      <c r="BK51" s="24">
        <f t="shared" si="16"/>
        <v>11224.352999999999</v>
      </c>
      <c r="BL51" s="24" t="s">
        <v>261</v>
      </c>
      <c r="BM51" s="42">
        <f t="shared" si="6"/>
        <v>2</v>
      </c>
      <c r="BN51" s="24" t="s">
        <v>83</v>
      </c>
      <c r="BO51" s="2" t="s">
        <v>148</v>
      </c>
    </row>
    <row r="52" spans="1:67" s="1" customFormat="1" ht="15" customHeight="1" x14ac:dyDescent="0.3">
      <c r="A52" s="20">
        <v>48</v>
      </c>
      <c r="B52" s="21">
        <v>46086</v>
      </c>
      <c r="C52" s="21">
        <v>46097</v>
      </c>
      <c r="D52" s="50" t="s">
        <v>388</v>
      </c>
      <c r="E52" s="23">
        <v>46097</v>
      </c>
      <c r="F52" s="23" t="s">
        <v>7</v>
      </c>
      <c r="G52" s="24" t="s">
        <v>68</v>
      </c>
      <c r="H52" s="24" t="s">
        <v>69</v>
      </c>
      <c r="I52" s="24" t="s">
        <v>389</v>
      </c>
      <c r="J52" s="25" t="s">
        <v>390</v>
      </c>
      <c r="K52" s="45" t="str">
        <f t="shared" si="7"/>
        <v>WB39G6846</v>
      </c>
      <c r="L52" s="26">
        <v>46087</v>
      </c>
      <c r="M52" s="34" t="s">
        <v>391</v>
      </c>
      <c r="N52" s="27" t="s">
        <v>392</v>
      </c>
      <c r="O52" s="28">
        <v>0</v>
      </c>
      <c r="P52" s="27" t="s">
        <v>393</v>
      </c>
      <c r="Q52" s="29">
        <v>2525351913</v>
      </c>
      <c r="R52" s="30">
        <v>2110798877</v>
      </c>
      <c r="S52" s="31" t="s">
        <v>73</v>
      </c>
      <c r="T52" s="24" t="s">
        <v>91</v>
      </c>
      <c r="U52" s="24" t="s">
        <v>75</v>
      </c>
      <c r="V52" s="32" t="s">
        <v>394</v>
      </c>
      <c r="W52" s="32" t="s">
        <v>395</v>
      </c>
      <c r="X52" s="32"/>
      <c r="Y52" s="24">
        <v>608</v>
      </c>
      <c r="Z52" s="24">
        <v>25</v>
      </c>
      <c r="AA52" s="24">
        <f t="shared" si="8"/>
        <v>577.6</v>
      </c>
      <c r="AB52" s="24">
        <f t="shared" si="0"/>
        <v>15200</v>
      </c>
      <c r="AC52" s="24">
        <f t="shared" si="1"/>
        <v>14440</v>
      </c>
      <c r="AD52" s="24">
        <f t="shared" si="2"/>
        <v>14440</v>
      </c>
      <c r="AE52" s="24">
        <f t="shared" si="3"/>
        <v>760</v>
      </c>
      <c r="AF52" s="24">
        <v>0</v>
      </c>
      <c r="AG52" s="33">
        <v>6700</v>
      </c>
      <c r="AH52" s="24"/>
      <c r="AI52" s="24"/>
      <c r="AJ52" s="24"/>
      <c r="AK52" s="24"/>
      <c r="AL52" s="24"/>
      <c r="AM52" s="24" t="s">
        <v>79</v>
      </c>
      <c r="AN52" s="34" t="s">
        <v>396</v>
      </c>
      <c r="AO52" s="35" t="s">
        <v>81</v>
      </c>
      <c r="AP52" s="24">
        <f>123*2</f>
        <v>246</v>
      </c>
      <c r="AQ52" s="36">
        <f t="shared" si="10"/>
        <v>75.692307692307693</v>
      </c>
      <c r="AR52" s="37">
        <v>100</v>
      </c>
      <c r="AS52" s="38">
        <f t="shared" si="11"/>
        <v>24.307692307692307</v>
      </c>
      <c r="AT52" s="39"/>
      <c r="AU52" s="38">
        <f t="shared" si="12"/>
        <v>24.307692307692307</v>
      </c>
      <c r="AV52" s="40">
        <v>91.99</v>
      </c>
      <c r="AW52" s="41">
        <f t="shared" si="4"/>
        <v>9199</v>
      </c>
      <c r="AX52" s="24">
        <f t="shared" si="21"/>
        <v>110.10387811634349</v>
      </c>
      <c r="AY52" s="24"/>
      <c r="AZ52" s="24"/>
      <c r="BA52" s="24"/>
      <c r="BB52" s="24">
        <f t="shared" si="13"/>
        <v>0</v>
      </c>
      <c r="BC52" s="24">
        <f t="shared" si="14"/>
        <v>-1459</v>
      </c>
      <c r="BD52" s="24">
        <v>120</v>
      </c>
      <c r="BE52" s="24">
        <v>120</v>
      </c>
      <c r="BF52" s="24"/>
      <c r="BG52" s="24">
        <v>0</v>
      </c>
      <c r="BH52" s="24"/>
      <c r="BI52" s="24"/>
      <c r="BJ52" s="24">
        <f t="shared" si="15"/>
        <v>0</v>
      </c>
      <c r="BK52" s="24">
        <f t="shared" si="16"/>
        <v>-1219</v>
      </c>
      <c r="BL52" s="24" t="s">
        <v>116</v>
      </c>
      <c r="BM52" s="42">
        <f t="shared" si="6"/>
        <v>2</v>
      </c>
      <c r="BN52" s="24" t="s">
        <v>83</v>
      </c>
      <c r="BO52" s="2" t="s">
        <v>148</v>
      </c>
    </row>
    <row r="53" spans="1:67" s="1" customFormat="1" ht="15" customHeight="1" x14ac:dyDescent="0.3">
      <c r="A53" s="43">
        <v>49</v>
      </c>
      <c r="B53" s="21">
        <v>46086</v>
      </c>
      <c r="C53" s="21">
        <v>46097</v>
      </c>
      <c r="D53" s="50" t="s">
        <v>335</v>
      </c>
      <c r="E53" s="23">
        <v>46097</v>
      </c>
      <c r="F53" s="23" t="s">
        <v>7</v>
      </c>
      <c r="G53" s="24" t="s">
        <v>68</v>
      </c>
      <c r="H53" s="24" t="s">
        <v>69</v>
      </c>
      <c r="I53" s="24" t="s">
        <v>397</v>
      </c>
      <c r="J53" s="25" t="s">
        <v>398</v>
      </c>
      <c r="K53" s="45" t="str">
        <f t="shared" si="7"/>
        <v>WB33C6016</v>
      </c>
      <c r="L53" s="26">
        <v>46087</v>
      </c>
      <c r="M53" s="34" t="s">
        <v>399</v>
      </c>
      <c r="N53" s="27" t="s">
        <v>400</v>
      </c>
      <c r="O53" s="28">
        <v>0</v>
      </c>
      <c r="P53" s="27" t="s">
        <v>401</v>
      </c>
      <c r="Q53" s="29">
        <v>2525352044</v>
      </c>
      <c r="R53" s="30">
        <v>2110798937</v>
      </c>
      <c r="S53" s="31" t="s">
        <v>73</v>
      </c>
      <c r="T53" s="24" t="s">
        <v>74</v>
      </c>
      <c r="U53" s="24" t="s">
        <v>75</v>
      </c>
      <c r="V53" s="32" t="s">
        <v>402</v>
      </c>
      <c r="W53" s="32" t="s">
        <v>403</v>
      </c>
      <c r="X53" s="32"/>
      <c r="Y53" s="24">
        <v>794</v>
      </c>
      <c r="Z53" s="24">
        <v>19</v>
      </c>
      <c r="AA53" s="24">
        <f t="shared" si="8"/>
        <v>754.30000000000007</v>
      </c>
      <c r="AB53" s="24">
        <f t="shared" si="0"/>
        <v>15086</v>
      </c>
      <c r="AC53" s="24">
        <f t="shared" si="1"/>
        <v>14331.7</v>
      </c>
      <c r="AD53" s="24">
        <f t="shared" si="2"/>
        <v>14331.7</v>
      </c>
      <c r="AE53" s="24">
        <f t="shared" si="3"/>
        <v>754.29999999999927</v>
      </c>
      <c r="AF53" s="24">
        <f t="shared" si="26"/>
        <v>143.31700000000001</v>
      </c>
      <c r="AG53" s="33">
        <v>2800</v>
      </c>
      <c r="AH53" s="24"/>
      <c r="AI53" s="24"/>
      <c r="AJ53" s="24"/>
      <c r="AK53" s="24"/>
      <c r="AL53" s="24"/>
      <c r="AM53" s="24" t="s">
        <v>79</v>
      </c>
      <c r="AN53" s="34" t="s">
        <v>404</v>
      </c>
      <c r="AO53" s="35" t="s">
        <v>81</v>
      </c>
      <c r="AP53" s="24">
        <f>184*2</f>
        <v>368</v>
      </c>
      <c r="AQ53" s="36">
        <f t="shared" si="10"/>
        <v>113.23076923076923</v>
      </c>
      <c r="AR53" s="37">
        <v>95</v>
      </c>
      <c r="AS53" s="38">
        <f t="shared" si="11"/>
        <v>-18.230769230769226</v>
      </c>
      <c r="AT53" s="39"/>
      <c r="AU53" s="38">
        <f t="shared" si="12"/>
        <v>-18.230769230769226</v>
      </c>
      <c r="AV53" s="40">
        <v>91.88</v>
      </c>
      <c r="AW53" s="41">
        <f t="shared" si="4"/>
        <v>8728.6</v>
      </c>
      <c r="AX53" s="24">
        <f t="shared" si="21"/>
        <v>80.441259585394604</v>
      </c>
      <c r="AY53" s="24"/>
      <c r="AZ53" s="24"/>
      <c r="BA53" s="24"/>
      <c r="BB53" s="24">
        <f t="shared" si="13"/>
        <v>0</v>
      </c>
      <c r="BC53" s="24">
        <f t="shared" si="14"/>
        <v>2659.7830000000013</v>
      </c>
      <c r="BD53" s="24"/>
      <c r="BE53" s="24"/>
      <c r="BF53" s="24"/>
      <c r="BG53" s="24">
        <f>+AD53*8.5%</f>
        <v>1218.1945000000001</v>
      </c>
      <c r="BH53" s="24">
        <f>+AD53*8.5%</f>
        <v>1218.1945000000001</v>
      </c>
      <c r="BI53" s="24"/>
      <c r="BJ53" s="24">
        <f t="shared" si="15"/>
        <v>24.363890000000001</v>
      </c>
      <c r="BK53" s="24">
        <f t="shared" si="16"/>
        <v>5071.8081100000018</v>
      </c>
      <c r="BL53" s="24" t="s">
        <v>405</v>
      </c>
      <c r="BM53" s="42">
        <f t="shared" si="6"/>
        <v>2</v>
      </c>
      <c r="BN53" s="24" t="s">
        <v>83</v>
      </c>
      <c r="BO53" s="2" t="s">
        <v>148</v>
      </c>
    </row>
    <row r="54" spans="1:67" s="1" customFormat="1" ht="15" customHeight="1" x14ac:dyDescent="0.3">
      <c r="A54" s="20">
        <v>50</v>
      </c>
      <c r="B54" s="21">
        <v>46086</v>
      </c>
      <c r="C54" s="21">
        <v>46097</v>
      </c>
      <c r="D54" s="50" t="s">
        <v>343</v>
      </c>
      <c r="E54" s="23">
        <v>46097</v>
      </c>
      <c r="F54" s="23" t="s">
        <v>7</v>
      </c>
      <c r="G54" s="24" t="s">
        <v>68</v>
      </c>
      <c r="H54" s="24" t="s">
        <v>69</v>
      </c>
      <c r="I54" s="24" t="s">
        <v>117</v>
      </c>
      <c r="J54" s="25" t="s">
        <v>118</v>
      </c>
      <c r="K54" s="45" t="str">
        <f t="shared" si="7"/>
        <v>WB37E6348</v>
      </c>
      <c r="L54" s="26">
        <v>46087</v>
      </c>
      <c r="M54" s="34" t="s">
        <v>406</v>
      </c>
      <c r="N54" s="27" t="s">
        <v>407</v>
      </c>
      <c r="O54" s="28">
        <v>0</v>
      </c>
      <c r="P54" s="27" t="s">
        <v>408</v>
      </c>
      <c r="Q54" s="29">
        <v>2590193753</v>
      </c>
      <c r="R54" s="30">
        <v>2160372031</v>
      </c>
      <c r="S54" s="31" t="s">
        <v>73</v>
      </c>
      <c r="T54" s="24" t="s">
        <v>91</v>
      </c>
      <c r="U54" s="24" t="s">
        <v>347</v>
      </c>
      <c r="V54" s="32" t="s">
        <v>348</v>
      </c>
      <c r="W54" s="32" t="s">
        <v>349</v>
      </c>
      <c r="X54" s="32"/>
      <c r="Y54" s="24">
        <v>706</v>
      </c>
      <c r="Z54" s="24">
        <v>25</v>
      </c>
      <c r="AA54" s="24">
        <f t="shared" si="8"/>
        <v>670.69999999999993</v>
      </c>
      <c r="AB54" s="24">
        <f t="shared" si="0"/>
        <v>17650</v>
      </c>
      <c r="AC54" s="24">
        <f t="shared" si="1"/>
        <v>16767.5</v>
      </c>
      <c r="AD54" s="24">
        <f t="shared" si="2"/>
        <v>16767.5</v>
      </c>
      <c r="AE54" s="24">
        <f t="shared" si="3"/>
        <v>882.5</v>
      </c>
      <c r="AF54" s="24">
        <v>0</v>
      </c>
      <c r="AG54" s="33">
        <v>8700</v>
      </c>
      <c r="AH54" s="24"/>
      <c r="AI54" s="24"/>
      <c r="AJ54" s="24"/>
      <c r="AK54" s="24">
        <v>115</v>
      </c>
      <c r="AL54" s="24"/>
      <c r="AM54" s="24" t="s">
        <v>79</v>
      </c>
      <c r="AN54" s="34" t="s">
        <v>409</v>
      </c>
      <c r="AO54" s="35" t="s">
        <v>81</v>
      </c>
      <c r="AP54" s="24">
        <f>129*2</f>
        <v>258</v>
      </c>
      <c r="AQ54" s="36">
        <f t="shared" si="10"/>
        <v>79.384615384615387</v>
      </c>
      <c r="AR54" s="37">
        <v>85</v>
      </c>
      <c r="AS54" s="38">
        <f t="shared" si="11"/>
        <v>5.6153846153846132</v>
      </c>
      <c r="AT54" s="39"/>
      <c r="AU54" s="38">
        <f t="shared" si="12"/>
        <v>5.6153846153846132</v>
      </c>
      <c r="AV54" s="40">
        <v>91.99</v>
      </c>
      <c r="AW54" s="41">
        <f t="shared" si="4"/>
        <v>7819.15</v>
      </c>
      <c r="AX54" s="24">
        <f t="shared" si="21"/>
        <v>98.518860891605797</v>
      </c>
      <c r="AY54" s="24"/>
      <c r="AZ54" s="24"/>
      <c r="BA54" s="24"/>
      <c r="BB54" s="24">
        <f t="shared" si="13"/>
        <v>0</v>
      </c>
      <c r="BC54" s="24">
        <f t="shared" si="14"/>
        <v>133.35000000000036</v>
      </c>
      <c r="BD54" s="24"/>
      <c r="BE54" s="24"/>
      <c r="BF54" s="24"/>
      <c r="BG54" s="24">
        <f>+AB54*9.5%</f>
        <v>1676.75</v>
      </c>
      <c r="BH54" s="24"/>
      <c r="BI54" s="24"/>
      <c r="BJ54" s="24">
        <f t="shared" si="15"/>
        <v>16.767500000000002</v>
      </c>
      <c r="BK54" s="24">
        <f t="shared" si="16"/>
        <v>1793.3325000000004</v>
      </c>
      <c r="BL54" s="24" t="s">
        <v>121</v>
      </c>
      <c r="BM54" s="42">
        <f t="shared" si="6"/>
        <v>2</v>
      </c>
      <c r="BN54" s="24" t="s">
        <v>83</v>
      </c>
      <c r="BO54" s="2" t="s">
        <v>148</v>
      </c>
    </row>
    <row r="55" spans="1:67" s="1" customFormat="1" ht="15" customHeight="1" x14ac:dyDescent="0.3">
      <c r="A55" s="20">
        <v>51</v>
      </c>
      <c r="B55" s="21">
        <v>46086</v>
      </c>
      <c r="C55" s="21">
        <v>46097</v>
      </c>
      <c r="D55" s="50" t="s">
        <v>410</v>
      </c>
      <c r="E55" s="23">
        <v>46123</v>
      </c>
      <c r="F55" s="23" t="s">
        <v>7</v>
      </c>
      <c r="G55" s="24" t="s">
        <v>68</v>
      </c>
      <c r="H55" s="24" t="s">
        <v>69</v>
      </c>
      <c r="I55" s="24" t="s">
        <v>141</v>
      </c>
      <c r="J55" s="25" t="s">
        <v>246</v>
      </c>
      <c r="K55" s="59" t="str">
        <f t="shared" si="7"/>
        <v>WB41F4393</v>
      </c>
      <c r="L55" s="26">
        <v>46088</v>
      </c>
      <c r="M55" s="34" t="s">
        <v>411</v>
      </c>
      <c r="N55" s="27" t="s">
        <v>412</v>
      </c>
      <c r="O55" s="28">
        <v>0</v>
      </c>
      <c r="P55" s="27" t="s">
        <v>413</v>
      </c>
      <c r="Q55" s="29">
        <v>2525352039</v>
      </c>
      <c r="R55" s="30">
        <v>2110798936</v>
      </c>
      <c r="S55" s="60" t="s">
        <v>73</v>
      </c>
      <c r="T55" s="24" t="s">
        <v>91</v>
      </c>
      <c r="U55" s="24" t="s">
        <v>75</v>
      </c>
      <c r="V55" s="32" t="s">
        <v>414</v>
      </c>
      <c r="W55" s="32" t="s">
        <v>415</v>
      </c>
      <c r="X55" s="32" t="s">
        <v>416</v>
      </c>
      <c r="Y55" s="24">
        <v>654</v>
      </c>
      <c r="Z55" s="24">
        <v>25</v>
      </c>
      <c r="AA55" s="24">
        <f t="shared" si="8"/>
        <v>621.29999999999995</v>
      </c>
      <c r="AB55" s="24">
        <f t="shared" si="0"/>
        <v>16350</v>
      </c>
      <c r="AC55" s="24">
        <f t="shared" si="1"/>
        <v>15532.5</v>
      </c>
      <c r="AD55" s="24">
        <f t="shared" si="2"/>
        <v>15532.499999999998</v>
      </c>
      <c r="AE55" s="24">
        <f t="shared" si="3"/>
        <v>817.50000000000182</v>
      </c>
      <c r="AF55" s="24">
        <f t="shared" si="26"/>
        <v>155.32499999999999</v>
      </c>
      <c r="AG55" s="33">
        <v>3550</v>
      </c>
      <c r="AH55" s="24"/>
      <c r="AI55" s="24"/>
      <c r="AJ55" s="24"/>
      <c r="AK55" s="24"/>
      <c r="AL55" s="24"/>
      <c r="AM55" s="24" t="s">
        <v>79</v>
      </c>
      <c r="AN55" s="34" t="s">
        <v>417</v>
      </c>
      <c r="AO55" s="35" t="s">
        <v>81</v>
      </c>
      <c r="AP55" s="24">
        <f>124*2</f>
        <v>248</v>
      </c>
      <c r="AQ55" s="36">
        <f t="shared" si="10"/>
        <v>76.307692307692307</v>
      </c>
      <c r="AR55" s="37">
        <v>75</v>
      </c>
      <c r="AS55" s="38">
        <f t="shared" si="11"/>
        <v>-1.3076923076923066</v>
      </c>
      <c r="AT55" s="39"/>
      <c r="AU55" s="38">
        <f t="shared" si="12"/>
        <v>-1.3076923076923066</v>
      </c>
      <c r="AV55" s="40">
        <v>91.99</v>
      </c>
      <c r="AW55" s="41">
        <f t="shared" si="4"/>
        <v>6899.25</v>
      </c>
      <c r="AX55" s="24">
        <f t="shared" si="21"/>
        <v>67.273458876549171</v>
      </c>
      <c r="AY55" s="24"/>
      <c r="AZ55" s="24"/>
      <c r="BA55" s="24"/>
      <c r="BB55" s="24">
        <f t="shared" si="13"/>
        <v>0</v>
      </c>
      <c r="BC55" s="24">
        <f t="shared" si="14"/>
        <v>4927.9249999999975</v>
      </c>
      <c r="BD55" s="24">
        <v>135</v>
      </c>
      <c r="BE55" s="24">
        <v>135</v>
      </c>
      <c r="BF55" s="24"/>
      <c r="BG55" s="24">
        <f>+AB55*9.5%</f>
        <v>1553.25</v>
      </c>
      <c r="BH55" s="24"/>
      <c r="BI55" s="24"/>
      <c r="BJ55" s="24">
        <f t="shared" si="15"/>
        <v>15.532500000000001</v>
      </c>
      <c r="BK55" s="24">
        <f t="shared" si="16"/>
        <v>6735.6424999999972</v>
      </c>
      <c r="BL55" s="24" t="s">
        <v>253</v>
      </c>
      <c r="BM55" s="42">
        <f t="shared" si="6"/>
        <v>3</v>
      </c>
      <c r="BN55" s="24" t="s">
        <v>139</v>
      </c>
      <c r="BO55" s="2" t="s">
        <v>175</v>
      </c>
    </row>
    <row r="56" spans="1:67" s="1" customFormat="1" ht="15" customHeight="1" x14ac:dyDescent="0.3">
      <c r="A56" s="43">
        <v>52</v>
      </c>
      <c r="B56" s="21">
        <v>46087</v>
      </c>
      <c r="C56" s="21">
        <v>46097</v>
      </c>
      <c r="D56" s="56" t="s">
        <v>176</v>
      </c>
      <c r="E56" s="23">
        <v>46097</v>
      </c>
      <c r="F56" s="23" t="s">
        <v>7</v>
      </c>
      <c r="G56" s="24" t="s">
        <v>68</v>
      </c>
      <c r="H56" s="24" t="s">
        <v>69</v>
      </c>
      <c r="I56" s="24" t="s">
        <v>70</v>
      </c>
      <c r="J56" s="25" t="s">
        <v>203</v>
      </c>
      <c r="K56" s="45" t="str">
        <f t="shared" si="7"/>
        <v>WB39B0800</v>
      </c>
      <c r="L56" s="26">
        <v>46088</v>
      </c>
      <c r="M56" s="34" t="s">
        <v>418</v>
      </c>
      <c r="N56" s="27" t="s">
        <v>419</v>
      </c>
      <c r="O56" s="28">
        <v>0</v>
      </c>
      <c r="P56" s="27" t="s">
        <v>420</v>
      </c>
      <c r="Q56" s="29">
        <v>2525352715</v>
      </c>
      <c r="R56" s="30">
        <v>2110799382</v>
      </c>
      <c r="S56" s="31" t="s">
        <v>73</v>
      </c>
      <c r="T56" s="24" t="s">
        <v>74</v>
      </c>
      <c r="U56" s="24" t="s">
        <v>75</v>
      </c>
      <c r="V56" s="32" t="s">
        <v>421</v>
      </c>
      <c r="W56" s="32" t="s">
        <v>422</v>
      </c>
      <c r="X56" s="32"/>
      <c r="Y56" s="24">
        <v>381</v>
      </c>
      <c r="Z56" s="24">
        <v>19</v>
      </c>
      <c r="AA56" s="24">
        <f t="shared" si="8"/>
        <v>361.95</v>
      </c>
      <c r="AB56" s="24">
        <f t="shared" si="0"/>
        <v>7239</v>
      </c>
      <c r="AC56" s="24">
        <f t="shared" si="1"/>
        <v>6877.05</v>
      </c>
      <c r="AD56" s="24">
        <f t="shared" si="2"/>
        <v>6877.05</v>
      </c>
      <c r="AE56" s="24">
        <f t="shared" si="3"/>
        <v>361.94999999999982</v>
      </c>
      <c r="AF56" s="24">
        <f t="shared" si="26"/>
        <v>68.770499999999998</v>
      </c>
      <c r="AG56" s="33">
        <v>2600</v>
      </c>
      <c r="AH56" s="24"/>
      <c r="AI56" s="24"/>
      <c r="AJ56" s="24"/>
      <c r="AK56" s="24"/>
      <c r="AL56" s="24"/>
      <c r="AM56" s="24" t="s">
        <v>79</v>
      </c>
      <c r="AN56" s="34" t="s">
        <v>423</v>
      </c>
      <c r="AO56" s="35" t="s">
        <v>81</v>
      </c>
      <c r="AP56" s="24">
        <f>66*2</f>
        <v>132</v>
      </c>
      <c r="AQ56" s="36">
        <f t="shared" si="10"/>
        <v>40.615384615384613</v>
      </c>
      <c r="AR56" s="37">
        <v>36</v>
      </c>
      <c r="AS56" s="38">
        <f t="shared" si="11"/>
        <v>-4.6153846153846132</v>
      </c>
      <c r="AT56" s="39"/>
      <c r="AU56" s="38">
        <f t="shared" si="12"/>
        <v>-4.6153846153846132</v>
      </c>
      <c r="AV56" s="40">
        <v>91.99</v>
      </c>
      <c r="AW56" s="41">
        <f t="shared" si="4"/>
        <v>3311.64</v>
      </c>
      <c r="AX56" s="24">
        <f t="shared" si="21"/>
        <v>85.961858645785611</v>
      </c>
      <c r="AY56" s="24"/>
      <c r="AZ56" s="24"/>
      <c r="BA56" s="24"/>
      <c r="BB56" s="24">
        <f t="shared" si="13"/>
        <v>0</v>
      </c>
      <c r="BC56" s="24">
        <f t="shared" si="14"/>
        <v>896.63950000000068</v>
      </c>
      <c r="BD56" s="24"/>
      <c r="BE56" s="24"/>
      <c r="BF56" s="24"/>
      <c r="BG56" s="24">
        <f>+AD56*8.5%</f>
        <v>584.54925000000003</v>
      </c>
      <c r="BH56" s="24">
        <f>+AD56*8.5%</f>
        <v>584.54925000000003</v>
      </c>
      <c r="BI56" s="24"/>
      <c r="BJ56" s="24">
        <f t="shared" si="15"/>
        <v>11.690985000000001</v>
      </c>
      <c r="BK56" s="24">
        <f t="shared" si="16"/>
        <v>2054.0470150000006</v>
      </c>
      <c r="BL56" s="24" t="s">
        <v>82</v>
      </c>
      <c r="BM56" s="42">
        <f t="shared" si="6"/>
        <v>2</v>
      </c>
      <c r="BN56" s="24" t="s">
        <v>83</v>
      </c>
      <c r="BO56" s="2" t="s">
        <v>424</v>
      </c>
    </row>
    <row r="57" spans="1:67" s="1" customFormat="1" ht="15" customHeight="1" x14ac:dyDescent="0.3">
      <c r="A57" s="20">
        <v>53</v>
      </c>
      <c r="B57" s="21">
        <v>46087</v>
      </c>
      <c r="C57" s="21">
        <v>46097</v>
      </c>
      <c r="D57" s="52" t="s">
        <v>262</v>
      </c>
      <c r="E57" s="23">
        <v>46105</v>
      </c>
      <c r="F57" s="23" t="s">
        <v>7</v>
      </c>
      <c r="G57" s="24" t="s">
        <v>68</v>
      </c>
      <c r="H57" s="24" t="s">
        <v>69</v>
      </c>
      <c r="I57" s="24" t="s">
        <v>122</v>
      </c>
      <c r="J57" s="25" t="s">
        <v>123</v>
      </c>
      <c r="K57" s="45" t="str">
        <f t="shared" si="7"/>
        <v>WB23C9555</v>
      </c>
      <c r="L57" s="26">
        <v>46088</v>
      </c>
      <c r="M57" s="34" t="s">
        <v>425</v>
      </c>
      <c r="N57" s="27" t="s">
        <v>426</v>
      </c>
      <c r="O57" s="28">
        <v>0</v>
      </c>
      <c r="P57" s="27" t="s">
        <v>427</v>
      </c>
      <c r="Q57" s="29">
        <v>2525352717</v>
      </c>
      <c r="R57" s="30">
        <v>2110799385</v>
      </c>
      <c r="S57" s="54" t="s">
        <v>73</v>
      </c>
      <c r="T57" s="24" t="s">
        <v>91</v>
      </c>
      <c r="U57" s="24" t="s">
        <v>75</v>
      </c>
      <c r="V57" s="32" t="s">
        <v>320</v>
      </c>
      <c r="W57" s="32" t="s">
        <v>321</v>
      </c>
      <c r="X57" s="32" t="s">
        <v>428</v>
      </c>
      <c r="Y57" s="24">
        <v>1057</v>
      </c>
      <c r="Z57" s="24">
        <v>25</v>
      </c>
      <c r="AA57" s="24">
        <f t="shared" si="8"/>
        <v>1004.15</v>
      </c>
      <c r="AB57" s="24">
        <f t="shared" si="0"/>
        <v>26425</v>
      </c>
      <c r="AC57" s="24">
        <f t="shared" si="1"/>
        <v>25103.75</v>
      </c>
      <c r="AD57" s="24">
        <f t="shared" si="2"/>
        <v>25103.75</v>
      </c>
      <c r="AE57" s="24">
        <f t="shared" si="3"/>
        <v>1321.25</v>
      </c>
      <c r="AF57" s="24">
        <v>0</v>
      </c>
      <c r="AG57" s="33">
        <v>3900</v>
      </c>
      <c r="AH57" s="24"/>
      <c r="AI57" s="24"/>
      <c r="AJ57" s="24"/>
      <c r="AK57" s="24"/>
      <c r="AL57" s="24"/>
      <c r="AM57" s="24" t="s">
        <v>79</v>
      </c>
      <c r="AN57" s="34" t="s">
        <v>429</v>
      </c>
      <c r="AO57" s="35" t="s">
        <v>81</v>
      </c>
      <c r="AP57" s="24">
        <f>243*2</f>
        <v>486</v>
      </c>
      <c r="AQ57" s="36">
        <f t="shared" si="10"/>
        <v>149.53846153846155</v>
      </c>
      <c r="AR57" s="37">
        <v>147</v>
      </c>
      <c r="AS57" s="38">
        <f t="shared" si="11"/>
        <v>-2.5384615384615472</v>
      </c>
      <c r="AT57" s="39"/>
      <c r="AU57" s="38">
        <f t="shared" si="12"/>
        <v>-2.5384615384615472</v>
      </c>
      <c r="AV57" s="40">
        <v>91.99</v>
      </c>
      <c r="AW57" s="41">
        <f t="shared" si="4"/>
        <v>13522.529999999999</v>
      </c>
      <c r="AX57" s="24">
        <f t="shared" si="21"/>
        <v>69.40210127968929</v>
      </c>
      <c r="AY57" s="24"/>
      <c r="AZ57" s="24"/>
      <c r="BA57" s="24"/>
      <c r="BB57" s="24">
        <f t="shared" si="13"/>
        <v>0</v>
      </c>
      <c r="BC57" s="24">
        <f t="shared" si="14"/>
        <v>7681.2200000000012</v>
      </c>
      <c r="BD57" s="24">
        <v>40</v>
      </c>
      <c r="BE57" s="24">
        <v>40</v>
      </c>
      <c r="BF57" s="24"/>
      <c r="BG57" s="24">
        <f>+AB57*9.5%</f>
        <v>2510.375</v>
      </c>
      <c r="BH57" s="24"/>
      <c r="BI57" s="24"/>
      <c r="BJ57" s="24">
        <f t="shared" si="15"/>
        <v>25.103750000000002</v>
      </c>
      <c r="BK57" s="24">
        <f t="shared" si="16"/>
        <v>10246.491250000001</v>
      </c>
      <c r="BL57" s="24" t="s">
        <v>128</v>
      </c>
      <c r="BM57" s="42">
        <f t="shared" si="6"/>
        <v>2</v>
      </c>
      <c r="BN57" s="24" t="s">
        <v>83</v>
      </c>
      <c r="BO57" s="2" t="s">
        <v>84</v>
      </c>
    </row>
    <row r="58" spans="1:67" s="1" customFormat="1" ht="15" customHeight="1" x14ac:dyDescent="0.3">
      <c r="A58" s="20">
        <v>54</v>
      </c>
      <c r="B58" s="21">
        <v>46087</v>
      </c>
      <c r="C58" s="21">
        <v>46097</v>
      </c>
      <c r="D58" s="50" t="s">
        <v>430</v>
      </c>
      <c r="E58" s="23">
        <v>46097</v>
      </c>
      <c r="F58" s="23" t="s">
        <v>7</v>
      </c>
      <c r="G58" s="24" t="s">
        <v>68</v>
      </c>
      <c r="H58" s="24" t="s">
        <v>69</v>
      </c>
      <c r="I58" s="24" t="s">
        <v>106</v>
      </c>
      <c r="J58" s="25" t="s">
        <v>107</v>
      </c>
      <c r="K58" s="45" t="str">
        <f t="shared" si="7"/>
        <v>WB57C7436</v>
      </c>
      <c r="L58" s="26">
        <v>46088</v>
      </c>
      <c r="M58" s="34" t="s">
        <v>431</v>
      </c>
      <c r="N58" s="27" t="s">
        <v>432</v>
      </c>
      <c r="O58" s="28">
        <v>0</v>
      </c>
      <c r="P58" s="27" t="s">
        <v>433</v>
      </c>
      <c r="Q58" s="29">
        <v>2525352760</v>
      </c>
      <c r="R58" s="30">
        <v>2110799443</v>
      </c>
      <c r="S58" s="31" t="s">
        <v>73</v>
      </c>
      <c r="T58" s="24" t="s">
        <v>91</v>
      </c>
      <c r="U58" s="24" t="s">
        <v>75</v>
      </c>
      <c r="V58" s="32" t="s">
        <v>152</v>
      </c>
      <c r="W58" s="32" t="s">
        <v>153</v>
      </c>
      <c r="X58" s="32"/>
      <c r="Y58" s="24">
        <v>1022</v>
      </c>
      <c r="Z58" s="24">
        <v>25</v>
      </c>
      <c r="AA58" s="24">
        <f t="shared" si="8"/>
        <v>970.90000000000009</v>
      </c>
      <c r="AB58" s="24">
        <f t="shared" si="0"/>
        <v>25550</v>
      </c>
      <c r="AC58" s="24">
        <f t="shared" si="1"/>
        <v>24272.5</v>
      </c>
      <c r="AD58" s="24">
        <f t="shared" si="2"/>
        <v>24272.500000000004</v>
      </c>
      <c r="AE58" s="24">
        <f t="shared" si="3"/>
        <v>1277.4999999999964</v>
      </c>
      <c r="AF58" s="24">
        <v>0</v>
      </c>
      <c r="AG58" s="33">
        <v>8900</v>
      </c>
      <c r="AH58" s="24"/>
      <c r="AI58" s="24"/>
      <c r="AJ58" s="24"/>
      <c r="AK58" s="24">
        <v>115</v>
      </c>
      <c r="AL58" s="24"/>
      <c r="AM58" s="24" t="s">
        <v>79</v>
      </c>
      <c r="AN58" s="34" t="s">
        <v>434</v>
      </c>
      <c r="AO58" s="35" t="s">
        <v>81</v>
      </c>
      <c r="AP58" s="24">
        <f>248*2</f>
        <v>496</v>
      </c>
      <c r="AQ58" s="36">
        <f t="shared" si="10"/>
        <v>152.61538461538461</v>
      </c>
      <c r="AR58" s="37">
        <v>155</v>
      </c>
      <c r="AS58" s="38">
        <f t="shared" si="11"/>
        <v>2.3846153846153868</v>
      </c>
      <c r="AT58" s="39"/>
      <c r="AU58" s="38">
        <f t="shared" si="12"/>
        <v>2.3846153846153868</v>
      </c>
      <c r="AV58" s="40">
        <v>91.99</v>
      </c>
      <c r="AW58" s="41">
        <f t="shared" si="4"/>
        <v>14258.449999999999</v>
      </c>
      <c r="AX58" s="24">
        <f t="shared" si="21"/>
        <v>95.410237923576034</v>
      </c>
      <c r="AY58" s="24"/>
      <c r="AZ58" s="24"/>
      <c r="BA58" s="24"/>
      <c r="BB58" s="24">
        <f t="shared" si="13"/>
        <v>0</v>
      </c>
      <c r="BC58" s="24">
        <f t="shared" si="14"/>
        <v>999.05000000000473</v>
      </c>
      <c r="BD58" s="24"/>
      <c r="BE58" s="24"/>
      <c r="BF58" s="24"/>
      <c r="BG58" s="24">
        <f>+AB58*9.5%</f>
        <v>2427.25</v>
      </c>
      <c r="BH58" s="24"/>
      <c r="BI58" s="24"/>
      <c r="BJ58" s="24">
        <f t="shared" si="15"/>
        <v>24.272500000000001</v>
      </c>
      <c r="BK58" s="24">
        <f t="shared" si="16"/>
        <v>3402.0275000000047</v>
      </c>
      <c r="BL58" s="24" t="s">
        <v>110</v>
      </c>
      <c r="BM58" s="42">
        <f t="shared" si="6"/>
        <v>2</v>
      </c>
      <c r="BN58" s="24" t="s">
        <v>83</v>
      </c>
      <c r="BO58" s="2" t="s">
        <v>148</v>
      </c>
    </row>
    <row r="59" spans="1:67" s="1" customFormat="1" ht="15" customHeight="1" x14ac:dyDescent="0.3">
      <c r="A59" s="43">
        <v>55</v>
      </c>
      <c r="B59" s="21">
        <v>46087</v>
      </c>
      <c r="C59" s="21">
        <v>46097</v>
      </c>
      <c r="D59" s="50" t="s">
        <v>330</v>
      </c>
      <c r="E59" s="23">
        <v>46097</v>
      </c>
      <c r="F59" s="23" t="s">
        <v>7</v>
      </c>
      <c r="G59" s="24" t="s">
        <v>68</v>
      </c>
      <c r="H59" s="24" t="s">
        <v>69</v>
      </c>
      <c r="I59" s="24" t="s">
        <v>131</v>
      </c>
      <c r="J59" s="25" t="s">
        <v>224</v>
      </c>
      <c r="K59" s="45" t="str">
        <f t="shared" si="7"/>
        <v>WB29A9266</v>
      </c>
      <c r="L59" s="26">
        <v>46088</v>
      </c>
      <c r="M59" s="34" t="s">
        <v>435</v>
      </c>
      <c r="N59" s="27" t="s">
        <v>436</v>
      </c>
      <c r="O59" s="28">
        <v>0</v>
      </c>
      <c r="P59" s="27" t="s">
        <v>437</v>
      </c>
      <c r="Q59" s="29">
        <v>2525352784</v>
      </c>
      <c r="R59" s="30">
        <v>2110799437</v>
      </c>
      <c r="S59" s="31" t="s">
        <v>73</v>
      </c>
      <c r="T59" s="24" t="s">
        <v>91</v>
      </c>
      <c r="U59" s="24" t="s">
        <v>75</v>
      </c>
      <c r="V59" s="32" t="s">
        <v>438</v>
      </c>
      <c r="W59" s="32" t="s">
        <v>251</v>
      </c>
      <c r="X59" s="32" t="s">
        <v>251</v>
      </c>
      <c r="Y59" s="24">
        <v>1023</v>
      </c>
      <c r="Z59" s="24">
        <v>25</v>
      </c>
      <c r="AA59" s="24">
        <f t="shared" si="8"/>
        <v>971.85</v>
      </c>
      <c r="AB59" s="24">
        <f t="shared" si="0"/>
        <v>25575</v>
      </c>
      <c r="AC59" s="24">
        <f t="shared" si="1"/>
        <v>24296.25</v>
      </c>
      <c r="AD59" s="24">
        <f t="shared" si="2"/>
        <v>24296.25</v>
      </c>
      <c r="AE59" s="24">
        <f t="shared" si="3"/>
        <v>1278.75</v>
      </c>
      <c r="AF59" s="24">
        <v>0</v>
      </c>
      <c r="AG59" s="33">
        <v>6700</v>
      </c>
      <c r="AH59" s="24"/>
      <c r="AI59" s="24"/>
      <c r="AJ59" s="24"/>
      <c r="AK59" s="24">
        <v>115</v>
      </c>
      <c r="AL59" s="24"/>
      <c r="AM59" s="24" t="s">
        <v>79</v>
      </c>
      <c r="AN59" s="34" t="s">
        <v>439</v>
      </c>
      <c r="AO59" s="35" t="s">
        <v>81</v>
      </c>
      <c r="AP59" s="24">
        <f>235*2</f>
        <v>470</v>
      </c>
      <c r="AQ59" s="36">
        <f t="shared" si="10"/>
        <v>144.61538461538461</v>
      </c>
      <c r="AR59" s="37">
        <v>150</v>
      </c>
      <c r="AS59" s="38">
        <f t="shared" si="11"/>
        <v>5.3846153846153868</v>
      </c>
      <c r="AT59" s="39"/>
      <c r="AU59" s="38">
        <f t="shared" si="12"/>
        <v>5.3846153846153868</v>
      </c>
      <c r="AV59" s="40">
        <v>91.99</v>
      </c>
      <c r="AW59" s="41">
        <f t="shared" si="4"/>
        <v>13798.5</v>
      </c>
      <c r="AX59" s="24">
        <f t="shared" si="21"/>
        <v>84.368986983588002</v>
      </c>
      <c r="AY59" s="24"/>
      <c r="AZ59" s="24"/>
      <c r="BA59" s="24"/>
      <c r="BB59" s="24">
        <f t="shared" si="13"/>
        <v>0</v>
      </c>
      <c r="BC59" s="24">
        <f t="shared" si="14"/>
        <v>3682.75</v>
      </c>
      <c r="BD59" s="24">
        <v>135</v>
      </c>
      <c r="BE59" s="24">
        <v>135</v>
      </c>
      <c r="BF59" s="24"/>
      <c r="BG59" s="24">
        <f>+AD59*9.5%</f>
        <v>2308.1437500000002</v>
      </c>
      <c r="BH59" s="24"/>
      <c r="BI59" s="24"/>
      <c r="BJ59" s="24">
        <f t="shared" si="15"/>
        <v>23.081437500000003</v>
      </c>
      <c r="BK59" s="24">
        <f t="shared" si="16"/>
        <v>6237.8123125000002</v>
      </c>
      <c r="BL59" s="24" t="s">
        <v>232</v>
      </c>
      <c r="BM59" s="42">
        <f t="shared" si="6"/>
        <v>2</v>
      </c>
      <c r="BN59" s="24" t="s">
        <v>83</v>
      </c>
      <c r="BO59" s="2" t="s">
        <v>440</v>
      </c>
    </row>
    <row r="60" spans="1:67" s="1" customFormat="1" ht="15" customHeight="1" x14ac:dyDescent="0.3">
      <c r="A60" s="20">
        <v>56</v>
      </c>
      <c r="B60" s="21">
        <v>46087</v>
      </c>
      <c r="C60" s="21">
        <v>46097</v>
      </c>
      <c r="D60" s="52" t="s">
        <v>262</v>
      </c>
      <c r="E60" s="23">
        <v>46105</v>
      </c>
      <c r="F60" s="23" t="s">
        <v>7</v>
      </c>
      <c r="G60" s="24" t="s">
        <v>68</v>
      </c>
      <c r="H60" s="24" t="s">
        <v>69</v>
      </c>
      <c r="I60" s="24" t="s">
        <v>88</v>
      </c>
      <c r="J60" s="25" t="s">
        <v>194</v>
      </c>
      <c r="K60" s="45" t="str">
        <f t="shared" si="7"/>
        <v>WB67A2373</v>
      </c>
      <c r="L60" s="26">
        <v>46088</v>
      </c>
      <c r="M60" s="34" t="s">
        <v>441</v>
      </c>
      <c r="N60" s="27" t="s">
        <v>442</v>
      </c>
      <c r="O60" s="28">
        <v>0</v>
      </c>
      <c r="P60" s="27" t="s">
        <v>443</v>
      </c>
      <c r="Q60" s="29">
        <v>2525352790</v>
      </c>
      <c r="R60" s="30">
        <v>2110799438</v>
      </c>
      <c r="S60" s="54" t="s">
        <v>73</v>
      </c>
      <c r="T60" s="24" t="s">
        <v>74</v>
      </c>
      <c r="U60" s="24" t="s">
        <v>75</v>
      </c>
      <c r="V60" s="32" t="s">
        <v>444</v>
      </c>
      <c r="W60" s="32" t="s">
        <v>445</v>
      </c>
      <c r="X60" s="32" t="s">
        <v>446</v>
      </c>
      <c r="Y60" s="24">
        <v>847</v>
      </c>
      <c r="Z60" s="24">
        <v>10</v>
      </c>
      <c r="AA60" s="24">
        <f t="shared" si="8"/>
        <v>804.65000000000009</v>
      </c>
      <c r="AB60" s="24">
        <f t="shared" si="0"/>
        <v>8470</v>
      </c>
      <c r="AC60" s="24">
        <f t="shared" si="1"/>
        <v>8046.5</v>
      </c>
      <c r="AD60" s="24">
        <f t="shared" si="2"/>
        <v>8046.5000000000009</v>
      </c>
      <c r="AE60" s="24">
        <f t="shared" si="3"/>
        <v>423.49999999999909</v>
      </c>
      <c r="AF60" s="24">
        <f t="shared" ref="AF60:AF72" si="28">+AD60*1%</f>
        <v>80.465000000000018</v>
      </c>
      <c r="AG60" s="33">
        <v>2900</v>
      </c>
      <c r="AH60" s="24"/>
      <c r="AI60" s="24">
        <v>700</v>
      </c>
      <c r="AJ60" s="24"/>
      <c r="AK60" s="24"/>
      <c r="AL60" s="24"/>
      <c r="AM60" s="24" t="s">
        <v>79</v>
      </c>
      <c r="AN60" s="34" t="s">
        <v>447</v>
      </c>
      <c r="AO60" s="35" t="s">
        <v>81</v>
      </c>
      <c r="AP60" s="24">
        <f>190*2</f>
        <v>380</v>
      </c>
      <c r="AQ60" s="36">
        <f t="shared" si="10"/>
        <v>116.92307692307692</v>
      </c>
      <c r="AR60" s="37">
        <v>105</v>
      </c>
      <c r="AS60" s="38">
        <f t="shared" si="11"/>
        <v>-11.92307692307692</v>
      </c>
      <c r="AT60" s="39"/>
      <c r="AU60" s="38">
        <f t="shared" si="12"/>
        <v>-11.92307692307692</v>
      </c>
      <c r="AV60" s="40">
        <v>91.99</v>
      </c>
      <c r="AW60" s="41">
        <f t="shared" si="4"/>
        <v>9658.9499999999989</v>
      </c>
      <c r="AX60" s="24">
        <f t="shared" si="21"/>
        <v>156.0796619648294</v>
      </c>
      <c r="AY60" s="24">
        <v>120</v>
      </c>
      <c r="AZ60" s="24"/>
      <c r="BA60" s="24"/>
      <c r="BB60" s="24">
        <f t="shared" si="13"/>
        <v>0</v>
      </c>
      <c r="BC60" s="24">
        <f t="shared" si="14"/>
        <v>-5412.9149999999981</v>
      </c>
      <c r="BD60" s="24">
        <v>100</v>
      </c>
      <c r="BE60" s="24">
        <v>100</v>
      </c>
      <c r="BF60" s="24"/>
      <c r="BG60" s="24">
        <f t="shared" ref="BG60:BG61" si="29">+AD60*8.5%</f>
        <v>683.9525000000001</v>
      </c>
      <c r="BH60" s="24">
        <f t="shared" ref="BH60:BH61" si="30">+AD60*8.5%</f>
        <v>683.9525000000001</v>
      </c>
      <c r="BI60" s="24"/>
      <c r="BJ60" s="24">
        <f t="shared" si="15"/>
        <v>13.679050000000002</v>
      </c>
      <c r="BK60" s="24">
        <f t="shared" si="16"/>
        <v>-3858.6890499999977</v>
      </c>
      <c r="BL60" s="24" t="s">
        <v>82</v>
      </c>
      <c r="BM60" s="42">
        <f t="shared" si="6"/>
        <v>2</v>
      </c>
      <c r="BN60" s="24" t="s">
        <v>83</v>
      </c>
      <c r="BO60" s="2" t="s">
        <v>84</v>
      </c>
    </row>
    <row r="61" spans="1:67" s="1" customFormat="1" ht="15" customHeight="1" x14ac:dyDescent="0.3">
      <c r="A61" s="20">
        <v>57</v>
      </c>
      <c r="B61" s="21">
        <v>46087</v>
      </c>
      <c r="C61" s="21">
        <v>46097</v>
      </c>
      <c r="D61" s="52" t="s">
        <v>262</v>
      </c>
      <c r="E61" s="23">
        <v>46105</v>
      </c>
      <c r="F61" s="23" t="s">
        <v>7</v>
      </c>
      <c r="G61" s="24" t="s">
        <v>68</v>
      </c>
      <c r="H61" s="24" t="s">
        <v>69</v>
      </c>
      <c r="I61" s="24" t="s">
        <v>88</v>
      </c>
      <c r="J61" s="25" t="s">
        <v>194</v>
      </c>
      <c r="K61" s="45" t="str">
        <f t="shared" si="7"/>
        <v>WB67A2373</v>
      </c>
      <c r="L61" s="26">
        <v>46088</v>
      </c>
      <c r="M61" s="34" t="s">
        <v>448</v>
      </c>
      <c r="N61" s="27" t="s">
        <v>449</v>
      </c>
      <c r="O61" s="28">
        <v>0</v>
      </c>
      <c r="P61" s="27" t="s">
        <v>450</v>
      </c>
      <c r="Q61" s="29">
        <v>2525352791</v>
      </c>
      <c r="R61" s="30">
        <v>2110799439</v>
      </c>
      <c r="S61" s="54" t="s">
        <v>73</v>
      </c>
      <c r="T61" s="24" t="s">
        <v>74</v>
      </c>
      <c r="U61" s="24" t="s">
        <v>75</v>
      </c>
      <c r="V61" s="32" t="s">
        <v>444</v>
      </c>
      <c r="W61" s="32" t="s">
        <v>445</v>
      </c>
      <c r="X61" s="32"/>
      <c r="Y61" s="24">
        <v>847</v>
      </c>
      <c r="Z61" s="24">
        <v>9</v>
      </c>
      <c r="AA61" s="24">
        <f t="shared" si="8"/>
        <v>804.65000000000009</v>
      </c>
      <c r="AB61" s="24">
        <f t="shared" si="0"/>
        <v>7623</v>
      </c>
      <c r="AC61" s="24">
        <f t="shared" si="1"/>
        <v>7241.85</v>
      </c>
      <c r="AD61" s="24">
        <f t="shared" si="2"/>
        <v>7241.85</v>
      </c>
      <c r="AE61" s="24">
        <f t="shared" si="3"/>
        <v>381.14999999999964</v>
      </c>
      <c r="AF61" s="24">
        <f t="shared" si="28"/>
        <v>72.418500000000009</v>
      </c>
      <c r="AG61" s="31">
        <v>0</v>
      </c>
      <c r="AH61" s="24"/>
      <c r="AI61" s="24">
        <v>1000</v>
      </c>
      <c r="AJ61" s="24"/>
      <c r="AK61" s="24"/>
      <c r="AL61" s="24"/>
      <c r="AM61" s="24">
        <v>0</v>
      </c>
      <c r="AN61" s="34" t="s">
        <v>213</v>
      </c>
      <c r="AO61" s="35"/>
      <c r="AP61" s="24"/>
      <c r="AQ61" s="36">
        <f t="shared" si="10"/>
        <v>0</v>
      </c>
      <c r="AR61" s="16"/>
      <c r="AS61" s="47">
        <f t="shared" si="11"/>
        <v>0</v>
      </c>
      <c r="AT61" s="31"/>
      <c r="AU61" s="47">
        <f t="shared" si="12"/>
        <v>0</v>
      </c>
      <c r="AV61" s="48">
        <v>91.99</v>
      </c>
      <c r="AW61" s="24">
        <f t="shared" si="4"/>
        <v>0</v>
      </c>
      <c r="AX61" s="24">
        <f t="shared" si="21"/>
        <v>0</v>
      </c>
      <c r="AY61" s="24"/>
      <c r="AZ61" s="24"/>
      <c r="BA61" s="24"/>
      <c r="BB61" s="24">
        <f t="shared" si="13"/>
        <v>0</v>
      </c>
      <c r="BC61" s="24">
        <f t="shared" si="14"/>
        <v>6169.4315000000006</v>
      </c>
      <c r="BD61" s="24"/>
      <c r="BE61" s="24"/>
      <c r="BF61" s="24"/>
      <c r="BG61" s="24">
        <f t="shared" si="29"/>
        <v>615.55725000000007</v>
      </c>
      <c r="BH61" s="24">
        <f t="shared" si="30"/>
        <v>615.55725000000007</v>
      </c>
      <c r="BI61" s="24"/>
      <c r="BJ61" s="24">
        <f t="shared" si="15"/>
        <v>12.311145000000002</v>
      </c>
      <c r="BK61" s="24">
        <f t="shared" si="16"/>
        <v>7388.2348550000006</v>
      </c>
      <c r="BL61" s="24" t="s">
        <v>82</v>
      </c>
      <c r="BM61" s="42">
        <f t="shared" si="6"/>
        <v>2</v>
      </c>
      <c r="BN61" s="24" t="s">
        <v>83</v>
      </c>
      <c r="BO61" s="2" t="s">
        <v>84</v>
      </c>
    </row>
    <row r="62" spans="1:67" s="1" customFormat="1" ht="15" customHeight="1" x14ac:dyDescent="0.3">
      <c r="A62" s="43">
        <v>58</v>
      </c>
      <c r="B62" s="21">
        <v>46087</v>
      </c>
      <c r="C62" s="21">
        <v>46097</v>
      </c>
      <c r="D62" s="52" t="s">
        <v>262</v>
      </c>
      <c r="E62" s="23">
        <v>46105</v>
      </c>
      <c r="F62" s="23" t="s">
        <v>7</v>
      </c>
      <c r="G62" s="24" t="s">
        <v>68</v>
      </c>
      <c r="H62" s="24" t="s">
        <v>69</v>
      </c>
      <c r="I62" s="24">
        <v>35</v>
      </c>
      <c r="J62" s="25" t="s">
        <v>451</v>
      </c>
      <c r="K62" s="45" t="str">
        <f t="shared" si="7"/>
        <v>WB351813</v>
      </c>
      <c r="L62" s="26">
        <v>46088</v>
      </c>
      <c r="M62" s="34" t="s">
        <v>452</v>
      </c>
      <c r="N62" s="27" t="s">
        <v>453</v>
      </c>
      <c r="O62" s="28">
        <v>0</v>
      </c>
      <c r="P62" s="27" t="s">
        <v>454</v>
      </c>
      <c r="Q62" s="29">
        <v>2525352812</v>
      </c>
      <c r="R62" s="30">
        <v>2110799496</v>
      </c>
      <c r="S62" s="54" t="s">
        <v>73</v>
      </c>
      <c r="T62" s="24" t="s">
        <v>91</v>
      </c>
      <c r="U62" s="24" t="s">
        <v>75</v>
      </c>
      <c r="V62" s="32" t="s">
        <v>455</v>
      </c>
      <c r="W62" s="32" t="s">
        <v>456</v>
      </c>
      <c r="X62" s="32" t="s">
        <v>457</v>
      </c>
      <c r="Y62" s="24">
        <v>1118</v>
      </c>
      <c r="Z62" s="24">
        <v>15</v>
      </c>
      <c r="AA62" s="24">
        <f t="shared" si="8"/>
        <v>1062.0999999999999</v>
      </c>
      <c r="AB62" s="24">
        <f t="shared" si="0"/>
        <v>16770</v>
      </c>
      <c r="AC62" s="24">
        <f t="shared" si="1"/>
        <v>15931.499999999998</v>
      </c>
      <c r="AD62" s="24">
        <f t="shared" si="2"/>
        <v>15931.499999999998</v>
      </c>
      <c r="AE62" s="24">
        <f t="shared" si="3"/>
        <v>838.50000000000182</v>
      </c>
      <c r="AF62" s="24">
        <v>0</v>
      </c>
      <c r="AG62" s="33">
        <v>4400</v>
      </c>
      <c r="AH62" s="24"/>
      <c r="AI62" s="24"/>
      <c r="AJ62" s="24"/>
      <c r="AK62" s="24"/>
      <c r="AL62" s="24"/>
      <c r="AM62" s="24" t="s">
        <v>79</v>
      </c>
      <c r="AN62" s="34" t="s">
        <v>458</v>
      </c>
      <c r="AO62" s="35" t="s">
        <v>81</v>
      </c>
      <c r="AP62" s="24">
        <f>285*2</f>
        <v>570</v>
      </c>
      <c r="AQ62" s="36">
        <f t="shared" si="10"/>
        <v>175.38461538461539</v>
      </c>
      <c r="AR62" s="37">
        <v>160</v>
      </c>
      <c r="AS62" s="38">
        <f t="shared" si="11"/>
        <v>-15.384615384615387</v>
      </c>
      <c r="AT62" s="39"/>
      <c r="AU62" s="38">
        <f t="shared" si="12"/>
        <v>-15.384615384615387</v>
      </c>
      <c r="AV62" s="40">
        <v>91.99</v>
      </c>
      <c r="AW62" s="41">
        <f t="shared" si="4"/>
        <v>14718.4</v>
      </c>
      <c r="AX62" s="24">
        <f t="shared" si="21"/>
        <v>120.0037661237172</v>
      </c>
      <c r="AY62" s="24"/>
      <c r="AZ62" s="24"/>
      <c r="BA62" s="24"/>
      <c r="BB62" s="24">
        <f t="shared" si="13"/>
        <v>0</v>
      </c>
      <c r="BC62" s="24">
        <f t="shared" si="14"/>
        <v>-3186.9000000000015</v>
      </c>
      <c r="BD62" s="24">
        <v>135</v>
      </c>
      <c r="BE62" s="24">
        <v>135</v>
      </c>
      <c r="BF62" s="24"/>
      <c r="BG62" s="24">
        <f t="shared" ref="BG62:BG68" si="31">+AB62*9.5%</f>
        <v>1593.15</v>
      </c>
      <c r="BH62" s="24"/>
      <c r="BI62" s="24"/>
      <c r="BJ62" s="24">
        <f t="shared" si="15"/>
        <v>15.931500000000002</v>
      </c>
      <c r="BK62" s="24">
        <f t="shared" si="16"/>
        <v>-1339.6815000000013</v>
      </c>
      <c r="BL62" s="24" t="s">
        <v>155</v>
      </c>
      <c r="BM62" s="42">
        <f t="shared" si="6"/>
        <v>2</v>
      </c>
      <c r="BN62" s="24" t="s">
        <v>83</v>
      </c>
      <c r="BO62" s="2" t="s">
        <v>129</v>
      </c>
    </row>
    <row r="63" spans="1:67" s="1" customFormat="1" ht="15" customHeight="1" x14ac:dyDescent="0.3">
      <c r="A63" s="20">
        <v>59</v>
      </c>
      <c r="B63" s="21">
        <v>46087</v>
      </c>
      <c r="C63" s="21">
        <v>46097</v>
      </c>
      <c r="D63" s="52" t="s">
        <v>262</v>
      </c>
      <c r="E63" s="23">
        <v>46105</v>
      </c>
      <c r="F63" s="23" t="s">
        <v>7</v>
      </c>
      <c r="G63" s="24" t="s">
        <v>68</v>
      </c>
      <c r="H63" s="24" t="s">
        <v>69</v>
      </c>
      <c r="I63" s="24">
        <v>35</v>
      </c>
      <c r="J63" s="25" t="s">
        <v>451</v>
      </c>
      <c r="K63" s="45" t="str">
        <f t="shared" si="7"/>
        <v>WB351813</v>
      </c>
      <c r="L63" s="26">
        <v>46088</v>
      </c>
      <c r="M63" s="34" t="s">
        <v>459</v>
      </c>
      <c r="N63" s="27" t="s">
        <v>460</v>
      </c>
      <c r="O63" s="28">
        <v>0</v>
      </c>
      <c r="P63" s="27" t="s">
        <v>461</v>
      </c>
      <c r="Q63" s="29">
        <v>2525352813</v>
      </c>
      <c r="R63" s="30">
        <v>2110799497</v>
      </c>
      <c r="S63" s="54" t="s">
        <v>73</v>
      </c>
      <c r="T63" s="24" t="s">
        <v>91</v>
      </c>
      <c r="U63" s="24" t="s">
        <v>75</v>
      </c>
      <c r="V63" s="32" t="s">
        <v>455</v>
      </c>
      <c r="W63" s="32" t="s">
        <v>456</v>
      </c>
      <c r="X63" s="32"/>
      <c r="Y63" s="24">
        <v>1118</v>
      </c>
      <c r="Z63" s="24">
        <v>10</v>
      </c>
      <c r="AA63" s="24">
        <f t="shared" si="8"/>
        <v>1062.0999999999999</v>
      </c>
      <c r="AB63" s="24">
        <f t="shared" si="0"/>
        <v>11180</v>
      </c>
      <c r="AC63" s="24">
        <f t="shared" si="1"/>
        <v>10621</v>
      </c>
      <c r="AD63" s="24">
        <f t="shared" si="2"/>
        <v>10621</v>
      </c>
      <c r="AE63" s="24">
        <f t="shared" si="3"/>
        <v>559</v>
      </c>
      <c r="AF63" s="24">
        <v>0</v>
      </c>
      <c r="AG63" s="31">
        <v>0</v>
      </c>
      <c r="AH63" s="24"/>
      <c r="AI63" s="24"/>
      <c r="AJ63" s="24"/>
      <c r="AK63" s="24"/>
      <c r="AL63" s="24"/>
      <c r="AM63" s="24">
        <v>0</v>
      </c>
      <c r="AN63" s="34" t="s">
        <v>213</v>
      </c>
      <c r="AO63" s="35"/>
      <c r="AP63" s="24"/>
      <c r="AQ63" s="36">
        <f t="shared" si="10"/>
        <v>0</v>
      </c>
      <c r="AR63" s="16"/>
      <c r="AS63" s="47">
        <f t="shared" si="11"/>
        <v>0</v>
      </c>
      <c r="AT63" s="31"/>
      <c r="AU63" s="47">
        <f t="shared" si="12"/>
        <v>0</v>
      </c>
      <c r="AV63" s="48">
        <v>91.99</v>
      </c>
      <c r="AW63" s="24">
        <f t="shared" si="4"/>
        <v>0</v>
      </c>
      <c r="AX63" s="24">
        <f t="shared" si="21"/>
        <v>0</v>
      </c>
      <c r="AY63" s="24"/>
      <c r="AZ63" s="24"/>
      <c r="BA63" s="24"/>
      <c r="BB63" s="24">
        <f t="shared" si="13"/>
        <v>0</v>
      </c>
      <c r="BC63" s="24">
        <f t="shared" si="14"/>
        <v>10621</v>
      </c>
      <c r="BD63" s="24"/>
      <c r="BE63" s="24"/>
      <c r="BF63" s="24"/>
      <c r="BG63" s="24">
        <f t="shared" si="31"/>
        <v>1062.0999999999999</v>
      </c>
      <c r="BH63" s="24"/>
      <c r="BI63" s="24"/>
      <c r="BJ63" s="24">
        <f t="shared" si="15"/>
        <v>10.620999999999999</v>
      </c>
      <c r="BK63" s="24">
        <f t="shared" si="16"/>
        <v>11672.479000000001</v>
      </c>
      <c r="BL63" s="24" t="s">
        <v>155</v>
      </c>
      <c r="BM63" s="42">
        <f t="shared" si="6"/>
        <v>2</v>
      </c>
      <c r="BN63" s="24" t="s">
        <v>83</v>
      </c>
      <c r="BO63" s="2" t="s">
        <v>129</v>
      </c>
    </row>
    <row r="64" spans="1:67" s="1" customFormat="1" ht="15" customHeight="1" x14ac:dyDescent="0.3">
      <c r="A64" s="20">
        <v>60</v>
      </c>
      <c r="B64" s="21">
        <v>46087</v>
      </c>
      <c r="C64" s="21">
        <v>46097</v>
      </c>
      <c r="D64" s="56" t="s">
        <v>176</v>
      </c>
      <c r="E64" s="23">
        <v>46097</v>
      </c>
      <c r="F64" s="23" t="s">
        <v>7</v>
      </c>
      <c r="G64" s="24" t="s">
        <v>68</v>
      </c>
      <c r="H64" s="24" t="s">
        <v>69</v>
      </c>
      <c r="I64" s="24" t="s">
        <v>88</v>
      </c>
      <c r="J64" s="25" t="s">
        <v>89</v>
      </c>
      <c r="K64" s="45" t="str">
        <f t="shared" si="7"/>
        <v>WB67A9375</v>
      </c>
      <c r="L64" s="26">
        <v>46088</v>
      </c>
      <c r="M64" s="34" t="s">
        <v>462</v>
      </c>
      <c r="N64" s="27" t="s">
        <v>463</v>
      </c>
      <c r="O64" s="28">
        <v>0</v>
      </c>
      <c r="P64" s="27" t="s">
        <v>464</v>
      </c>
      <c r="Q64" s="29">
        <v>2525352819</v>
      </c>
      <c r="R64" s="30">
        <v>2110799512</v>
      </c>
      <c r="S64" s="31" t="s">
        <v>73</v>
      </c>
      <c r="T64" s="24" t="s">
        <v>91</v>
      </c>
      <c r="U64" s="24" t="s">
        <v>75</v>
      </c>
      <c r="V64" s="32" t="s">
        <v>152</v>
      </c>
      <c r="W64" s="32" t="s">
        <v>153</v>
      </c>
      <c r="X64" s="32"/>
      <c r="Y64" s="24">
        <v>1022</v>
      </c>
      <c r="Z64" s="24">
        <v>19</v>
      </c>
      <c r="AA64" s="24">
        <f t="shared" si="8"/>
        <v>970.90000000000009</v>
      </c>
      <c r="AB64" s="24">
        <f t="shared" si="0"/>
        <v>19418</v>
      </c>
      <c r="AC64" s="24">
        <f t="shared" si="1"/>
        <v>18447.100000000002</v>
      </c>
      <c r="AD64" s="24">
        <f t="shared" si="2"/>
        <v>18447.100000000002</v>
      </c>
      <c r="AE64" s="24">
        <f t="shared" si="3"/>
        <v>970.89999999999782</v>
      </c>
      <c r="AF64" s="24">
        <v>0</v>
      </c>
      <c r="AG64" s="33">
        <v>4000</v>
      </c>
      <c r="AH64" s="24"/>
      <c r="AI64" s="24"/>
      <c r="AJ64" s="24"/>
      <c r="AK64" s="24"/>
      <c r="AL64" s="24"/>
      <c r="AM64" s="24" t="s">
        <v>79</v>
      </c>
      <c r="AN64" s="34" t="s">
        <v>465</v>
      </c>
      <c r="AO64" s="35" t="s">
        <v>81</v>
      </c>
      <c r="AP64" s="24">
        <f>248*2</f>
        <v>496</v>
      </c>
      <c r="AQ64" s="36">
        <f t="shared" si="10"/>
        <v>152.61538461538461</v>
      </c>
      <c r="AR64" s="37">
        <v>160</v>
      </c>
      <c r="AS64" s="38">
        <f t="shared" si="11"/>
        <v>7.3846153846153868</v>
      </c>
      <c r="AT64" s="39"/>
      <c r="AU64" s="38">
        <f t="shared" si="12"/>
        <v>7.3846153846153868</v>
      </c>
      <c r="AV64" s="40">
        <v>91.99</v>
      </c>
      <c r="AW64" s="41">
        <f t="shared" si="4"/>
        <v>14718.4</v>
      </c>
      <c r="AX64" s="24">
        <f t="shared" si="21"/>
        <v>101.47069187026688</v>
      </c>
      <c r="AY64" s="24"/>
      <c r="AZ64" s="24"/>
      <c r="BA64" s="24"/>
      <c r="BB64" s="24">
        <f t="shared" si="13"/>
        <v>0</v>
      </c>
      <c r="BC64" s="24">
        <f t="shared" si="14"/>
        <v>-271.29999999999745</v>
      </c>
      <c r="BD64" s="24"/>
      <c r="BE64" s="24"/>
      <c r="BF64" s="24"/>
      <c r="BG64" s="24">
        <f t="shared" si="31"/>
        <v>1844.71</v>
      </c>
      <c r="BH64" s="24"/>
      <c r="BI64" s="24"/>
      <c r="BJ64" s="24">
        <f t="shared" si="15"/>
        <v>18.447100000000002</v>
      </c>
      <c r="BK64" s="24">
        <f t="shared" si="16"/>
        <v>1554.9629000000025</v>
      </c>
      <c r="BL64" s="24" t="s">
        <v>96</v>
      </c>
      <c r="BM64" s="42">
        <f t="shared" si="6"/>
        <v>2</v>
      </c>
      <c r="BN64" s="24" t="s">
        <v>83</v>
      </c>
      <c r="BO64" s="2" t="s">
        <v>148</v>
      </c>
    </row>
    <row r="65" spans="1:67" s="1" customFormat="1" ht="15" customHeight="1" x14ac:dyDescent="0.3">
      <c r="A65" s="43">
        <v>61</v>
      </c>
      <c r="B65" s="21">
        <v>46087</v>
      </c>
      <c r="C65" s="21">
        <v>46097</v>
      </c>
      <c r="D65" s="56" t="s">
        <v>176</v>
      </c>
      <c r="E65" s="23">
        <v>46097</v>
      </c>
      <c r="F65" s="23" t="s">
        <v>7</v>
      </c>
      <c r="G65" s="24" t="s">
        <v>68</v>
      </c>
      <c r="H65" s="24" t="s">
        <v>69</v>
      </c>
      <c r="I65" s="24" t="s">
        <v>88</v>
      </c>
      <c r="J65" s="25" t="s">
        <v>89</v>
      </c>
      <c r="K65" s="45" t="str">
        <f t="shared" si="7"/>
        <v>WB67A9375</v>
      </c>
      <c r="L65" s="26">
        <v>46088</v>
      </c>
      <c r="M65" s="34" t="s">
        <v>466</v>
      </c>
      <c r="N65" s="27" t="s">
        <v>467</v>
      </c>
      <c r="O65" s="28">
        <v>0</v>
      </c>
      <c r="P65" s="27" t="s">
        <v>468</v>
      </c>
      <c r="Q65" s="29">
        <v>2525352818</v>
      </c>
      <c r="R65" s="30">
        <v>2110799511</v>
      </c>
      <c r="S65" s="31" t="s">
        <v>73</v>
      </c>
      <c r="T65" s="24" t="s">
        <v>91</v>
      </c>
      <c r="U65" s="24" t="s">
        <v>75</v>
      </c>
      <c r="V65" s="32" t="s">
        <v>152</v>
      </c>
      <c r="W65" s="32" t="s">
        <v>153</v>
      </c>
      <c r="X65" s="32"/>
      <c r="Y65" s="24">
        <v>1022</v>
      </c>
      <c r="Z65" s="24">
        <v>6</v>
      </c>
      <c r="AA65" s="24">
        <f t="shared" si="8"/>
        <v>970.90000000000009</v>
      </c>
      <c r="AB65" s="24">
        <f t="shared" si="0"/>
        <v>6132</v>
      </c>
      <c r="AC65" s="24">
        <f t="shared" si="1"/>
        <v>5825.4</v>
      </c>
      <c r="AD65" s="24">
        <f t="shared" si="2"/>
        <v>5825.4000000000005</v>
      </c>
      <c r="AE65" s="24">
        <f t="shared" si="3"/>
        <v>306.59999999999945</v>
      </c>
      <c r="AF65" s="24">
        <v>0</v>
      </c>
      <c r="AG65" s="31">
        <v>0</v>
      </c>
      <c r="AH65" s="24"/>
      <c r="AI65" s="24"/>
      <c r="AJ65" s="24"/>
      <c r="AK65" s="24">
        <v>115</v>
      </c>
      <c r="AL65" s="24"/>
      <c r="AM65" s="24">
        <v>0</v>
      </c>
      <c r="AN65" s="34" t="s">
        <v>213</v>
      </c>
      <c r="AO65" s="35"/>
      <c r="AP65" s="24"/>
      <c r="AQ65" s="36">
        <f t="shared" si="10"/>
        <v>0</v>
      </c>
      <c r="AR65" s="16"/>
      <c r="AS65" s="47">
        <f t="shared" si="11"/>
        <v>0</v>
      </c>
      <c r="AT65" s="31"/>
      <c r="AU65" s="47">
        <f t="shared" si="12"/>
        <v>0</v>
      </c>
      <c r="AV65" s="48">
        <v>91.99</v>
      </c>
      <c r="AW65" s="24">
        <f t="shared" si="4"/>
        <v>0</v>
      </c>
      <c r="AX65" s="24">
        <f t="shared" si="21"/>
        <v>0</v>
      </c>
      <c r="AY65" s="24"/>
      <c r="AZ65" s="24"/>
      <c r="BA65" s="24"/>
      <c r="BB65" s="24">
        <f t="shared" si="13"/>
        <v>0</v>
      </c>
      <c r="BC65" s="24">
        <f t="shared" si="14"/>
        <v>5710.4000000000005</v>
      </c>
      <c r="BD65" s="24"/>
      <c r="BE65" s="24"/>
      <c r="BF65" s="24"/>
      <c r="BG65" s="24">
        <f t="shared" si="31"/>
        <v>582.54</v>
      </c>
      <c r="BH65" s="24"/>
      <c r="BI65" s="24"/>
      <c r="BJ65" s="24">
        <f t="shared" si="15"/>
        <v>5.8254000000000001</v>
      </c>
      <c r="BK65" s="24">
        <f t="shared" si="16"/>
        <v>6287.1146000000008</v>
      </c>
      <c r="BL65" s="24" t="s">
        <v>96</v>
      </c>
      <c r="BM65" s="42">
        <f t="shared" si="6"/>
        <v>2</v>
      </c>
      <c r="BN65" s="24" t="s">
        <v>83</v>
      </c>
      <c r="BO65" s="2" t="s">
        <v>148</v>
      </c>
    </row>
    <row r="66" spans="1:67" s="1" customFormat="1" ht="15" customHeight="1" x14ac:dyDescent="0.3">
      <c r="A66" s="20">
        <v>62</v>
      </c>
      <c r="B66" s="21">
        <v>46087</v>
      </c>
      <c r="C66" s="21">
        <v>46097</v>
      </c>
      <c r="D66" s="56" t="s">
        <v>176</v>
      </c>
      <c r="E66" s="23">
        <v>46097</v>
      </c>
      <c r="F66" s="23" t="s">
        <v>7</v>
      </c>
      <c r="G66" s="24" t="s">
        <v>68</v>
      </c>
      <c r="H66" s="24" t="s">
        <v>69</v>
      </c>
      <c r="I66" s="24" t="s">
        <v>70</v>
      </c>
      <c r="J66" s="25" t="s">
        <v>150</v>
      </c>
      <c r="K66" s="45" t="str">
        <f t="shared" si="7"/>
        <v>WB39B9201</v>
      </c>
      <c r="L66" s="26">
        <v>46088</v>
      </c>
      <c r="M66" s="34" t="s">
        <v>469</v>
      </c>
      <c r="N66" s="27" t="s">
        <v>470</v>
      </c>
      <c r="O66" s="28">
        <v>0</v>
      </c>
      <c r="P66" s="27" t="s">
        <v>471</v>
      </c>
      <c r="Q66" s="29">
        <v>2525352822</v>
      </c>
      <c r="R66" s="30">
        <v>2110799514</v>
      </c>
      <c r="S66" s="31" t="s">
        <v>73</v>
      </c>
      <c r="T66" s="24" t="s">
        <v>91</v>
      </c>
      <c r="U66" s="24" t="s">
        <v>75</v>
      </c>
      <c r="V66" s="32" t="s">
        <v>472</v>
      </c>
      <c r="W66" s="32" t="s">
        <v>473</v>
      </c>
      <c r="X66" s="32"/>
      <c r="Y66" s="24">
        <v>1151</v>
      </c>
      <c r="Z66" s="24">
        <v>25</v>
      </c>
      <c r="AA66" s="24">
        <f t="shared" si="8"/>
        <v>1093.45</v>
      </c>
      <c r="AB66" s="24">
        <f t="shared" si="0"/>
        <v>28775</v>
      </c>
      <c r="AC66" s="24">
        <f t="shared" si="1"/>
        <v>27336.25</v>
      </c>
      <c r="AD66" s="24">
        <f t="shared" si="2"/>
        <v>27336.25</v>
      </c>
      <c r="AE66" s="24">
        <f t="shared" si="3"/>
        <v>1438.75</v>
      </c>
      <c r="AF66" s="24">
        <v>0</v>
      </c>
      <c r="AG66" s="33">
        <v>3700</v>
      </c>
      <c r="AH66" s="24"/>
      <c r="AI66" s="24"/>
      <c r="AJ66" s="24"/>
      <c r="AK66" s="24"/>
      <c r="AL66" s="24"/>
      <c r="AM66" s="24" t="s">
        <v>79</v>
      </c>
      <c r="AN66" s="34" t="s">
        <v>474</v>
      </c>
      <c r="AO66" s="35" t="s">
        <v>81</v>
      </c>
      <c r="AP66" s="24">
        <f>297*2</f>
        <v>594</v>
      </c>
      <c r="AQ66" s="36">
        <f t="shared" si="10"/>
        <v>182.76923076923077</v>
      </c>
      <c r="AR66" s="37">
        <v>150</v>
      </c>
      <c r="AS66" s="38">
        <f t="shared" si="11"/>
        <v>-32.769230769230774</v>
      </c>
      <c r="AT66" s="39"/>
      <c r="AU66" s="38">
        <f t="shared" si="12"/>
        <v>-32.769230769230774</v>
      </c>
      <c r="AV66" s="40">
        <v>91.88</v>
      </c>
      <c r="AW66" s="41">
        <f t="shared" si="4"/>
        <v>13782</v>
      </c>
      <c r="AX66" s="24">
        <f t="shared" si="21"/>
        <v>63.951712469705981</v>
      </c>
      <c r="AY66" s="24"/>
      <c r="AZ66" s="24"/>
      <c r="BA66" s="24"/>
      <c r="BB66" s="24">
        <f t="shared" si="13"/>
        <v>0</v>
      </c>
      <c r="BC66" s="24">
        <f t="shared" si="14"/>
        <v>9854.25</v>
      </c>
      <c r="BD66" s="24">
        <v>135</v>
      </c>
      <c r="BE66" s="24">
        <v>135</v>
      </c>
      <c r="BF66" s="24"/>
      <c r="BG66" s="24">
        <f t="shared" si="31"/>
        <v>2733.625</v>
      </c>
      <c r="BH66" s="24"/>
      <c r="BI66" s="24"/>
      <c r="BJ66" s="24">
        <f t="shared" si="15"/>
        <v>27.33625</v>
      </c>
      <c r="BK66" s="24">
        <f t="shared" si="16"/>
        <v>12830.53875</v>
      </c>
      <c r="BL66" s="24" t="s">
        <v>155</v>
      </c>
      <c r="BM66" s="42">
        <f t="shared" si="6"/>
        <v>2</v>
      </c>
      <c r="BN66" s="24" t="s">
        <v>83</v>
      </c>
      <c r="BO66" s="2" t="s">
        <v>148</v>
      </c>
    </row>
    <row r="67" spans="1:67" s="1" customFormat="1" ht="15" customHeight="1" x14ac:dyDescent="0.3">
      <c r="A67" s="20">
        <v>63</v>
      </c>
      <c r="B67" s="21">
        <v>46087</v>
      </c>
      <c r="C67" s="21">
        <v>46097</v>
      </c>
      <c r="D67" s="50" t="s">
        <v>335</v>
      </c>
      <c r="E67" s="23">
        <v>46097</v>
      </c>
      <c r="F67" s="23" t="s">
        <v>7</v>
      </c>
      <c r="G67" s="24" t="s">
        <v>68</v>
      </c>
      <c r="H67" s="24" t="s">
        <v>69</v>
      </c>
      <c r="I67" s="24" t="s">
        <v>263</v>
      </c>
      <c r="J67" s="25" t="s">
        <v>264</v>
      </c>
      <c r="K67" s="45" t="str">
        <f t="shared" si="7"/>
        <v>WB41G1024</v>
      </c>
      <c r="L67" s="26">
        <v>46088</v>
      </c>
      <c r="M67" s="34" t="s">
        <v>475</v>
      </c>
      <c r="N67" s="27" t="s">
        <v>476</v>
      </c>
      <c r="O67" s="28">
        <v>0</v>
      </c>
      <c r="P67" s="27" t="s">
        <v>477</v>
      </c>
      <c r="Q67" s="29">
        <v>2525353061</v>
      </c>
      <c r="R67" s="30">
        <v>2110799856</v>
      </c>
      <c r="S67" s="31" t="s">
        <v>73</v>
      </c>
      <c r="T67" s="24" t="s">
        <v>91</v>
      </c>
      <c r="U67" s="24" t="s">
        <v>75</v>
      </c>
      <c r="V67" s="32" t="s">
        <v>320</v>
      </c>
      <c r="W67" s="32" t="s">
        <v>321</v>
      </c>
      <c r="X67" s="32"/>
      <c r="Y67" s="24">
        <v>1057</v>
      </c>
      <c r="Z67" s="24">
        <v>25</v>
      </c>
      <c r="AA67" s="24">
        <f t="shared" si="8"/>
        <v>1004.15</v>
      </c>
      <c r="AB67" s="24">
        <f t="shared" si="0"/>
        <v>26425</v>
      </c>
      <c r="AC67" s="24">
        <f t="shared" si="1"/>
        <v>25103.75</v>
      </c>
      <c r="AD67" s="24">
        <f t="shared" si="2"/>
        <v>25103.75</v>
      </c>
      <c r="AE67" s="24">
        <f t="shared" si="3"/>
        <v>1321.25</v>
      </c>
      <c r="AF67" s="24">
        <v>0</v>
      </c>
      <c r="AG67" s="33">
        <v>4400</v>
      </c>
      <c r="AH67" s="24"/>
      <c r="AI67" s="24"/>
      <c r="AJ67" s="24"/>
      <c r="AK67" s="24"/>
      <c r="AL67" s="24"/>
      <c r="AM67" s="24" t="s">
        <v>79</v>
      </c>
      <c r="AN67" s="34" t="s">
        <v>478</v>
      </c>
      <c r="AO67" s="35" t="s">
        <v>81</v>
      </c>
      <c r="AP67" s="24">
        <f>243*2</f>
        <v>486</v>
      </c>
      <c r="AQ67" s="36">
        <f t="shared" si="10"/>
        <v>149.53846153846155</v>
      </c>
      <c r="AR67" s="37">
        <v>152</v>
      </c>
      <c r="AS67" s="38">
        <f t="shared" si="11"/>
        <v>2.4615384615384528</v>
      </c>
      <c r="AT67" s="39"/>
      <c r="AU67" s="38">
        <f t="shared" si="12"/>
        <v>2.4615384615384528</v>
      </c>
      <c r="AV67" s="40">
        <v>91.99</v>
      </c>
      <c r="AW67" s="41">
        <f t="shared" si="4"/>
        <v>13982.48</v>
      </c>
      <c r="AX67" s="24">
        <f t="shared" si="21"/>
        <v>73.226031967335558</v>
      </c>
      <c r="AY67" s="24"/>
      <c r="AZ67" s="24"/>
      <c r="BA67" s="24"/>
      <c r="BB67" s="24">
        <f t="shared" si="13"/>
        <v>0</v>
      </c>
      <c r="BC67" s="24">
        <f t="shared" si="14"/>
        <v>6721.27</v>
      </c>
      <c r="BD67" s="24">
        <v>135</v>
      </c>
      <c r="BE67" s="24">
        <v>135</v>
      </c>
      <c r="BF67" s="24"/>
      <c r="BG67" s="24">
        <f t="shared" si="31"/>
        <v>2510.375</v>
      </c>
      <c r="BH67" s="24"/>
      <c r="BI67" s="24"/>
      <c r="BJ67" s="24">
        <f t="shared" si="15"/>
        <v>25.103750000000002</v>
      </c>
      <c r="BK67" s="24">
        <f t="shared" si="16"/>
        <v>9476.5412500000002</v>
      </c>
      <c r="BL67" s="24" t="s">
        <v>96</v>
      </c>
      <c r="BM67" s="42">
        <f t="shared" si="6"/>
        <v>2</v>
      </c>
      <c r="BN67" s="24" t="s">
        <v>83</v>
      </c>
      <c r="BO67" s="2" t="s">
        <v>84</v>
      </c>
    </row>
    <row r="68" spans="1:67" s="1" customFormat="1" ht="15" customHeight="1" x14ac:dyDescent="0.3">
      <c r="A68" s="43">
        <v>64</v>
      </c>
      <c r="B68" s="21">
        <v>46087</v>
      </c>
      <c r="C68" s="21">
        <v>46097</v>
      </c>
      <c r="D68" s="50" t="s">
        <v>479</v>
      </c>
      <c r="E68" s="23">
        <v>46108</v>
      </c>
      <c r="F68" s="23" t="s">
        <v>7</v>
      </c>
      <c r="G68" s="24" t="s">
        <v>68</v>
      </c>
      <c r="H68" s="24" t="s">
        <v>69</v>
      </c>
      <c r="I68" s="24" t="s">
        <v>166</v>
      </c>
      <c r="J68" s="25" t="s">
        <v>167</v>
      </c>
      <c r="K68" s="45" t="str">
        <f t="shared" si="7"/>
        <v>WB41H0254</v>
      </c>
      <c r="L68" s="26">
        <v>46089</v>
      </c>
      <c r="M68" s="34" t="s">
        <v>480</v>
      </c>
      <c r="N68" s="27" t="s">
        <v>481</v>
      </c>
      <c r="O68" s="28">
        <v>0</v>
      </c>
      <c r="P68" s="27" t="s">
        <v>482</v>
      </c>
      <c r="Q68" s="29">
        <v>2525353090</v>
      </c>
      <c r="R68" s="30">
        <v>2110799866</v>
      </c>
      <c r="S68" s="31" t="s">
        <v>73</v>
      </c>
      <c r="T68" s="24" t="s">
        <v>91</v>
      </c>
      <c r="U68" s="24" t="s">
        <v>75</v>
      </c>
      <c r="V68" s="32" t="s">
        <v>483</v>
      </c>
      <c r="W68" s="32" t="s">
        <v>484</v>
      </c>
      <c r="X68" s="32" t="s">
        <v>485</v>
      </c>
      <c r="Y68" s="24">
        <v>1063</v>
      </c>
      <c r="Z68" s="24">
        <v>25</v>
      </c>
      <c r="AA68" s="24">
        <f t="shared" si="8"/>
        <v>1009.85</v>
      </c>
      <c r="AB68" s="24">
        <f t="shared" si="0"/>
        <v>26575</v>
      </c>
      <c r="AC68" s="24">
        <f t="shared" si="1"/>
        <v>25246.25</v>
      </c>
      <c r="AD68" s="24">
        <f t="shared" si="2"/>
        <v>25246.25</v>
      </c>
      <c r="AE68" s="24">
        <f t="shared" si="3"/>
        <v>1328.75</v>
      </c>
      <c r="AF68" s="24">
        <v>0</v>
      </c>
      <c r="AG68" s="33">
        <v>3600</v>
      </c>
      <c r="AH68" s="24"/>
      <c r="AI68" s="24"/>
      <c r="AJ68" s="24"/>
      <c r="AK68" s="24"/>
      <c r="AL68" s="24"/>
      <c r="AM68" s="24" t="s">
        <v>79</v>
      </c>
      <c r="AN68" s="34" t="s">
        <v>486</v>
      </c>
      <c r="AO68" s="35" t="s">
        <v>81</v>
      </c>
      <c r="AP68" s="24">
        <f>258*2</f>
        <v>516</v>
      </c>
      <c r="AQ68" s="36">
        <f t="shared" si="10"/>
        <v>158.76923076923077</v>
      </c>
      <c r="AR68" s="37">
        <v>150</v>
      </c>
      <c r="AS68" s="38">
        <f t="shared" si="11"/>
        <v>-8.7692307692307736</v>
      </c>
      <c r="AT68" s="39"/>
      <c r="AU68" s="38">
        <f t="shared" si="12"/>
        <v>-8.7692307692307736</v>
      </c>
      <c r="AV68" s="40">
        <v>91.99</v>
      </c>
      <c r="AW68" s="41">
        <f t="shared" si="4"/>
        <v>13798.5</v>
      </c>
      <c r="AX68" s="24">
        <f t="shared" si="21"/>
        <v>68.915185423577768</v>
      </c>
      <c r="AY68" s="24"/>
      <c r="AZ68" s="24"/>
      <c r="BA68" s="24"/>
      <c r="BB68" s="24">
        <f t="shared" si="13"/>
        <v>0</v>
      </c>
      <c r="BC68" s="24">
        <f t="shared" si="14"/>
        <v>7847.75</v>
      </c>
      <c r="BD68" s="24">
        <v>135</v>
      </c>
      <c r="BE68" s="24">
        <v>135</v>
      </c>
      <c r="BF68" s="24"/>
      <c r="BG68" s="24">
        <f t="shared" si="31"/>
        <v>2524.625</v>
      </c>
      <c r="BH68" s="24"/>
      <c r="BI68" s="24"/>
      <c r="BJ68" s="24">
        <f t="shared" si="15"/>
        <v>25.24625</v>
      </c>
      <c r="BK68" s="24">
        <f t="shared" si="16"/>
        <v>10617.12875</v>
      </c>
      <c r="BL68" s="24" t="s">
        <v>173</v>
      </c>
      <c r="BM68" s="42">
        <f t="shared" si="6"/>
        <v>3</v>
      </c>
      <c r="BN68" s="24" t="s">
        <v>139</v>
      </c>
      <c r="BO68" s="2" t="s">
        <v>175</v>
      </c>
    </row>
    <row r="69" spans="1:67" s="1" customFormat="1" ht="15" customHeight="1" x14ac:dyDescent="0.3">
      <c r="A69" s="20">
        <v>65</v>
      </c>
      <c r="B69" s="21">
        <v>46087</v>
      </c>
      <c r="C69" s="21">
        <v>46097</v>
      </c>
      <c r="D69" s="50" t="s">
        <v>335</v>
      </c>
      <c r="E69" s="23">
        <v>46097</v>
      </c>
      <c r="F69" s="23" t="s">
        <v>7</v>
      </c>
      <c r="G69" s="24" t="s">
        <v>68</v>
      </c>
      <c r="H69" s="24" t="s">
        <v>69</v>
      </c>
      <c r="I69" s="24" t="s">
        <v>112</v>
      </c>
      <c r="J69" s="25" t="s">
        <v>487</v>
      </c>
      <c r="K69" s="45" t="str">
        <f t="shared" si="7"/>
        <v>WB39A9434</v>
      </c>
      <c r="L69" s="26">
        <v>46089</v>
      </c>
      <c r="M69" s="34" t="s">
        <v>488</v>
      </c>
      <c r="N69" s="27" t="s">
        <v>489</v>
      </c>
      <c r="O69" s="28">
        <v>0</v>
      </c>
      <c r="P69" s="27" t="s">
        <v>490</v>
      </c>
      <c r="Q69" s="29">
        <v>2525353272</v>
      </c>
      <c r="R69" s="30">
        <v>2110799948</v>
      </c>
      <c r="S69" s="31" t="s">
        <v>73</v>
      </c>
      <c r="T69" s="24" t="s">
        <v>91</v>
      </c>
      <c r="U69" s="24" t="s">
        <v>75</v>
      </c>
      <c r="V69" s="32" t="s">
        <v>491</v>
      </c>
      <c r="W69" s="32" t="s">
        <v>492</v>
      </c>
      <c r="X69" s="32"/>
      <c r="Y69" s="24">
        <v>1047</v>
      </c>
      <c r="Z69" s="24">
        <v>25</v>
      </c>
      <c r="AA69" s="24">
        <f t="shared" si="8"/>
        <v>994.65000000000009</v>
      </c>
      <c r="AB69" s="24">
        <f t="shared" ref="AB69:AB132" si="32">+Z69*Y69</f>
        <v>26175</v>
      </c>
      <c r="AC69" s="24">
        <f t="shared" ref="AC69:AC132" si="33">+AB69/100*95</f>
        <v>24866.25</v>
      </c>
      <c r="AD69" s="24">
        <f t="shared" ref="AD69:AD132" si="34">+AA69*Z69</f>
        <v>24866.250000000004</v>
      </c>
      <c r="AE69" s="24">
        <f t="shared" ref="AE69:AE132" si="35">+AB69-AD69</f>
        <v>1308.7499999999964</v>
      </c>
      <c r="AF69" s="24">
        <f t="shared" si="28"/>
        <v>248.66250000000005</v>
      </c>
      <c r="AG69" s="33">
        <v>6300</v>
      </c>
      <c r="AH69" s="24"/>
      <c r="AI69" s="24"/>
      <c r="AJ69" s="24"/>
      <c r="AK69" s="24"/>
      <c r="AL69" s="24"/>
      <c r="AM69" s="24" t="s">
        <v>79</v>
      </c>
      <c r="AN69" s="34" t="s">
        <v>493</v>
      </c>
      <c r="AO69" s="35" t="s">
        <v>81</v>
      </c>
      <c r="AP69" s="24">
        <f>240*2</f>
        <v>480</v>
      </c>
      <c r="AQ69" s="36">
        <f t="shared" si="10"/>
        <v>147.69230769230768</v>
      </c>
      <c r="AR69" s="37">
        <v>155</v>
      </c>
      <c r="AS69" s="38">
        <f t="shared" si="11"/>
        <v>7.3076923076923208</v>
      </c>
      <c r="AT69" s="39"/>
      <c r="AU69" s="38">
        <f t="shared" si="12"/>
        <v>7.3076923076923208</v>
      </c>
      <c r="AV69" s="40">
        <v>91.99</v>
      </c>
      <c r="AW69" s="41">
        <f t="shared" ref="AW69:AW132" si="36">+AR69*AV69</f>
        <v>14258.449999999999</v>
      </c>
      <c r="AX69" s="24">
        <f t="shared" si="21"/>
        <v>82.676117227165307</v>
      </c>
      <c r="AY69" s="24"/>
      <c r="AZ69" s="24"/>
      <c r="BA69" s="24"/>
      <c r="BB69" s="24">
        <f t="shared" si="13"/>
        <v>0</v>
      </c>
      <c r="BC69" s="24">
        <f t="shared" si="14"/>
        <v>4059.1375000000062</v>
      </c>
      <c r="BD69" s="24">
        <v>135</v>
      </c>
      <c r="BE69" s="24">
        <v>135</v>
      </c>
      <c r="BF69" s="24"/>
      <c r="BG69" s="24">
        <f>+AB69*9.5%</f>
        <v>2486.625</v>
      </c>
      <c r="BH69" s="24"/>
      <c r="BI69" s="24"/>
      <c r="BJ69" s="24">
        <f t="shared" si="15"/>
        <v>24.866250000000001</v>
      </c>
      <c r="BK69" s="24">
        <f t="shared" si="16"/>
        <v>6790.8962500000061</v>
      </c>
      <c r="BL69" s="24" t="s">
        <v>494</v>
      </c>
      <c r="BM69" s="42">
        <f t="shared" ref="BM69:BM132" si="37">+L69-B69+1</f>
        <v>3</v>
      </c>
      <c r="BN69" s="24" t="s">
        <v>139</v>
      </c>
      <c r="BO69" s="2" t="s">
        <v>175</v>
      </c>
    </row>
    <row r="70" spans="1:67" s="1" customFormat="1" ht="15" customHeight="1" x14ac:dyDescent="0.3">
      <c r="A70" s="20">
        <v>66</v>
      </c>
      <c r="B70" s="21">
        <v>46087</v>
      </c>
      <c r="C70" s="21">
        <v>46097</v>
      </c>
      <c r="D70" s="50" t="s">
        <v>380</v>
      </c>
      <c r="E70" s="23">
        <v>46097</v>
      </c>
      <c r="F70" s="23" t="s">
        <v>7</v>
      </c>
      <c r="G70" s="24" t="s">
        <v>68</v>
      </c>
      <c r="H70" s="24" t="s">
        <v>69</v>
      </c>
      <c r="I70" s="24" t="s">
        <v>112</v>
      </c>
      <c r="J70" s="25" t="s">
        <v>113</v>
      </c>
      <c r="K70" s="45" t="str">
        <f t="shared" ref="K70:K133" si="38">CONCATENATE(H70,I70,J70)</f>
        <v>WB39A5062</v>
      </c>
      <c r="L70" s="26">
        <v>46089</v>
      </c>
      <c r="M70" s="34" t="s">
        <v>495</v>
      </c>
      <c r="N70" s="27" t="s">
        <v>496</v>
      </c>
      <c r="O70" s="28">
        <v>0</v>
      </c>
      <c r="P70" s="27" t="s">
        <v>497</v>
      </c>
      <c r="Q70" s="29">
        <v>2590194211</v>
      </c>
      <c r="R70" s="30">
        <v>2160372434</v>
      </c>
      <c r="S70" s="31" t="s">
        <v>73</v>
      </c>
      <c r="T70" s="24" t="s">
        <v>91</v>
      </c>
      <c r="U70" s="24" t="s">
        <v>347</v>
      </c>
      <c r="V70" s="32" t="s">
        <v>498</v>
      </c>
      <c r="W70" s="32" t="s">
        <v>349</v>
      </c>
      <c r="X70" s="32"/>
      <c r="Y70" s="24">
        <v>1000</v>
      </c>
      <c r="Z70" s="24">
        <v>25</v>
      </c>
      <c r="AA70" s="24">
        <f t="shared" ref="AA70:AA133" si="39">+Y70/100*95</f>
        <v>950</v>
      </c>
      <c r="AB70" s="24">
        <f t="shared" si="32"/>
        <v>25000</v>
      </c>
      <c r="AC70" s="24">
        <f t="shared" si="33"/>
        <v>23750</v>
      </c>
      <c r="AD70" s="24">
        <f t="shared" si="34"/>
        <v>23750</v>
      </c>
      <c r="AE70" s="24">
        <f t="shared" si="35"/>
        <v>1250</v>
      </c>
      <c r="AF70" s="24">
        <v>0</v>
      </c>
      <c r="AG70" s="33">
        <v>3800</v>
      </c>
      <c r="AH70" s="24"/>
      <c r="AI70" s="24"/>
      <c r="AJ70" s="24"/>
      <c r="AK70" s="24">
        <v>115</v>
      </c>
      <c r="AL70" s="24"/>
      <c r="AM70" s="24" t="s">
        <v>79</v>
      </c>
      <c r="AN70" s="34" t="s">
        <v>499</v>
      </c>
      <c r="AO70" s="35" t="s">
        <v>81</v>
      </c>
      <c r="AP70" s="24">
        <f>260*2</f>
        <v>520</v>
      </c>
      <c r="AQ70" s="36">
        <f t="shared" ref="AQ70:AQ133" si="40">+AP70/3.25</f>
        <v>160</v>
      </c>
      <c r="AR70" s="37">
        <v>175</v>
      </c>
      <c r="AS70" s="38">
        <f t="shared" ref="AS70:AS133" si="41">+AR70-AQ70</f>
        <v>15</v>
      </c>
      <c r="AT70" s="39"/>
      <c r="AU70" s="38">
        <f t="shared" ref="AU70:AU133" si="42">+AS70-AT70</f>
        <v>15</v>
      </c>
      <c r="AV70" s="40">
        <v>91.99</v>
      </c>
      <c r="AW70" s="41">
        <f t="shared" si="36"/>
        <v>16098.25</v>
      </c>
      <c r="AX70" s="24">
        <f t="shared" si="21"/>
        <v>83.782105263157888</v>
      </c>
      <c r="AY70" s="24"/>
      <c r="AZ70" s="24"/>
      <c r="BA70" s="24"/>
      <c r="BB70" s="24">
        <f t="shared" ref="BB70:BB133" si="43">+AZ70*BA70</f>
        <v>0</v>
      </c>
      <c r="BC70" s="24">
        <f t="shared" ref="BC70:BC133" si="44">+AD70-AF70-AG70-AH70-AI70-AJ70-AK70-AW70-AY70-BB70-AL70</f>
        <v>3736.75</v>
      </c>
      <c r="BD70" s="24"/>
      <c r="BE70" s="24"/>
      <c r="BF70" s="24"/>
      <c r="BG70" s="24">
        <f>+AB70*9.5%</f>
        <v>2375</v>
      </c>
      <c r="BH70" s="24"/>
      <c r="BI70" s="24"/>
      <c r="BJ70" s="24">
        <f t="shared" ref="BJ70:BJ133" si="45">+(+BF70+BG70+BH70+BI70)*1%</f>
        <v>23.75</v>
      </c>
      <c r="BK70" s="24">
        <f t="shared" ref="BK70:BK133" si="46">+BC70+BD70+BE70+BF70+BG70+BH70+BI70-BJ70</f>
        <v>6088</v>
      </c>
      <c r="BL70" s="24" t="s">
        <v>116</v>
      </c>
      <c r="BM70" s="42">
        <f t="shared" si="37"/>
        <v>3</v>
      </c>
      <c r="BN70" s="24" t="s">
        <v>139</v>
      </c>
      <c r="BO70" s="2" t="s">
        <v>500</v>
      </c>
    </row>
    <row r="71" spans="1:67" s="1" customFormat="1" ht="15" customHeight="1" x14ac:dyDescent="0.3">
      <c r="A71" s="43">
        <v>67</v>
      </c>
      <c r="B71" s="21">
        <v>46087</v>
      </c>
      <c r="C71" s="21">
        <v>46097</v>
      </c>
      <c r="D71" s="50" t="s">
        <v>335</v>
      </c>
      <c r="E71" s="23">
        <v>46097</v>
      </c>
      <c r="F71" s="23" t="s">
        <v>7</v>
      </c>
      <c r="G71" s="24" t="s">
        <v>68</v>
      </c>
      <c r="H71" s="24" t="s">
        <v>69</v>
      </c>
      <c r="I71" s="24" t="s">
        <v>236</v>
      </c>
      <c r="J71" s="25" t="s">
        <v>237</v>
      </c>
      <c r="K71" s="45" t="str">
        <f t="shared" si="38"/>
        <v>WB41J9798</v>
      </c>
      <c r="L71" s="26">
        <v>46089</v>
      </c>
      <c r="M71" s="34" t="s">
        <v>501</v>
      </c>
      <c r="N71" s="27" t="s">
        <v>502</v>
      </c>
      <c r="O71" s="28">
        <v>0</v>
      </c>
      <c r="P71" s="27" t="s">
        <v>503</v>
      </c>
      <c r="Q71" s="29">
        <v>2525353622</v>
      </c>
      <c r="R71" s="30">
        <v>2110800135</v>
      </c>
      <c r="S71" s="31" t="s">
        <v>73</v>
      </c>
      <c r="T71" s="24" t="s">
        <v>241</v>
      </c>
      <c r="U71" s="24" t="s">
        <v>75</v>
      </c>
      <c r="V71" s="32" t="s">
        <v>504</v>
      </c>
      <c r="W71" s="32" t="s">
        <v>505</v>
      </c>
      <c r="X71" s="32"/>
      <c r="Y71" s="24">
        <v>1385</v>
      </c>
      <c r="Z71" s="24">
        <v>30</v>
      </c>
      <c r="AA71" s="24">
        <f t="shared" si="39"/>
        <v>1315.75</v>
      </c>
      <c r="AB71" s="24">
        <f t="shared" si="32"/>
        <v>41550</v>
      </c>
      <c r="AC71" s="24">
        <f t="shared" si="33"/>
        <v>39472.5</v>
      </c>
      <c r="AD71" s="24">
        <f t="shared" si="34"/>
        <v>39472.5</v>
      </c>
      <c r="AE71" s="24">
        <f t="shared" si="35"/>
        <v>2077.5</v>
      </c>
      <c r="AF71" s="24">
        <v>0</v>
      </c>
      <c r="AG71" s="33">
        <v>6200</v>
      </c>
      <c r="AH71" s="24"/>
      <c r="AI71" s="24"/>
      <c r="AJ71" s="24"/>
      <c r="AK71" s="24"/>
      <c r="AL71" s="24"/>
      <c r="AM71" s="24" t="s">
        <v>79</v>
      </c>
      <c r="AN71" s="34" t="s">
        <v>506</v>
      </c>
      <c r="AO71" s="35" t="s">
        <v>81</v>
      </c>
      <c r="AP71" s="24">
        <f>337*2</f>
        <v>674</v>
      </c>
      <c r="AQ71" s="36">
        <f t="shared" si="40"/>
        <v>207.38461538461539</v>
      </c>
      <c r="AR71" s="37">
        <v>260</v>
      </c>
      <c r="AS71" s="38">
        <f t="shared" si="41"/>
        <v>52.615384615384613</v>
      </c>
      <c r="AT71" s="39"/>
      <c r="AU71" s="38">
        <f t="shared" si="42"/>
        <v>52.615384615384613</v>
      </c>
      <c r="AV71" s="40">
        <v>91.88</v>
      </c>
      <c r="AW71" s="41">
        <f t="shared" si="36"/>
        <v>23888.799999999999</v>
      </c>
      <c r="AX71" s="24">
        <f t="shared" si="21"/>
        <v>76.22724681740452</v>
      </c>
      <c r="AY71" s="24"/>
      <c r="AZ71" s="24"/>
      <c r="BA71" s="24"/>
      <c r="BB71" s="24">
        <f t="shared" si="43"/>
        <v>0</v>
      </c>
      <c r="BC71" s="24">
        <f t="shared" si="44"/>
        <v>9383.7000000000007</v>
      </c>
      <c r="BD71" s="24">
        <v>120</v>
      </c>
      <c r="BE71" s="24"/>
      <c r="BF71" s="24"/>
      <c r="BG71" s="24">
        <f>+AB71*9.5%</f>
        <v>3947.25</v>
      </c>
      <c r="BH71" s="24"/>
      <c r="BI71" s="24"/>
      <c r="BJ71" s="24">
        <f t="shared" si="45"/>
        <v>39.472500000000004</v>
      </c>
      <c r="BK71" s="24">
        <f t="shared" si="46"/>
        <v>13411.477500000001</v>
      </c>
      <c r="BL71" s="24" t="s">
        <v>245</v>
      </c>
      <c r="BM71" s="42">
        <f t="shared" si="37"/>
        <v>3</v>
      </c>
      <c r="BN71" s="24" t="s">
        <v>139</v>
      </c>
      <c r="BO71" s="2" t="s">
        <v>424</v>
      </c>
    </row>
    <row r="72" spans="1:67" s="1" customFormat="1" ht="15" customHeight="1" x14ac:dyDescent="0.3">
      <c r="A72" s="20">
        <v>68</v>
      </c>
      <c r="B72" s="21">
        <v>46087</v>
      </c>
      <c r="C72" s="21">
        <v>46097</v>
      </c>
      <c r="D72" s="50" t="s">
        <v>335</v>
      </c>
      <c r="E72" s="23">
        <v>46097</v>
      </c>
      <c r="F72" s="23" t="s">
        <v>7</v>
      </c>
      <c r="G72" s="24" t="s">
        <v>68</v>
      </c>
      <c r="H72" s="24" t="s">
        <v>69</v>
      </c>
      <c r="I72" s="24" t="s">
        <v>70</v>
      </c>
      <c r="J72" s="25" t="s">
        <v>215</v>
      </c>
      <c r="K72" s="45" t="str">
        <f t="shared" si="38"/>
        <v>WB39B0802</v>
      </c>
      <c r="L72" s="26">
        <v>46088</v>
      </c>
      <c r="M72" s="34" t="s">
        <v>507</v>
      </c>
      <c r="N72" s="27" t="s">
        <v>508</v>
      </c>
      <c r="O72" s="28">
        <v>0</v>
      </c>
      <c r="P72" s="27" t="s">
        <v>509</v>
      </c>
      <c r="Q72" s="29">
        <v>2525353690</v>
      </c>
      <c r="R72" s="30">
        <v>2110800168</v>
      </c>
      <c r="S72" s="31" t="s">
        <v>73</v>
      </c>
      <c r="T72" s="24" t="s">
        <v>74</v>
      </c>
      <c r="U72" s="24" t="s">
        <v>75</v>
      </c>
      <c r="V72" s="32" t="s">
        <v>510</v>
      </c>
      <c r="W72" s="32" t="s">
        <v>511</v>
      </c>
      <c r="X72" s="32"/>
      <c r="Y72" s="24">
        <v>499</v>
      </c>
      <c r="Z72" s="24">
        <v>19</v>
      </c>
      <c r="AA72" s="24">
        <f t="shared" si="39"/>
        <v>474.05</v>
      </c>
      <c r="AB72" s="24">
        <f t="shared" si="32"/>
        <v>9481</v>
      </c>
      <c r="AC72" s="24">
        <f t="shared" si="33"/>
        <v>9006.9500000000007</v>
      </c>
      <c r="AD72" s="24">
        <f t="shared" si="34"/>
        <v>9006.9500000000007</v>
      </c>
      <c r="AE72" s="24">
        <f t="shared" si="35"/>
        <v>474.04999999999927</v>
      </c>
      <c r="AF72" s="24">
        <f t="shared" si="28"/>
        <v>90.069500000000005</v>
      </c>
      <c r="AG72" s="33">
        <v>3000</v>
      </c>
      <c r="AH72" s="24"/>
      <c r="AI72" s="24">
        <v>6000</v>
      </c>
      <c r="AJ72" s="24"/>
      <c r="AK72" s="24">
        <v>115</v>
      </c>
      <c r="AL72" s="24"/>
      <c r="AM72" s="24" t="s">
        <v>79</v>
      </c>
      <c r="AN72" s="34" t="s">
        <v>512</v>
      </c>
      <c r="AO72" s="35" t="s">
        <v>81</v>
      </c>
      <c r="AP72" s="24">
        <f>77*2</f>
        <v>154</v>
      </c>
      <c r="AQ72" s="36">
        <f t="shared" si="40"/>
        <v>47.384615384615387</v>
      </c>
      <c r="AR72" s="37">
        <v>45</v>
      </c>
      <c r="AS72" s="38">
        <f t="shared" si="41"/>
        <v>-2.3846153846153868</v>
      </c>
      <c r="AT72" s="39"/>
      <c r="AU72" s="38">
        <f t="shared" si="42"/>
        <v>-2.3846153846153868</v>
      </c>
      <c r="AV72" s="40">
        <v>91.99</v>
      </c>
      <c r="AW72" s="41">
        <f t="shared" si="36"/>
        <v>4139.55</v>
      </c>
      <c r="AX72" s="24">
        <f t="shared" si="21"/>
        <v>79.26712150061897</v>
      </c>
      <c r="AY72" s="24"/>
      <c r="AZ72" s="24"/>
      <c r="BA72" s="24"/>
      <c r="BB72" s="24">
        <f t="shared" si="43"/>
        <v>0</v>
      </c>
      <c r="BC72" s="24">
        <f t="shared" si="44"/>
        <v>-4337.6694999999991</v>
      </c>
      <c r="BD72" s="24">
        <v>110</v>
      </c>
      <c r="BE72" s="24">
        <v>110</v>
      </c>
      <c r="BF72" s="24"/>
      <c r="BG72" s="24">
        <f>+AD72*8.5%</f>
        <v>765.59075000000007</v>
      </c>
      <c r="BH72" s="24">
        <f>+AD72*8.5%</f>
        <v>765.59075000000007</v>
      </c>
      <c r="BI72" s="24"/>
      <c r="BJ72" s="24">
        <f t="shared" si="45"/>
        <v>15.311815000000001</v>
      </c>
      <c r="BK72" s="24">
        <f t="shared" si="46"/>
        <v>-2601.7998149999985</v>
      </c>
      <c r="BL72" s="24" t="s">
        <v>82</v>
      </c>
      <c r="BM72" s="42">
        <f t="shared" si="37"/>
        <v>2</v>
      </c>
      <c r="BN72" s="24" t="s">
        <v>83</v>
      </c>
      <c r="BO72" s="2" t="s">
        <v>424</v>
      </c>
    </row>
    <row r="73" spans="1:67" s="1" customFormat="1" ht="15" customHeight="1" x14ac:dyDescent="0.3">
      <c r="A73" s="20">
        <v>69</v>
      </c>
      <c r="B73" s="21">
        <v>46087</v>
      </c>
      <c r="C73" s="21">
        <v>46097</v>
      </c>
      <c r="D73" s="52" t="s">
        <v>262</v>
      </c>
      <c r="E73" s="23">
        <v>46105</v>
      </c>
      <c r="F73" s="23" t="s">
        <v>7</v>
      </c>
      <c r="G73" s="24" t="s">
        <v>68</v>
      </c>
      <c r="H73" s="24" t="s">
        <v>69</v>
      </c>
      <c r="I73" s="24" t="s">
        <v>513</v>
      </c>
      <c r="J73" s="25" t="s">
        <v>514</v>
      </c>
      <c r="K73" s="45" t="str">
        <f t="shared" si="38"/>
        <v>WB67B3669</v>
      </c>
      <c r="L73" s="26">
        <v>46090</v>
      </c>
      <c r="M73" s="34" t="s">
        <v>515</v>
      </c>
      <c r="N73" s="27" t="s">
        <v>516</v>
      </c>
      <c r="O73" s="28">
        <v>0</v>
      </c>
      <c r="P73" s="27" t="s">
        <v>517</v>
      </c>
      <c r="Q73" s="29">
        <v>2525353269</v>
      </c>
      <c r="R73" s="30">
        <v>2110799947</v>
      </c>
      <c r="S73" s="54" t="s">
        <v>73</v>
      </c>
      <c r="T73" s="24" t="s">
        <v>241</v>
      </c>
      <c r="U73" s="24" t="s">
        <v>75</v>
      </c>
      <c r="V73" s="32" t="s">
        <v>504</v>
      </c>
      <c r="W73" s="32" t="s">
        <v>505</v>
      </c>
      <c r="X73" s="32" t="s">
        <v>518</v>
      </c>
      <c r="Y73" s="24">
        <v>1385</v>
      </c>
      <c r="Z73" s="24">
        <v>30</v>
      </c>
      <c r="AA73" s="24">
        <f t="shared" si="39"/>
        <v>1315.75</v>
      </c>
      <c r="AB73" s="24">
        <f t="shared" si="32"/>
        <v>41550</v>
      </c>
      <c r="AC73" s="24">
        <f t="shared" si="33"/>
        <v>39472.5</v>
      </c>
      <c r="AD73" s="24">
        <f t="shared" si="34"/>
        <v>39472.5</v>
      </c>
      <c r="AE73" s="24">
        <f t="shared" si="35"/>
        <v>2077.5</v>
      </c>
      <c r="AF73" s="24">
        <v>0</v>
      </c>
      <c r="AG73" s="33">
        <v>4700</v>
      </c>
      <c r="AH73" s="24"/>
      <c r="AI73" s="24"/>
      <c r="AJ73" s="24"/>
      <c r="AK73" s="24"/>
      <c r="AL73" s="24"/>
      <c r="AM73" s="24" t="s">
        <v>79</v>
      </c>
      <c r="AN73" s="34" t="s">
        <v>519</v>
      </c>
      <c r="AO73" s="35" t="s">
        <v>81</v>
      </c>
      <c r="AP73" s="24">
        <f>337*2</f>
        <v>674</v>
      </c>
      <c r="AQ73" s="36">
        <f t="shared" si="40"/>
        <v>207.38461538461539</v>
      </c>
      <c r="AR73" s="37">
        <v>200</v>
      </c>
      <c r="AS73" s="38">
        <f t="shared" si="41"/>
        <v>-7.3846153846153868</v>
      </c>
      <c r="AT73" s="39"/>
      <c r="AU73" s="38">
        <f t="shared" si="42"/>
        <v>-7.3846153846153868</v>
      </c>
      <c r="AV73" s="40">
        <v>91.88</v>
      </c>
      <c r="AW73" s="41">
        <f t="shared" si="36"/>
        <v>18376</v>
      </c>
      <c r="AX73" s="24">
        <f t="shared" si="21"/>
        <v>58.460953828614862</v>
      </c>
      <c r="AY73" s="24"/>
      <c r="AZ73" s="24"/>
      <c r="BA73" s="24"/>
      <c r="BB73" s="24">
        <f t="shared" si="43"/>
        <v>0</v>
      </c>
      <c r="BC73" s="24">
        <f t="shared" si="44"/>
        <v>16396.5</v>
      </c>
      <c r="BD73" s="24"/>
      <c r="BE73" s="24"/>
      <c r="BF73" s="24"/>
      <c r="BG73" s="24">
        <f>+AB73*9.5%</f>
        <v>3947.25</v>
      </c>
      <c r="BH73" s="24"/>
      <c r="BI73" s="24"/>
      <c r="BJ73" s="24">
        <f t="shared" si="45"/>
        <v>39.472500000000004</v>
      </c>
      <c r="BK73" s="24">
        <f t="shared" si="46"/>
        <v>20304.2775</v>
      </c>
      <c r="BL73" s="24" t="s">
        <v>173</v>
      </c>
      <c r="BM73" s="42">
        <f t="shared" si="37"/>
        <v>4</v>
      </c>
      <c r="BN73" s="24" t="s">
        <v>174</v>
      </c>
      <c r="BO73" s="2" t="s">
        <v>424</v>
      </c>
    </row>
    <row r="74" spans="1:67" s="1" customFormat="1" ht="15" customHeight="1" x14ac:dyDescent="0.3">
      <c r="A74" s="43">
        <v>70</v>
      </c>
      <c r="B74" s="21">
        <v>46088</v>
      </c>
      <c r="C74" s="21">
        <v>46097</v>
      </c>
      <c r="D74" s="52" t="s">
        <v>97</v>
      </c>
      <c r="E74" s="23">
        <v>46104</v>
      </c>
      <c r="F74" s="23" t="s">
        <v>7</v>
      </c>
      <c r="G74" s="24" t="s">
        <v>87</v>
      </c>
      <c r="H74" s="24" t="s">
        <v>69</v>
      </c>
      <c r="I74" s="24" t="s">
        <v>389</v>
      </c>
      <c r="J74" s="25" t="s">
        <v>390</v>
      </c>
      <c r="K74" s="45" t="str">
        <f t="shared" si="38"/>
        <v>WB39G6846</v>
      </c>
      <c r="L74" s="26">
        <v>46089</v>
      </c>
      <c r="M74" s="34" t="s">
        <v>520</v>
      </c>
      <c r="N74" s="27" t="s">
        <v>521</v>
      </c>
      <c r="O74" s="28">
        <v>0</v>
      </c>
      <c r="P74" s="27"/>
      <c r="Q74" s="29">
        <v>2525353977</v>
      </c>
      <c r="R74" s="30">
        <v>2110800350</v>
      </c>
      <c r="S74" s="54" t="s">
        <v>73</v>
      </c>
      <c r="T74" s="24" t="s">
        <v>91</v>
      </c>
      <c r="U74" s="24" t="s">
        <v>75</v>
      </c>
      <c r="V74" s="32" t="s">
        <v>375</v>
      </c>
      <c r="W74" s="32" t="s">
        <v>376</v>
      </c>
      <c r="X74" s="32"/>
      <c r="Y74" s="24">
        <v>741</v>
      </c>
      <c r="Z74" s="24">
        <v>25</v>
      </c>
      <c r="AA74" s="24">
        <f t="shared" si="39"/>
        <v>703.95</v>
      </c>
      <c r="AB74" s="24">
        <f t="shared" si="32"/>
        <v>18525</v>
      </c>
      <c r="AC74" s="24">
        <f t="shared" si="33"/>
        <v>17598.75</v>
      </c>
      <c r="AD74" s="24">
        <f t="shared" si="34"/>
        <v>17598.75</v>
      </c>
      <c r="AE74" s="24">
        <f t="shared" si="35"/>
        <v>926.25</v>
      </c>
      <c r="AF74" s="24">
        <v>0</v>
      </c>
      <c r="AG74" s="33">
        <v>3700</v>
      </c>
      <c r="AH74" s="24"/>
      <c r="AI74" s="24"/>
      <c r="AJ74" s="24"/>
      <c r="AK74" s="24">
        <v>115</v>
      </c>
      <c r="AL74" s="24"/>
      <c r="AM74" s="24" t="s">
        <v>79</v>
      </c>
      <c r="AN74" s="34" t="s">
        <v>522</v>
      </c>
      <c r="AO74" s="35" t="s">
        <v>81</v>
      </c>
      <c r="AP74" s="24">
        <f>164*2</f>
        <v>328</v>
      </c>
      <c r="AQ74" s="36">
        <f t="shared" si="40"/>
        <v>100.92307692307692</v>
      </c>
      <c r="AR74" s="37">
        <v>105</v>
      </c>
      <c r="AS74" s="38">
        <f t="shared" si="41"/>
        <v>4.0769230769230802</v>
      </c>
      <c r="AT74" s="39"/>
      <c r="AU74" s="38">
        <f t="shared" si="42"/>
        <v>4.0769230769230802</v>
      </c>
      <c r="AV74" s="40">
        <v>91.99</v>
      </c>
      <c r="AW74" s="41">
        <f t="shared" si="36"/>
        <v>9658.9499999999989</v>
      </c>
      <c r="AX74" s="24">
        <f t="shared" si="21"/>
        <v>75.908516229845873</v>
      </c>
      <c r="AY74" s="24"/>
      <c r="AZ74" s="24"/>
      <c r="BA74" s="24"/>
      <c r="BB74" s="24">
        <f t="shared" si="43"/>
        <v>0</v>
      </c>
      <c r="BC74" s="24">
        <f t="shared" si="44"/>
        <v>4124.8000000000011</v>
      </c>
      <c r="BD74" s="24">
        <v>120</v>
      </c>
      <c r="BE74" s="24"/>
      <c r="BF74" s="24"/>
      <c r="BG74" s="24">
        <v>0</v>
      </c>
      <c r="BH74" s="24"/>
      <c r="BI74" s="24"/>
      <c r="BJ74" s="24">
        <f t="shared" si="45"/>
        <v>0</v>
      </c>
      <c r="BK74" s="24">
        <f t="shared" si="46"/>
        <v>4244.8000000000011</v>
      </c>
      <c r="BL74" s="24" t="s">
        <v>116</v>
      </c>
      <c r="BM74" s="42">
        <f t="shared" si="37"/>
        <v>2</v>
      </c>
      <c r="BN74" s="24" t="s">
        <v>83</v>
      </c>
      <c r="BO74" s="2" t="s">
        <v>440</v>
      </c>
    </row>
    <row r="75" spans="1:67" s="1" customFormat="1" ht="15" customHeight="1" x14ac:dyDescent="0.3">
      <c r="A75" s="20">
        <v>71</v>
      </c>
      <c r="B75" s="21">
        <v>46088</v>
      </c>
      <c r="C75" s="21">
        <v>46097</v>
      </c>
      <c r="D75" s="52" t="s">
        <v>523</v>
      </c>
      <c r="E75" s="23">
        <v>46105</v>
      </c>
      <c r="F75" s="23" t="s">
        <v>7</v>
      </c>
      <c r="G75" s="24" t="s">
        <v>68</v>
      </c>
      <c r="H75" s="24" t="s">
        <v>69</v>
      </c>
      <c r="I75" s="24" t="s">
        <v>263</v>
      </c>
      <c r="J75" s="25" t="s">
        <v>316</v>
      </c>
      <c r="K75" s="45" t="str">
        <f t="shared" si="38"/>
        <v>WB41G6396</v>
      </c>
      <c r="L75" s="26">
        <v>46089</v>
      </c>
      <c r="M75" s="34" t="s">
        <v>524</v>
      </c>
      <c r="N75" s="27" t="s">
        <v>525</v>
      </c>
      <c r="O75" s="28">
        <v>0</v>
      </c>
      <c r="P75" s="27" t="s">
        <v>526</v>
      </c>
      <c r="Q75" s="29">
        <v>2525353980</v>
      </c>
      <c r="R75" s="30">
        <v>2110800540</v>
      </c>
      <c r="S75" s="54" t="s">
        <v>73</v>
      </c>
      <c r="T75" s="24" t="s">
        <v>91</v>
      </c>
      <c r="U75" s="24" t="s">
        <v>75</v>
      </c>
      <c r="V75" s="32" t="s">
        <v>527</v>
      </c>
      <c r="W75" s="32" t="s">
        <v>528</v>
      </c>
      <c r="X75" s="32" t="s">
        <v>529</v>
      </c>
      <c r="Y75" s="24">
        <v>961</v>
      </c>
      <c r="Z75" s="24">
        <v>25</v>
      </c>
      <c r="AA75" s="24">
        <f t="shared" si="39"/>
        <v>912.94999999999993</v>
      </c>
      <c r="AB75" s="24">
        <f t="shared" si="32"/>
        <v>24025</v>
      </c>
      <c r="AC75" s="24">
        <f t="shared" si="33"/>
        <v>22823.75</v>
      </c>
      <c r="AD75" s="24">
        <f t="shared" si="34"/>
        <v>22823.75</v>
      </c>
      <c r="AE75" s="24">
        <f t="shared" si="35"/>
        <v>1201.25</v>
      </c>
      <c r="AF75" s="24">
        <v>0</v>
      </c>
      <c r="AG75" s="33">
        <v>7000</v>
      </c>
      <c r="AH75" s="24"/>
      <c r="AI75" s="24"/>
      <c r="AJ75" s="24"/>
      <c r="AK75" s="24"/>
      <c r="AL75" s="24"/>
      <c r="AM75" s="24" t="s">
        <v>79</v>
      </c>
      <c r="AN75" s="34" t="s">
        <v>530</v>
      </c>
      <c r="AO75" s="35" t="s">
        <v>81</v>
      </c>
      <c r="AP75" s="24">
        <f>216*2</f>
        <v>432</v>
      </c>
      <c r="AQ75" s="36">
        <f t="shared" si="40"/>
        <v>132.92307692307693</v>
      </c>
      <c r="AR75" s="37">
        <v>130</v>
      </c>
      <c r="AS75" s="38">
        <f t="shared" si="41"/>
        <v>-2.923076923076934</v>
      </c>
      <c r="AT75" s="39"/>
      <c r="AU75" s="38">
        <f t="shared" si="42"/>
        <v>-2.923076923076934</v>
      </c>
      <c r="AV75" s="40">
        <v>91.99</v>
      </c>
      <c r="AW75" s="41">
        <f t="shared" si="36"/>
        <v>11958.699999999999</v>
      </c>
      <c r="AX75" s="24">
        <f t="shared" si="21"/>
        <v>83.065666246782399</v>
      </c>
      <c r="AY75" s="24"/>
      <c r="AZ75" s="24"/>
      <c r="BA75" s="24"/>
      <c r="BB75" s="24">
        <f t="shared" si="43"/>
        <v>0</v>
      </c>
      <c r="BC75" s="24">
        <f t="shared" si="44"/>
        <v>3865.0500000000011</v>
      </c>
      <c r="BD75" s="24">
        <v>135</v>
      </c>
      <c r="BE75" s="24">
        <v>135</v>
      </c>
      <c r="BF75" s="24"/>
      <c r="BG75" s="24">
        <f>+AB75*9.5%</f>
        <v>2282.375</v>
      </c>
      <c r="BH75" s="24"/>
      <c r="BI75" s="24"/>
      <c r="BJ75" s="24">
        <f t="shared" si="45"/>
        <v>22.82375</v>
      </c>
      <c r="BK75" s="24">
        <f t="shared" si="46"/>
        <v>6394.6012500000015</v>
      </c>
      <c r="BL75" s="24" t="s">
        <v>121</v>
      </c>
      <c r="BM75" s="42">
        <f t="shared" si="37"/>
        <v>2</v>
      </c>
      <c r="BN75" s="24" t="s">
        <v>83</v>
      </c>
      <c r="BO75" s="2" t="s">
        <v>148</v>
      </c>
    </row>
    <row r="76" spans="1:67" s="1" customFormat="1" ht="15" customHeight="1" x14ac:dyDescent="0.3">
      <c r="A76" s="20">
        <v>72</v>
      </c>
      <c r="B76" s="21">
        <v>46088</v>
      </c>
      <c r="C76" s="21">
        <v>46097</v>
      </c>
      <c r="D76" s="50" t="s">
        <v>531</v>
      </c>
      <c r="E76" s="23">
        <v>46097</v>
      </c>
      <c r="F76" s="23" t="s">
        <v>7</v>
      </c>
      <c r="G76" s="24" t="s">
        <v>68</v>
      </c>
      <c r="H76" s="24" t="s">
        <v>69</v>
      </c>
      <c r="I76" s="24" t="s">
        <v>131</v>
      </c>
      <c r="J76" s="25" t="s">
        <v>132</v>
      </c>
      <c r="K76" s="45" t="str">
        <f t="shared" si="38"/>
        <v>WB29A8166</v>
      </c>
      <c r="L76" s="26">
        <v>46089</v>
      </c>
      <c r="M76" s="34" t="s">
        <v>532</v>
      </c>
      <c r="N76" s="27" t="s">
        <v>533</v>
      </c>
      <c r="O76" s="28">
        <v>0</v>
      </c>
      <c r="P76" s="27" t="s">
        <v>534</v>
      </c>
      <c r="Q76" s="29">
        <v>2525353999</v>
      </c>
      <c r="R76" s="30">
        <v>2110800552</v>
      </c>
      <c r="S76" s="31" t="s">
        <v>73</v>
      </c>
      <c r="T76" s="24" t="s">
        <v>91</v>
      </c>
      <c r="U76" s="24" t="s">
        <v>75</v>
      </c>
      <c r="V76" s="32" t="s">
        <v>355</v>
      </c>
      <c r="W76" s="32" t="s">
        <v>535</v>
      </c>
      <c r="X76" s="32"/>
      <c r="Y76" s="24">
        <v>1019</v>
      </c>
      <c r="Z76" s="24">
        <v>15</v>
      </c>
      <c r="AA76" s="24">
        <f t="shared" si="39"/>
        <v>968.05</v>
      </c>
      <c r="AB76" s="24">
        <f t="shared" si="32"/>
        <v>15285</v>
      </c>
      <c r="AC76" s="24">
        <f t="shared" si="33"/>
        <v>14520.75</v>
      </c>
      <c r="AD76" s="24">
        <f t="shared" si="34"/>
        <v>14520.75</v>
      </c>
      <c r="AE76" s="24">
        <f t="shared" si="35"/>
        <v>764.25</v>
      </c>
      <c r="AF76" s="24">
        <v>0</v>
      </c>
      <c r="AG76" s="33">
        <v>5900</v>
      </c>
      <c r="AH76" s="24"/>
      <c r="AI76" s="24"/>
      <c r="AJ76" s="24"/>
      <c r="AK76" s="24"/>
      <c r="AL76" s="24"/>
      <c r="AM76" s="24" t="s">
        <v>79</v>
      </c>
      <c r="AN76" s="34" t="s">
        <v>536</v>
      </c>
      <c r="AO76" s="35" t="s">
        <v>81</v>
      </c>
      <c r="AP76" s="24">
        <f>230*2</f>
        <v>460</v>
      </c>
      <c r="AQ76" s="36">
        <f t="shared" si="40"/>
        <v>141.53846153846155</v>
      </c>
      <c r="AR76" s="37">
        <v>145</v>
      </c>
      <c r="AS76" s="38">
        <f t="shared" si="41"/>
        <v>3.4615384615384528</v>
      </c>
      <c r="AT76" s="39"/>
      <c r="AU76" s="38">
        <f t="shared" si="42"/>
        <v>3.4615384615384528</v>
      </c>
      <c r="AV76" s="40">
        <v>91.99</v>
      </c>
      <c r="AW76" s="41">
        <f t="shared" si="36"/>
        <v>13338.55</v>
      </c>
      <c r="AX76" s="24">
        <f t="shared" si="21"/>
        <v>132.4900573317494</v>
      </c>
      <c r="AY76" s="24"/>
      <c r="AZ76" s="24"/>
      <c r="BA76" s="24"/>
      <c r="BB76" s="24">
        <f t="shared" si="43"/>
        <v>0</v>
      </c>
      <c r="BC76" s="24">
        <f t="shared" si="44"/>
        <v>-4717.7999999999993</v>
      </c>
      <c r="BD76" s="24">
        <v>135</v>
      </c>
      <c r="BE76" s="24">
        <v>135</v>
      </c>
      <c r="BF76" s="24"/>
      <c r="BG76" s="24">
        <f>+AB76*9.5%</f>
        <v>1452.075</v>
      </c>
      <c r="BH76" s="24"/>
      <c r="BI76" s="24"/>
      <c r="BJ76" s="24">
        <f t="shared" si="45"/>
        <v>14.520750000000001</v>
      </c>
      <c r="BK76" s="24">
        <f t="shared" si="46"/>
        <v>-3010.2457499999996</v>
      </c>
      <c r="BL76" s="24" t="s">
        <v>138</v>
      </c>
      <c r="BM76" s="42">
        <f t="shared" si="37"/>
        <v>2</v>
      </c>
      <c r="BN76" s="24" t="s">
        <v>83</v>
      </c>
      <c r="BO76" s="2" t="s">
        <v>537</v>
      </c>
    </row>
    <row r="77" spans="1:67" s="1" customFormat="1" ht="15" customHeight="1" x14ac:dyDescent="0.3">
      <c r="A77" s="43">
        <v>73</v>
      </c>
      <c r="B77" s="21">
        <v>46088</v>
      </c>
      <c r="C77" s="21">
        <v>46097</v>
      </c>
      <c r="D77" s="50" t="s">
        <v>531</v>
      </c>
      <c r="E77" s="23">
        <v>46097</v>
      </c>
      <c r="F77" s="23" t="s">
        <v>7</v>
      </c>
      <c r="G77" s="24" t="s">
        <v>68</v>
      </c>
      <c r="H77" s="24" t="s">
        <v>69</v>
      </c>
      <c r="I77" s="24" t="s">
        <v>131</v>
      </c>
      <c r="J77" s="25" t="s">
        <v>132</v>
      </c>
      <c r="K77" s="45" t="str">
        <f t="shared" si="38"/>
        <v>WB29A8166</v>
      </c>
      <c r="L77" s="26">
        <v>46089</v>
      </c>
      <c r="M77" s="34" t="s">
        <v>538</v>
      </c>
      <c r="N77" s="27" t="s">
        <v>539</v>
      </c>
      <c r="O77" s="28">
        <v>0</v>
      </c>
      <c r="P77" s="27" t="s">
        <v>540</v>
      </c>
      <c r="Q77" s="29">
        <v>2525353997</v>
      </c>
      <c r="R77" s="30">
        <v>2110800551</v>
      </c>
      <c r="S77" s="31" t="s">
        <v>73</v>
      </c>
      <c r="T77" s="24" t="s">
        <v>91</v>
      </c>
      <c r="U77" s="24" t="s">
        <v>75</v>
      </c>
      <c r="V77" s="32" t="s">
        <v>355</v>
      </c>
      <c r="W77" s="32" t="s">
        <v>535</v>
      </c>
      <c r="X77" s="32"/>
      <c r="Y77" s="24">
        <v>1019</v>
      </c>
      <c r="Z77" s="24">
        <v>10</v>
      </c>
      <c r="AA77" s="24">
        <f t="shared" si="39"/>
        <v>968.05</v>
      </c>
      <c r="AB77" s="24">
        <f t="shared" si="32"/>
        <v>10190</v>
      </c>
      <c r="AC77" s="24">
        <f t="shared" si="33"/>
        <v>9680.5</v>
      </c>
      <c r="AD77" s="24">
        <f t="shared" si="34"/>
        <v>9680.5</v>
      </c>
      <c r="AE77" s="24">
        <f t="shared" si="35"/>
        <v>509.5</v>
      </c>
      <c r="AF77" s="24">
        <v>0</v>
      </c>
      <c r="AG77" s="31">
        <v>0</v>
      </c>
      <c r="AH77" s="24"/>
      <c r="AI77" s="24"/>
      <c r="AJ77" s="24"/>
      <c r="AK77" s="24">
        <v>115</v>
      </c>
      <c r="AL77" s="24"/>
      <c r="AM77" s="24">
        <v>0</v>
      </c>
      <c r="AN77" s="34" t="s">
        <v>213</v>
      </c>
      <c r="AO77" s="35"/>
      <c r="AP77" s="24"/>
      <c r="AQ77" s="36">
        <f t="shared" si="40"/>
        <v>0</v>
      </c>
      <c r="AR77" s="16">
        <v>0</v>
      </c>
      <c r="AS77" s="47">
        <f t="shared" si="41"/>
        <v>0</v>
      </c>
      <c r="AT77" s="31"/>
      <c r="AU77" s="47">
        <f t="shared" si="42"/>
        <v>0</v>
      </c>
      <c r="AV77" s="48">
        <v>91.99</v>
      </c>
      <c r="AW77" s="24">
        <f t="shared" si="36"/>
        <v>0</v>
      </c>
      <c r="AX77" s="24">
        <f t="shared" si="21"/>
        <v>0</v>
      </c>
      <c r="AY77" s="24"/>
      <c r="AZ77" s="24"/>
      <c r="BA77" s="24"/>
      <c r="BB77" s="24">
        <f t="shared" si="43"/>
        <v>0</v>
      </c>
      <c r="BC77" s="24">
        <f t="shared" si="44"/>
        <v>9565.5</v>
      </c>
      <c r="BD77" s="24"/>
      <c r="BE77" s="24"/>
      <c r="BF77" s="24"/>
      <c r="BG77" s="24">
        <f>+AB77*9.5%</f>
        <v>968.05</v>
      </c>
      <c r="BH77" s="24"/>
      <c r="BI77" s="24"/>
      <c r="BJ77" s="24">
        <f t="shared" si="45"/>
        <v>9.6805000000000003</v>
      </c>
      <c r="BK77" s="24">
        <f t="shared" si="46"/>
        <v>10523.869499999999</v>
      </c>
      <c r="BL77" s="24" t="s">
        <v>138</v>
      </c>
      <c r="BM77" s="42">
        <f t="shared" si="37"/>
        <v>2</v>
      </c>
      <c r="BN77" s="24" t="s">
        <v>83</v>
      </c>
      <c r="BO77" s="2" t="s">
        <v>537</v>
      </c>
    </row>
    <row r="78" spans="1:67" s="1" customFormat="1" ht="15" customHeight="1" x14ac:dyDescent="0.3">
      <c r="A78" s="20">
        <v>74</v>
      </c>
      <c r="B78" s="21">
        <v>46088</v>
      </c>
      <c r="C78" s="21">
        <v>46097</v>
      </c>
      <c r="D78" s="52" t="s">
        <v>541</v>
      </c>
      <c r="E78" s="23">
        <v>46105</v>
      </c>
      <c r="F78" s="23" t="s">
        <v>7</v>
      </c>
      <c r="G78" s="24" t="s">
        <v>68</v>
      </c>
      <c r="H78" s="24" t="s">
        <v>69</v>
      </c>
      <c r="I78" s="24" t="s">
        <v>70</v>
      </c>
      <c r="J78" s="25" t="s">
        <v>71</v>
      </c>
      <c r="K78" s="45" t="str">
        <f t="shared" si="38"/>
        <v>WB39B0034</v>
      </c>
      <c r="L78" s="26">
        <v>46089</v>
      </c>
      <c r="M78" s="34" t="s">
        <v>542</v>
      </c>
      <c r="N78" s="27" t="s">
        <v>543</v>
      </c>
      <c r="O78" s="28">
        <v>0</v>
      </c>
      <c r="P78" s="27" t="s">
        <v>544</v>
      </c>
      <c r="Q78" s="29">
        <v>2525354104</v>
      </c>
      <c r="R78" s="30">
        <v>2110800740</v>
      </c>
      <c r="S78" s="54" t="s">
        <v>73</v>
      </c>
      <c r="T78" s="24" t="s">
        <v>74</v>
      </c>
      <c r="U78" s="24" t="s">
        <v>75</v>
      </c>
      <c r="V78" s="32" t="s">
        <v>545</v>
      </c>
      <c r="W78" s="32" t="s">
        <v>445</v>
      </c>
      <c r="X78" s="32" t="s">
        <v>546</v>
      </c>
      <c r="Y78" s="24">
        <v>790</v>
      </c>
      <c r="Z78" s="24">
        <v>19</v>
      </c>
      <c r="AA78" s="24">
        <f t="shared" si="39"/>
        <v>750.5</v>
      </c>
      <c r="AB78" s="24">
        <f t="shared" si="32"/>
        <v>15010</v>
      </c>
      <c r="AC78" s="24">
        <f t="shared" si="33"/>
        <v>14259.5</v>
      </c>
      <c r="AD78" s="24">
        <f t="shared" si="34"/>
        <v>14259.5</v>
      </c>
      <c r="AE78" s="24">
        <f t="shared" si="35"/>
        <v>750.5</v>
      </c>
      <c r="AF78" s="24">
        <f t="shared" ref="AF78:AF106" si="47">+AD78*1%</f>
        <v>142.595</v>
      </c>
      <c r="AG78" s="33">
        <v>3200</v>
      </c>
      <c r="AH78" s="24"/>
      <c r="AI78" s="24">
        <v>700</v>
      </c>
      <c r="AJ78" s="24"/>
      <c r="AK78" s="24"/>
      <c r="AL78" s="24"/>
      <c r="AM78" s="24" t="s">
        <v>79</v>
      </c>
      <c r="AN78" s="34" t="s">
        <v>547</v>
      </c>
      <c r="AO78" s="35" t="s">
        <v>81</v>
      </c>
      <c r="AP78" s="24">
        <f>175*2</f>
        <v>350</v>
      </c>
      <c r="AQ78" s="36">
        <f t="shared" si="40"/>
        <v>107.69230769230769</v>
      </c>
      <c r="AR78" s="37">
        <v>103</v>
      </c>
      <c r="AS78" s="38">
        <f t="shared" si="41"/>
        <v>-4.6923076923076934</v>
      </c>
      <c r="AT78" s="39"/>
      <c r="AU78" s="38">
        <f t="shared" si="42"/>
        <v>-4.6923076923076934</v>
      </c>
      <c r="AV78" s="40">
        <v>91.99</v>
      </c>
      <c r="AW78" s="41">
        <f t="shared" si="36"/>
        <v>9474.9699999999993</v>
      </c>
      <c r="AX78" s="24">
        <f t="shared" si="21"/>
        <v>88.887899295206694</v>
      </c>
      <c r="AY78" s="24">
        <v>120</v>
      </c>
      <c r="AZ78" s="24"/>
      <c r="BA78" s="24"/>
      <c r="BB78" s="24">
        <f t="shared" si="43"/>
        <v>0</v>
      </c>
      <c r="BC78" s="24">
        <f t="shared" si="44"/>
        <v>621.93500000000131</v>
      </c>
      <c r="BD78" s="24">
        <v>100</v>
      </c>
      <c r="BE78" s="24">
        <v>100</v>
      </c>
      <c r="BF78" s="24"/>
      <c r="BG78" s="24">
        <f>+AD78*8.5%</f>
        <v>1212.0575000000001</v>
      </c>
      <c r="BH78" s="24">
        <f t="shared" ref="BH78:BH79" si="48">+AD78*8.5%</f>
        <v>1212.0575000000001</v>
      </c>
      <c r="BI78" s="24"/>
      <c r="BJ78" s="24">
        <f t="shared" si="45"/>
        <v>24.241150000000005</v>
      </c>
      <c r="BK78" s="24">
        <f t="shared" si="46"/>
        <v>3221.8088500000017</v>
      </c>
      <c r="BL78" s="24" t="s">
        <v>82</v>
      </c>
      <c r="BM78" s="42">
        <f t="shared" si="37"/>
        <v>2</v>
      </c>
      <c r="BN78" s="24" t="s">
        <v>83</v>
      </c>
      <c r="BO78" s="2" t="s">
        <v>84</v>
      </c>
    </row>
    <row r="79" spans="1:67" s="1" customFormat="1" ht="15" customHeight="1" x14ac:dyDescent="0.3">
      <c r="A79" s="20">
        <v>75</v>
      </c>
      <c r="B79" s="21">
        <v>46088</v>
      </c>
      <c r="C79" s="21">
        <v>46097</v>
      </c>
      <c r="D79" s="56" t="s">
        <v>176</v>
      </c>
      <c r="E79" s="23">
        <v>46097</v>
      </c>
      <c r="F79" s="23" t="s">
        <v>7</v>
      </c>
      <c r="G79" s="24" t="s">
        <v>68</v>
      </c>
      <c r="H79" s="24" t="s">
        <v>69</v>
      </c>
      <c r="I79" s="24" t="s">
        <v>397</v>
      </c>
      <c r="J79" s="25" t="s">
        <v>398</v>
      </c>
      <c r="K79" s="45" t="str">
        <f t="shared" si="38"/>
        <v>WB33C6016</v>
      </c>
      <c r="L79" s="26">
        <v>46089</v>
      </c>
      <c r="M79" s="34" t="s">
        <v>548</v>
      </c>
      <c r="N79" s="27" t="s">
        <v>549</v>
      </c>
      <c r="O79" s="28">
        <v>0</v>
      </c>
      <c r="P79" s="27" t="s">
        <v>550</v>
      </c>
      <c r="Q79" s="29">
        <v>2525354103</v>
      </c>
      <c r="R79" s="30">
        <v>2110800699</v>
      </c>
      <c r="S79" s="31" t="s">
        <v>73</v>
      </c>
      <c r="T79" s="24" t="s">
        <v>74</v>
      </c>
      <c r="U79" s="24" t="s">
        <v>75</v>
      </c>
      <c r="V79" s="32" t="s">
        <v>551</v>
      </c>
      <c r="W79" s="32" t="s">
        <v>208</v>
      </c>
      <c r="X79" s="32"/>
      <c r="Y79" s="24">
        <v>455</v>
      </c>
      <c r="Z79" s="24">
        <v>19</v>
      </c>
      <c r="AA79" s="24">
        <f t="shared" si="39"/>
        <v>432.25</v>
      </c>
      <c r="AB79" s="24">
        <f t="shared" si="32"/>
        <v>8645</v>
      </c>
      <c r="AC79" s="24">
        <f t="shared" si="33"/>
        <v>8212.75</v>
      </c>
      <c r="AD79" s="24">
        <f t="shared" si="34"/>
        <v>8212.75</v>
      </c>
      <c r="AE79" s="24">
        <f t="shared" si="35"/>
        <v>432.25</v>
      </c>
      <c r="AF79" s="24">
        <f t="shared" si="47"/>
        <v>82.127499999999998</v>
      </c>
      <c r="AG79" s="33">
        <v>2600</v>
      </c>
      <c r="AH79" s="24"/>
      <c r="AI79" s="24"/>
      <c r="AJ79" s="24"/>
      <c r="AK79" s="24">
        <v>115</v>
      </c>
      <c r="AL79" s="24"/>
      <c r="AM79" s="24" t="s">
        <v>79</v>
      </c>
      <c r="AN79" s="34" t="s">
        <v>552</v>
      </c>
      <c r="AO79" s="35" t="s">
        <v>81</v>
      </c>
      <c r="AP79" s="24">
        <f>79*2</f>
        <v>158</v>
      </c>
      <c r="AQ79" s="36">
        <f t="shared" si="40"/>
        <v>48.615384615384613</v>
      </c>
      <c r="AR79" s="37">
        <v>50</v>
      </c>
      <c r="AS79" s="38">
        <f t="shared" si="41"/>
        <v>1.3846153846153868</v>
      </c>
      <c r="AT79" s="39"/>
      <c r="AU79" s="38">
        <f t="shared" si="42"/>
        <v>1.3846153846153868</v>
      </c>
      <c r="AV79" s="40">
        <v>91.99</v>
      </c>
      <c r="AW79" s="41">
        <f t="shared" si="36"/>
        <v>4599.5</v>
      </c>
      <c r="AX79" s="24">
        <f t="shared" si="21"/>
        <v>87.662476028127003</v>
      </c>
      <c r="AY79" s="24"/>
      <c r="AZ79" s="24"/>
      <c r="BA79" s="24"/>
      <c r="BB79" s="24">
        <f t="shared" si="43"/>
        <v>0</v>
      </c>
      <c r="BC79" s="24">
        <f t="shared" si="44"/>
        <v>816.1225000000004</v>
      </c>
      <c r="BD79" s="24">
        <v>110</v>
      </c>
      <c r="BE79" s="24">
        <v>110</v>
      </c>
      <c r="BF79" s="24"/>
      <c r="BG79" s="24">
        <f>+AD79*8.5%</f>
        <v>698.08375000000001</v>
      </c>
      <c r="BH79" s="24">
        <f t="shared" si="48"/>
        <v>698.08375000000001</v>
      </c>
      <c r="BI79" s="24"/>
      <c r="BJ79" s="24">
        <f t="shared" si="45"/>
        <v>13.961675</v>
      </c>
      <c r="BK79" s="24">
        <f t="shared" si="46"/>
        <v>2418.3283250000004</v>
      </c>
      <c r="BL79" s="24" t="s">
        <v>405</v>
      </c>
      <c r="BM79" s="42">
        <f t="shared" si="37"/>
        <v>2</v>
      </c>
      <c r="BN79" s="24" t="s">
        <v>83</v>
      </c>
      <c r="BO79" s="2" t="s">
        <v>84</v>
      </c>
    </row>
    <row r="80" spans="1:67" s="1" customFormat="1" ht="15" customHeight="1" x14ac:dyDescent="0.3">
      <c r="A80" s="43">
        <v>76</v>
      </c>
      <c r="B80" s="21">
        <v>46088</v>
      </c>
      <c r="C80" s="21">
        <v>46118</v>
      </c>
      <c r="D80" s="50" t="s">
        <v>553</v>
      </c>
      <c r="E80" s="23">
        <v>46120</v>
      </c>
      <c r="F80" s="23" t="s">
        <v>7</v>
      </c>
      <c r="G80" s="24" t="s">
        <v>68</v>
      </c>
      <c r="H80" s="24" t="s">
        <v>69</v>
      </c>
      <c r="I80" s="24" t="s">
        <v>70</v>
      </c>
      <c r="J80" s="25" t="s">
        <v>287</v>
      </c>
      <c r="K80" s="45" t="str">
        <f t="shared" si="38"/>
        <v>WB39B1080</v>
      </c>
      <c r="L80" s="26">
        <v>46090</v>
      </c>
      <c r="M80" s="34" t="s">
        <v>554</v>
      </c>
      <c r="N80" s="27" t="s">
        <v>555</v>
      </c>
      <c r="O80" s="28">
        <v>0</v>
      </c>
      <c r="P80" s="27" t="s">
        <v>556</v>
      </c>
      <c r="Q80" s="29">
        <v>2525354110</v>
      </c>
      <c r="R80" s="30">
        <v>2110800764</v>
      </c>
      <c r="S80" s="31" t="s">
        <v>73</v>
      </c>
      <c r="T80" s="24" t="s">
        <v>91</v>
      </c>
      <c r="U80" s="24" t="s">
        <v>75</v>
      </c>
      <c r="V80" s="32" t="s">
        <v>491</v>
      </c>
      <c r="W80" s="32" t="s">
        <v>492</v>
      </c>
      <c r="X80" s="32"/>
      <c r="Y80" s="24">
        <v>1047</v>
      </c>
      <c r="Z80" s="24">
        <v>25</v>
      </c>
      <c r="AA80" s="24">
        <f t="shared" si="39"/>
        <v>994.65000000000009</v>
      </c>
      <c r="AB80" s="61">
        <f t="shared" si="32"/>
        <v>26175</v>
      </c>
      <c r="AC80" s="24">
        <f t="shared" si="33"/>
        <v>24866.25</v>
      </c>
      <c r="AD80" s="24">
        <f t="shared" si="34"/>
        <v>24866.250000000004</v>
      </c>
      <c r="AE80" s="24">
        <f t="shared" si="35"/>
        <v>1308.7499999999964</v>
      </c>
      <c r="AF80" s="24">
        <f t="shared" si="47"/>
        <v>248.66250000000005</v>
      </c>
      <c r="AG80" s="33">
        <v>3700</v>
      </c>
      <c r="AH80" s="24"/>
      <c r="AI80" s="24"/>
      <c r="AJ80" s="24"/>
      <c r="AK80" s="24"/>
      <c r="AL80" s="24"/>
      <c r="AM80" s="24" t="s">
        <v>79</v>
      </c>
      <c r="AN80" s="34" t="s">
        <v>557</v>
      </c>
      <c r="AO80" s="35" t="s">
        <v>81</v>
      </c>
      <c r="AP80" s="24">
        <f>240*2</f>
        <v>480</v>
      </c>
      <c r="AQ80" s="36">
        <f t="shared" si="40"/>
        <v>147.69230769230768</v>
      </c>
      <c r="AR80" s="37">
        <v>165</v>
      </c>
      <c r="AS80" s="38">
        <f t="shared" si="41"/>
        <v>17.307692307692321</v>
      </c>
      <c r="AT80" s="39"/>
      <c r="AU80" s="38">
        <f t="shared" si="42"/>
        <v>17.307692307692321</v>
      </c>
      <c r="AV80" s="40">
        <v>91.99</v>
      </c>
      <c r="AW80" s="41">
        <f t="shared" si="36"/>
        <v>15178.349999999999</v>
      </c>
      <c r="AX80" s="24">
        <f t="shared" si="21"/>
        <v>75.919569697883659</v>
      </c>
      <c r="AY80" s="24"/>
      <c r="AZ80" s="24"/>
      <c r="BA80" s="24"/>
      <c r="BB80" s="24">
        <f t="shared" si="43"/>
        <v>0</v>
      </c>
      <c r="BC80" s="24">
        <f t="shared" si="44"/>
        <v>5739.2375000000065</v>
      </c>
      <c r="BD80" s="24"/>
      <c r="BE80" s="24"/>
      <c r="BF80" s="24"/>
      <c r="BG80" s="24">
        <f>+AD80*9.5%</f>
        <v>2362.2937500000003</v>
      </c>
      <c r="BH80" s="24"/>
      <c r="BI80" s="24"/>
      <c r="BJ80" s="24">
        <f t="shared" si="45"/>
        <v>23.622937500000003</v>
      </c>
      <c r="BK80" s="24">
        <f t="shared" si="46"/>
        <v>8077.908312500007</v>
      </c>
      <c r="BL80" s="24" t="s">
        <v>292</v>
      </c>
      <c r="BM80" s="42">
        <f t="shared" si="37"/>
        <v>3</v>
      </c>
      <c r="BN80" s="24" t="s">
        <v>139</v>
      </c>
      <c r="BO80" s="2" t="s">
        <v>148</v>
      </c>
    </row>
    <row r="81" spans="1:67" s="1" customFormat="1" ht="15" customHeight="1" x14ac:dyDescent="0.3">
      <c r="A81" s="20">
        <v>77</v>
      </c>
      <c r="B81" s="21">
        <v>46088</v>
      </c>
      <c r="C81" s="21">
        <v>46097</v>
      </c>
      <c r="D81" s="50" t="s">
        <v>430</v>
      </c>
      <c r="E81" s="23">
        <v>46097</v>
      </c>
      <c r="F81" s="23" t="s">
        <v>7</v>
      </c>
      <c r="G81" s="24" t="s">
        <v>68</v>
      </c>
      <c r="H81" s="24" t="s">
        <v>69</v>
      </c>
      <c r="I81" s="24" t="s">
        <v>112</v>
      </c>
      <c r="J81" s="25" t="s">
        <v>558</v>
      </c>
      <c r="K81" s="45" t="str">
        <f t="shared" si="38"/>
        <v>WB39A5858</v>
      </c>
      <c r="L81" s="26">
        <v>46089</v>
      </c>
      <c r="M81" s="34" t="s">
        <v>559</v>
      </c>
      <c r="N81" s="27" t="s">
        <v>560</v>
      </c>
      <c r="O81" s="28">
        <v>0</v>
      </c>
      <c r="P81" s="27" t="s">
        <v>561</v>
      </c>
      <c r="Q81" s="29">
        <v>2525354124</v>
      </c>
      <c r="R81" s="30">
        <v>2110800793</v>
      </c>
      <c r="S81" s="31" t="s">
        <v>73</v>
      </c>
      <c r="T81" s="24" t="s">
        <v>74</v>
      </c>
      <c r="U81" s="24" t="s">
        <v>75</v>
      </c>
      <c r="V81" s="32" t="s">
        <v>562</v>
      </c>
      <c r="W81" s="32" t="s">
        <v>563</v>
      </c>
      <c r="X81" s="32"/>
      <c r="Y81" s="24">
        <v>597</v>
      </c>
      <c r="Z81" s="24">
        <v>19</v>
      </c>
      <c r="AA81" s="24">
        <f t="shared" si="39"/>
        <v>567.15</v>
      </c>
      <c r="AB81" s="24">
        <f t="shared" si="32"/>
        <v>11343</v>
      </c>
      <c r="AC81" s="24">
        <f t="shared" si="33"/>
        <v>10775.85</v>
      </c>
      <c r="AD81" s="24">
        <f t="shared" si="34"/>
        <v>10775.85</v>
      </c>
      <c r="AE81" s="24">
        <f t="shared" si="35"/>
        <v>567.14999999999964</v>
      </c>
      <c r="AF81" s="24">
        <v>0</v>
      </c>
      <c r="AG81" s="33">
        <v>2700</v>
      </c>
      <c r="AH81" s="24"/>
      <c r="AI81" s="24"/>
      <c r="AJ81" s="24"/>
      <c r="AK81" s="24"/>
      <c r="AL81" s="24"/>
      <c r="AM81" s="24" t="s">
        <v>79</v>
      </c>
      <c r="AN81" s="34" t="s">
        <v>564</v>
      </c>
      <c r="AO81" s="35" t="s">
        <v>81</v>
      </c>
      <c r="AP81" s="24">
        <f>105*2</f>
        <v>210</v>
      </c>
      <c r="AQ81" s="36">
        <f t="shared" si="40"/>
        <v>64.615384615384613</v>
      </c>
      <c r="AR81" s="37">
        <v>60</v>
      </c>
      <c r="AS81" s="38">
        <f t="shared" si="41"/>
        <v>-4.6153846153846132</v>
      </c>
      <c r="AT81" s="39"/>
      <c r="AU81" s="38">
        <f t="shared" si="42"/>
        <v>-4.6153846153846132</v>
      </c>
      <c r="AV81" s="40">
        <v>91.99</v>
      </c>
      <c r="AW81" s="41">
        <f t="shared" si="36"/>
        <v>5519.4</v>
      </c>
      <c r="AX81" s="24">
        <f t="shared" si="21"/>
        <v>76.276117429251514</v>
      </c>
      <c r="AY81" s="24"/>
      <c r="AZ81" s="24"/>
      <c r="BA81" s="24"/>
      <c r="BB81" s="24">
        <f t="shared" si="43"/>
        <v>0</v>
      </c>
      <c r="BC81" s="24">
        <f t="shared" si="44"/>
        <v>2556.4500000000007</v>
      </c>
      <c r="BD81" s="24">
        <v>75</v>
      </c>
      <c r="BE81" s="24">
        <v>75</v>
      </c>
      <c r="BF81" s="24"/>
      <c r="BG81" s="24">
        <f>+AB81*9.5%</f>
        <v>1077.585</v>
      </c>
      <c r="BH81" s="24">
        <f>+AB81*8.5%</f>
        <v>964.15500000000009</v>
      </c>
      <c r="BI81" s="24"/>
      <c r="BJ81" s="24">
        <f t="shared" si="45"/>
        <v>20.417400000000004</v>
      </c>
      <c r="BK81" s="24">
        <f t="shared" si="46"/>
        <v>4727.7726000000002</v>
      </c>
      <c r="BL81" s="24" t="s">
        <v>565</v>
      </c>
      <c r="BM81" s="42">
        <f t="shared" si="37"/>
        <v>2</v>
      </c>
      <c r="BN81" s="24" t="s">
        <v>83</v>
      </c>
      <c r="BO81" s="2" t="s">
        <v>148</v>
      </c>
    </row>
    <row r="82" spans="1:67" s="1" customFormat="1" ht="15" customHeight="1" x14ac:dyDescent="0.3">
      <c r="A82" s="20">
        <v>78</v>
      </c>
      <c r="B82" s="21">
        <v>46088</v>
      </c>
      <c r="C82" s="21">
        <v>46097</v>
      </c>
      <c r="D82" s="50" t="s">
        <v>335</v>
      </c>
      <c r="E82" s="23">
        <v>46097</v>
      </c>
      <c r="F82" s="23" t="s">
        <v>7</v>
      </c>
      <c r="G82" s="24" t="s">
        <v>68</v>
      </c>
      <c r="H82" s="24" t="s">
        <v>69</v>
      </c>
      <c r="I82" s="24" t="s">
        <v>389</v>
      </c>
      <c r="J82" s="25" t="s">
        <v>372</v>
      </c>
      <c r="K82" s="45" t="str">
        <f t="shared" si="38"/>
        <v>WB39G7433</v>
      </c>
      <c r="L82" s="26">
        <v>46090</v>
      </c>
      <c r="M82" s="34" t="s">
        <v>566</v>
      </c>
      <c r="N82" s="27" t="s">
        <v>567</v>
      </c>
      <c r="O82" s="28">
        <v>0</v>
      </c>
      <c r="P82" s="27" t="s">
        <v>568</v>
      </c>
      <c r="Q82" s="29">
        <v>2525354175</v>
      </c>
      <c r="R82" s="30">
        <v>2110800829</v>
      </c>
      <c r="S82" s="31" t="s">
        <v>73</v>
      </c>
      <c r="T82" s="24" t="s">
        <v>91</v>
      </c>
      <c r="U82" s="24" t="s">
        <v>75</v>
      </c>
      <c r="V82" s="32" t="s">
        <v>491</v>
      </c>
      <c r="W82" s="32" t="s">
        <v>492</v>
      </c>
      <c r="X82" s="32"/>
      <c r="Y82" s="24">
        <v>1047</v>
      </c>
      <c r="Z82" s="24">
        <v>25</v>
      </c>
      <c r="AA82" s="24">
        <f t="shared" si="39"/>
        <v>994.65000000000009</v>
      </c>
      <c r="AB82" s="24">
        <f t="shared" si="32"/>
        <v>26175</v>
      </c>
      <c r="AC82" s="24">
        <f t="shared" si="33"/>
        <v>24866.25</v>
      </c>
      <c r="AD82" s="24">
        <f t="shared" si="34"/>
        <v>24866.250000000004</v>
      </c>
      <c r="AE82" s="24">
        <f t="shared" si="35"/>
        <v>1308.7499999999964</v>
      </c>
      <c r="AF82" s="24">
        <f>+AD82*1%</f>
        <v>248.66250000000005</v>
      </c>
      <c r="AG82" s="33">
        <v>3700</v>
      </c>
      <c r="AH82" s="24"/>
      <c r="AI82" s="24"/>
      <c r="AJ82" s="24"/>
      <c r="AK82" s="24"/>
      <c r="AL82" s="24"/>
      <c r="AM82" s="24" t="s">
        <v>79</v>
      </c>
      <c r="AN82" s="34" t="s">
        <v>569</v>
      </c>
      <c r="AO82" s="35" t="s">
        <v>81</v>
      </c>
      <c r="AP82" s="24">
        <f>240*2</f>
        <v>480</v>
      </c>
      <c r="AQ82" s="36">
        <f t="shared" si="40"/>
        <v>147.69230769230768</v>
      </c>
      <c r="AR82" s="37">
        <v>150</v>
      </c>
      <c r="AS82" s="38">
        <f t="shared" si="41"/>
        <v>2.3076923076923208</v>
      </c>
      <c r="AT82" s="39"/>
      <c r="AU82" s="38">
        <f t="shared" si="42"/>
        <v>2.3076923076923208</v>
      </c>
      <c r="AV82" s="40">
        <v>91.99</v>
      </c>
      <c r="AW82" s="41">
        <f t="shared" si="36"/>
        <v>13798.5</v>
      </c>
      <c r="AX82" s="24">
        <f t="shared" si="21"/>
        <v>70.370482079123292</v>
      </c>
      <c r="AY82" s="24"/>
      <c r="AZ82" s="24"/>
      <c r="BA82" s="24"/>
      <c r="BB82" s="24">
        <f t="shared" si="43"/>
        <v>0</v>
      </c>
      <c r="BC82" s="24">
        <f t="shared" si="44"/>
        <v>7119.0875000000051</v>
      </c>
      <c r="BD82" s="24"/>
      <c r="BE82" s="24"/>
      <c r="BF82" s="24"/>
      <c r="BG82" s="24">
        <f>+AB82*9.5%</f>
        <v>2486.625</v>
      </c>
      <c r="BH82" s="24"/>
      <c r="BI82" s="24"/>
      <c r="BJ82" s="24">
        <f t="shared" si="45"/>
        <v>24.866250000000001</v>
      </c>
      <c r="BK82" s="24">
        <f t="shared" si="46"/>
        <v>9580.846250000006</v>
      </c>
      <c r="BL82" s="24" t="s">
        <v>379</v>
      </c>
      <c r="BM82" s="42">
        <f t="shared" si="37"/>
        <v>3</v>
      </c>
      <c r="BN82" s="24" t="s">
        <v>139</v>
      </c>
      <c r="BO82" s="2" t="s">
        <v>148</v>
      </c>
    </row>
    <row r="83" spans="1:67" s="1" customFormat="1" ht="15" customHeight="1" x14ac:dyDescent="0.3">
      <c r="A83" s="43">
        <v>79</v>
      </c>
      <c r="B83" s="21">
        <v>46088</v>
      </c>
      <c r="C83" s="21"/>
      <c r="D83" s="50" t="s">
        <v>286</v>
      </c>
      <c r="E83" s="23">
        <v>46175</v>
      </c>
      <c r="F83" s="23" t="s">
        <v>7</v>
      </c>
      <c r="G83" s="24" t="s">
        <v>68</v>
      </c>
      <c r="H83" s="24" t="s">
        <v>69</v>
      </c>
      <c r="I83" s="24" t="s">
        <v>166</v>
      </c>
      <c r="J83" s="25" t="s">
        <v>360</v>
      </c>
      <c r="K83" s="45" t="str">
        <f t="shared" si="38"/>
        <v>WB41H6585</v>
      </c>
      <c r="L83" s="26">
        <v>46089</v>
      </c>
      <c r="M83" s="34" t="s">
        <v>570</v>
      </c>
      <c r="N83" s="27" t="s">
        <v>571</v>
      </c>
      <c r="O83" s="28">
        <v>0</v>
      </c>
      <c r="P83" s="27" t="s">
        <v>572</v>
      </c>
      <c r="Q83" s="29">
        <v>2525354236</v>
      </c>
      <c r="R83" s="30">
        <v>2110800924</v>
      </c>
      <c r="S83" s="31"/>
      <c r="T83" s="24" t="s">
        <v>91</v>
      </c>
      <c r="U83" s="24" t="s">
        <v>75</v>
      </c>
      <c r="V83" s="32" t="s">
        <v>573</v>
      </c>
      <c r="W83" s="32" t="s">
        <v>574</v>
      </c>
      <c r="X83" s="32"/>
      <c r="Y83" s="24">
        <v>1150</v>
      </c>
      <c r="Z83" s="24">
        <v>25</v>
      </c>
      <c r="AA83" s="24">
        <f t="shared" si="39"/>
        <v>1092.5</v>
      </c>
      <c r="AB83" s="24">
        <f t="shared" si="32"/>
        <v>28750</v>
      </c>
      <c r="AC83" s="24">
        <f t="shared" si="33"/>
        <v>27312.5</v>
      </c>
      <c r="AD83" s="24">
        <f t="shared" si="34"/>
        <v>27312.5</v>
      </c>
      <c r="AE83" s="24">
        <f t="shared" si="35"/>
        <v>1437.5</v>
      </c>
      <c r="AF83" s="24">
        <v>0</v>
      </c>
      <c r="AG83" s="33">
        <v>3500</v>
      </c>
      <c r="AH83" s="24"/>
      <c r="AI83" s="24"/>
      <c r="AJ83" s="24"/>
      <c r="AK83" s="24"/>
      <c r="AL83" s="24"/>
      <c r="AM83" s="24" t="s">
        <v>79</v>
      </c>
      <c r="AN83" s="34" t="s">
        <v>575</v>
      </c>
      <c r="AO83" s="35" t="s">
        <v>81</v>
      </c>
      <c r="AP83" s="24">
        <f>249*2</f>
        <v>498</v>
      </c>
      <c r="AQ83" s="36">
        <f t="shared" si="40"/>
        <v>153.23076923076923</v>
      </c>
      <c r="AR83" s="37">
        <v>155</v>
      </c>
      <c r="AS83" s="38">
        <f t="shared" si="41"/>
        <v>1.7692307692307736</v>
      </c>
      <c r="AT83" s="39"/>
      <c r="AU83" s="38">
        <f t="shared" si="42"/>
        <v>1.7692307692307736</v>
      </c>
      <c r="AV83" s="40">
        <v>91.88</v>
      </c>
      <c r="AW83" s="41">
        <f t="shared" si="36"/>
        <v>14241.4</v>
      </c>
      <c r="AX83" s="24">
        <f t="shared" si="21"/>
        <v>64.957070938215111</v>
      </c>
      <c r="AY83" s="24"/>
      <c r="AZ83" s="24"/>
      <c r="BA83" s="24"/>
      <c r="BB83" s="24">
        <f t="shared" si="43"/>
        <v>0</v>
      </c>
      <c r="BC83" s="24">
        <f t="shared" si="44"/>
        <v>9571.1</v>
      </c>
      <c r="BD83" s="24"/>
      <c r="BE83" s="24"/>
      <c r="BF83" s="24"/>
      <c r="BG83" s="24">
        <f>+AB83*9.5%</f>
        <v>2731.25</v>
      </c>
      <c r="BH83" s="24"/>
      <c r="BI83" s="24"/>
      <c r="BJ83" s="24">
        <f t="shared" si="45"/>
        <v>27.3125</v>
      </c>
      <c r="BK83" s="24">
        <f t="shared" si="46"/>
        <v>12275.0375</v>
      </c>
      <c r="BL83" s="24" t="s">
        <v>365</v>
      </c>
      <c r="BM83" s="42">
        <f t="shared" si="37"/>
        <v>2</v>
      </c>
      <c r="BN83" s="24" t="s">
        <v>83</v>
      </c>
      <c r="BO83" s="2" t="s">
        <v>175</v>
      </c>
    </row>
    <row r="84" spans="1:67" s="1" customFormat="1" ht="15" customHeight="1" x14ac:dyDescent="0.3">
      <c r="A84" s="20">
        <v>80</v>
      </c>
      <c r="B84" s="21">
        <v>46088</v>
      </c>
      <c r="C84" s="21">
        <v>46097</v>
      </c>
      <c r="D84" s="50" t="s">
        <v>576</v>
      </c>
      <c r="E84" s="23">
        <v>46139</v>
      </c>
      <c r="F84" s="23" t="s">
        <v>7</v>
      </c>
      <c r="G84" s="24" t="s">
        <v>87</v>
      </c>
      <c r="H84" s="24" t="s">
        <v>69</v>
      </c>
      <c r="I84" s="24" t="s">
        <v>70</v>
      </c>
      <c r="J84" s="25" t="s">
        <v>177</v>
      </c>
      <c r="K84" s="45" t="str">
        <f t="shared" si="38"/>
        <v>WB39B8916</v>
      </c>
      <c r="L84" s="26">
        <v>46089</v>
      </c>
      <c r="M84" s="34" t="s">
        <v>577</v>
      </c>
      <c r="N84" s="27" t="s">
        <v>578</v>
      </c>
      <c r="O84" s="28">
        <v>0</v>
      </c>
      <c r="P84" s="27"/>
      <c r="Q84" s="29">
        <v>2525354232</v>
      </c>
      <c r="R84" s="30">
        <v>2110800351</v>
      </c>
      <c r="S84" s="31" t="s">
        <v>73</v>
      </c>
      <c r="T84" s="24" t="s">
        <v>91</v>
      </c>
      <c r="U84" s="24" t="s">
        <v>75</v>
      </c>
      <c r="V84" s="32" t="s">
        <v>579</v>
      </c>
      <c r="W84" s="32" t="s">
        <v>580</v>
      </c>
      <c r="X84" s="32" t="s">
        <v>581</v>
      </c>
      <c r="Y84" s="24">
        <v>899</v>
      </c>
      <c r="Z84" s="24">
        <v>25</v>
      </c>
      <c r="AA84" s="24">
        <f t="shared" si="39"/>
        <v>854.05000000000007</v>
      </c>
      <c r="AB84" s="24">
        <f t="shared" si="32"/>
        <v>22475</v>
      </c>
      <c r="AC84" s="24">
        <f t="shared" si="33"/>
        <v>21351.25</v>
      </c>
      <c r="AD84" s="24">
        <f t="shared" si="34"/>
        <v>21351.25</v>
      </c>
      <c r="AE84" s="24">
        <f t="shared" si="35"/>
        <v>1123.75</v>
      </c>
      <c r="AF84" s="24">
        <f t="shared" si="47"/>
        <v>213.51250000000002</v>
      </c>
      <c r="AG84" s="33">
        <v>3700</v>
      </c>
      <c r="AH84" s="24"/>
      <c r="AI84" s="24"/>
      <c r="AJ84" s="24"/>
      <c r="AK84" s="24"/>
      <c r="AL84" s="24"/>
      <c r="AM84" s="24" t="s">
        <v>79</v>
      </c>
      <c r="AN84" s="34" t="s">
        <v>582</v>
      </c>
      <c r="AO84" s="35" t="s">
        <v>81</v>
      </c>
      <c r="AP84" s="24">
        <f>191*2</f>
        <v>382</v>
      </c>
      <c r="AQ84" s="36">
        <f t="shared" si="40"/>
        <v>117.53846153846153</v>
      </c>
      <c r="AR84" s="37">
        <v>125</v>
      </c>
      <c r="AS84" s="38">
        <f t="shared" si="41"/>
        <v>7.461538461538467</v>
      </c>
      <c r="AT84" s="39"/>
      <c r="AU84" s="38">
        <f t="shared" si="42"/>
        <v>7.461538461538467</v>
      </c>
      <c r="AV84" s="40">
        <v>91.99</v>
      </c>
      <c r="AW84" s="41">
        <f t="shared" si="36"/>
        <v>11498.75</v>
      </c>
      <c r="AX84" s="24">
        <f t="shared" si="21"/>
        <v>71.184356887770036</v>
      </c>
      <c r="AY84" s="24">
        <v>100</v>
      </c>
      <c r="AZ84" s="24"/>
      <c r="BA84" s="24"/>
      <c r="BB84" s="24">
        <f t="shared" si="43"/>
        <v>0</v>
      </c>
      <c r="BC84" s="24">
        <f t="shared" si="44"/>
        <v>5838.9874999999993</v>
      </c>
      <c r="BD84" s="24"/>
      <c r="BE84" s="24"/>
      <c r="BF84" s="24"/>
      <c r="BG84" s="24">
        <f>+AD84*9.5%</f>
        <v>2028.3687500000001</v>
      </c>
      <c r="BH84" s="24"/>
      <c r="BI84" s="24"/>
      <c r="BJ84" s="24">
        <f t="shared" si="45"/>
        <v>20.283687500000003</v>
      </c>
      <c r="BK84" s="24">
        <f t="shared" si="46"/>
        <v>7847.0725624999986</v>
      </c>
      <c r="BL84" s="24" t="s">
        <v>182</v>
      </c>
      <c r="BM84" s="42">
        <f t="shared" si="37"/>
        <v>2</v>
      </c>
      <c r="BN84" s="24" t="s">
        <v>83</v>
      </c>
      <c r="BO84" s="2" t="s">
        <v>440</v>
      </c>
    </row>
    <row r="85" spans="1:67" s="1" customFormat="1" ht="15" customHeight="1" x14ac:dyDescent="0.3">
      <c r="A85" s="20">
        <v>81</v>
      </c>
      <c r="B85" s="21">
        <v>46088</v>
      </c>
      <c r="C85" s="21">
        <v>46097</v>
      </c>
      <c r="D85" s="52" t="s">
        <v>541</v>
      </c>
      <c r="E85" s="23">
        <v>46105</v>
      </c>
      <c r="F85" s="23" t="s">
        <v>7</v>
      </c>
      <c r="G85" s="24" t="s">
        <v>68</v>
      </c>
      <c r="H85" s="24" t="s">
        <v>69</v>
      </c>
      <c r="I85" s="24" t="s">
        <v>141</v>
      </c>
      <c r="J85" s="25" t="s">
        <v>142</v>
      </c>
      <c r="K85" s="45" t="str">
        <f t="shared" si="38"/>
        <v>WB41F2315</v>
      </c>
      <c r="L85" s="26">
        <v>46089</v>
      </c>
      <c r="M85" s="34" t="s">
        <v>583</v>
      </c>
      <c r="N85" s="27" t="s">
        <v>584</v>
      </c>
      <c r="O85" s="28">
        <v>0</v>
      </c>
      <c r="P85" s="27" t="s">
        <v>585</v>
      </c>
      <c r="Q85" s="29">
        <v>2525354385</v>
      </c>
      <c r="R85" s="30">
        <v>2110801078</v>
      </c>
      <c r="S85" s="54" t="s">
        <v>73</v>
      </c>
      <c r="T85" s="24" t="s">
        <v>91</v>
      </c>
      <c r="U85" s="24" t="s">
        <v>75</v>
      </c>
      <c r="V85" s="32" t="s">
        <v>268</v>
      </c>
      <c r="W85" s="32" t="s">
        <v>586</v>
      </c>
      <c r="X85" s="32" t="s">
        <v>587</v>
      </c>
      <c r="Y85" s="24">
        <v>1319</v>
      </c>
      <c r="Z85" s="24">
        <v>13</v>
      </c>
      <c r="AA85" s="24">
        <f t="shared" si="39"/>
        <v>1253.05</v>
      </c>
      <c r="AB85" s="24">
        <f t="shared" si="32"/>
        <v>17147</v>
      </c>
      <c r="AC85" s="24">
        <f t="shared" si="33"/>
        <v>16289.65</v>
      </c>
      <c r="AD85" s="24">
        <f t="shared" si="34"/>
        <v>16289.65</v>
      </c>
      <c r="AE85" s="24">
        <f t="shared" si="35"/>
        <v>857.35000000000036</v>
      </c>
      <c r="AF85" s="24">
        <v>0</v>
      </c>
      <c r="AG85" s="33">
        <v>7800</v>
      </c>
      <c r="AH85" s="24"/>
      <c r="AI85" s="24"/>
      <c r="AJ85" s="24"/>
      <c r="AK85" s="24"/>
      <c r="AL85" s="24"/>
      <c r="AM85" s="24" t="s">
        <v>79</v>
      </c>
      <c r="AN85" s="34" t="s">
        <v>588</v>
      </c>
      <c r="AO85" s="35" t="s">
        <v>81</v>
      </c>
      <c r="AP85" s="24">
        <f>332*2</f>
        <v>664</v>
      </c>
      <c r="AQ85" s="36">
        <f t="shared" si="40"/>
        <v>204.30769230769232</v>
      </c>
      <c r="AR85" s="37">
        <v>205</v>
      </c>
      <c r="AS85" s="38">
        <f t="shared" si="41"/>
        <v>0.69230769230767919</v>
      </c>
      <c r="AT85" s="39"/>
      <c r="AU85" s="38">
        <f t="shared" si="42"/>
        <v>0.69230769230767919</v>
      </c>
      <c r="AV85" s="40">
        <v>91.99</v>
      </c>
      <c r="AW85" s="41">
        <f t="shared" si="36"/>
        <v>18857.95</v>
      </c>
      <c r="AX85" s="24">
        <f t="shared" si="21"/>
        <v>163.64961800898118</v>
      </c>
      <c r="AY85" s="24"/>
      <c r="AZ85" s="24"/>
      <c r="BA85" s="24"/>
      <c r="BB85" s="24">
        <f t="shared" si="43"/>
        <v>0</v>
      </c>
      <c r="BC85" s="24">
        <f t="shared" si="44"/>
        <v>-10368.300000000001</v>
      </c>
      <c r="BD85" s="24">
        <v>135</v>
      </c>
      <c r="BE85" s="24">
        <v>135</v>
      </c>
      <c r="BF85" s="24"/>
      <c r="BG85" s="24">
        <f>+AB85*9.5%</f>
        <v>1628.9649999999999</v>
      </c>
      <c r="BH85" s="24"/>
      <c r="BI85" s="24"/>
      <c r="BJ85" s="24">
        <f t="shared" si="45"/>
        <v>16.289649999999998</v>
      </c>
      <c r="BK85" s="24">
        <f t="shared" si="46"/>
        <v>-8485.6246500000016</v>
      </c>
      <c r="BL85" s="24" t="s">
        <v>147</v>
      </c>
      <c r="BM85" s="42">
        <f t="shared" si="37"/>
        <v>2</v>
      </c>
      <c r="BN85" s="24" t="s">
        <v>83</v>
      </c>
      <c r="BO85" s="2" t="s">
        <v>84</v>
      </c>
    </row>
    <row r="86" spans="1:67" s="1" customFormat="1" ht="15" customHeight="1" x14ac:dyDescent="0.3">
      <c r="A86" s="43">
        <v>82</v>
      </c>
      <c r="B86" s="21">
        <v>46088</v>
      </c>
      <c r="C86" s="21">
        <v>46097</v>
      </c>
      <c r="D86" s="52" t="s">
        <v>541</v>
      </c>
      <c r="E86" s="23">
        <v>46105</v>
      </c>
      <c r="F86" s="23" t="s">
        <v>7</v>
      </c>
      <c r="G86" s="24" t="s">
        <v>68</v>
      </c>
      <c r="H86" s="24" t="s">
        <v>69</v>
      </c>
      <c r="I86" s="24" t="s">
        <v>141</v>
      </c>
      <c r="J86" s="25" t="s">
        <v>142</v>
      </c>
      <c r="K86" s="45" t="str">
        <f t="shared" si="38"/>
        <v>WB41F2315</v>
      </c>
      <c r="L86" s="26">
        <v>46089</v>
      </c>
      <c r="M86" s="34" t="s">
        <v>589</v>
      </c>
      <c r="N86" s="27" t="s">
        <v>590</v>
      </c>
      <c r="O86" s="28">
        <v>0</v>
      </c>
      <c r="P86" s="27" t="s">
        <v>591</v>
      </c>
      <c r="Q86" s="29">
        <v>2525354383</v>
      </c>
      <c r="R86" s="30">
        <v>2110801077</v>
      </c>
      <c r="S86" s="54" t="s">
        <v>73</v>
      </c>
      <c r="T86" s="24" t="s">
        <v>91</v>
      </c>
      <c r="U86" s="24" t="s">
        <v>75</v>
      </c>
      <c r="V86" s="32" t="s">
        <v>268</v>
      </c>
      <c r="W86" s="32" t="s">
        <v>586</v>
      </c>
      <c r="X86" s="32"/>
      <c r="Y86" s="24">
        <v>1319</v>
      </c>
      <c r="Z86" s="24">
        <v>12</v>
      </c>
      <c r="AA86" s="24">
        <f t="shared" si="39"/>
        <v>1253.05</v>
      </c>
      <c r="AB86" s="24">
        <f t="shared" si="32"/>
        <v>15828</v>
      </c>
      <c r="AC86" s="24">
        <f t="shared" si="33"/>
        <v>15036.6</v>
      </c>
      <c r="AD86" s="24">
        <f t="shared" si="34"/>
        <v>15036.599999999999</v>
      </c>
      <c r="AE86" s="24">
        <f t="shared" si="35"/>
        <v>791.40000000000146</v>
      </c>
      <c r="AF86" s="24">
        <v>0</v>
      </c>
      <c r="AG86" s="31">
        <v>0</v>
      </c>
      <c r="AH86" s="24"/>
      <c r="AI86" s="24"/>
      <c r="AJ86" s="24"/>
      <c r="AK86" s="24">
        <v>115</v>
      </c>
      <c r="AL86" s="24"/>
      <c r="AM86" s="24">
        <v>0</v>
      </c>
      <c r="AN86" s="34" t="s">
        <v>213</v>
      </c>
      <c r="AO86" s="35"/>
      <c r="AP86" s="24"/>
      <c r="AQ86" s="36">
        <f t="shared" si="40"/>
        <v>0</v>
      </c>
      <c r="AR86" s="16">
        <v>0</v>
      </c>
      <c r="AS86" s="47">
        <f t="shared" si="41"/>
        <v>0</v>
      </c>
      <c r="AT86" s="31"/>
      <c r="AU86" s="47">
        <f t="shared" si="42"/>
        <v>0</v>
      </c>
      <c r="AV86" s="48">
        <v>91.99</v>
      </c>
      <c r="AW86" s="24">
        <f t="shared" si="36"/>
        <v>0</v>
      </c>
      <c r="AX86" s="24">
        <f t="shared" si="21"/>
        <v>0</v>
      </c>
      <c r="AY86" s="24"/>
      <c r="AZ86" s="24"/>
      <c r="BA86" s="24"/>
      <c r="BB86" s="24">
        <f t="shared" si="43"/>
        <v>0</v>
      </c>
      <c r="BC86" s="24">
        <f t="shared" si="44"/>
        <v>14921.599999999999</v>
      </c>
      <c r="BD86" s="24"/>
      <c r="BE86" s="24"/>
      <c r="BF86" s="24"/>
      <c r="BG86" s="24">
        <f>+AB86*9.5%</f>
        <v>1503.66</v>
      </c>
      <c r="BH86" s="24"/>
      <c r="BI86" s="24"/>
      <c r="BJ86" s="24">
        <f t="shared" si="45"/>
        <v>15.036600000000002</v>
      </c>
      <c r="BK86" s="24">
        <f t="shared" si="46"/>
        <v>16410.223399999999</v>
      </c>
      <c r="BL86" s="24" t="s">
        <v>147</v>
      </c>
      <c r="BM86" s="42">
        <f t="shared" si="37"/>
        <v>2</v>
      </c>
      <c r="BN86" s="24" t="s">
        <v>83</v>
      </c>
      <c r="BO86" s="2" t="s">
        <v>84</v>
      </c>
    </row>
    <row r="87" spans="1:67" s="1" customFormat="1" ht="15" customHeight="1" x14ac:dyDescent="0.3">
      <c r="A87" s="20">
        <v>83</v>
      </c>
      <c r="B87" s="21">
        <v>46088</v>
      </c>
      <c r="C87" s="21">
        <v>46097</v>
      </c>
      <c r="D87" s="50" t="s">
        <v>479</v>
      </c>
      <c r="E87" s="23">
        <v>46108</v>
      </c>
      <c r="F87" s="23" t="s">
        <v>7</v>
      </c>
      <c r="G87" s="24" t="s">
        <v>68</v>
      </c>
      <c r="H87" s="24" t="s">
        <v>69</v>
      </c>
      <c r="I87" s="24" t="s">
        <v>112</v>
      </c>
      <c r="J87" s="25" t="s">
        <v>157</v>
      </c>
      <c r="K87" s="45" t="str">
        <f t="shared" si="38"/>
        <v>WB39A6898</v>
      </c>
      <c r="L87" s="26">
        <v>46089</v>
      </c>
      <c r="M87" s="34" t="s">
        <v>592</v>
      </c>
      <c r="N87" s="27" t="s">
        <v>593</v>
      </c>
      <c r="O87" s="28">
        <v>0</v>
      </c>
      <c r="P87" s="27" t="s">
        <v>594</v>
      </c>
      <c r="Q87" s="29">
        <v>2525354436</v>
      </c>
      <c r="R87" s="30">
        <v>2110801118</v>
      </c>
      <c r="S87" s="31" t="s">
        <v>73</v>
      </c>
      <c r="T87" s="24" t="s">
        <v>74</v>
      </c>
      <c r="U87" s="24" t="s">
        <v>75</v>
      </c>
      <c r="V87" s="32" t="s">
        <v>595</v>
      </c>
      <c r="W87" s="32" t="s">
        <v>596</v>
      </c>
      <c r="X87" s="32" t="s">
        <v>597</v>
      </c>
      <c r="Y87" s="24">
        <v>671</v>
      </c>
      <c r="Z87" s="24">
        <v>10</v>
      </c>
      <c r="AA87" s="24">
        <f t="shared" si="39"/>
        <v>637.45000000000005</v>
      </c>
      <c r="AB87" s="24">
        <f t="shared" si="32"/>
        <v>6710</v>
      </c>
      <c r="AC87" s="24">
        <f t="shared" si="33"/>
        <v>6374.4999999999991</v>
      </c>
      <c r="AD87" s="24">
        <f t="shared" si="34"/>
        <v>6374.5</v>
      </c>
      <c r="AE87" s="24">
        <f t="shared" si="35"/>
        <v>335.5</v>
      </c>
      <c r="AF87" s="24">
        <f t="shared" si="47"/>
        <v>63.745000000000005</v>
      </c>
      <c r="AG87" s="33">
        <v>3000</v>
      </c>
      <c r="AH87" s="24"/>
      <c r="AI87" s="24"/>
      <c r="AJ87" s="24"/>
      <c r="AK87" s="24"/>
      <c r="AL87" s="24"/>
      <c r="AM87" s="24" t="s">
        <v>79</v>
      </c>
      <c r="AN87" s="34" t="s">
        <v>598</v>
      </c>
      <c r="AO87" s="35" t="s">
        <v>81</v>
      </c>
      <c r="AP87" s="24">
        <f>148*2</f>
        <v>296</v>
      </c>
      <c r="AQ87" s="36">
        <f t="shared" si="40"/>
        <v>91.07692307692308</v>
      </c>
      <c r="AR87" s="37">
        <f>10+75</f>
        <v>85</v>
      </c>
      <c r="AS87" s="38">
        <f t="shared" si="41"/>
        <v>-6.0769230769230802</v>
      </c>
      <c r="AT87" s="39"/>
      <c r="AU87" s="38">
        <f t="shared" si="42"/>
        <v>-6.0769230769230802</v>
      </c>
      <c r="AV87" s="40">
        <v>91.99</v>
      </c>
      <c r="AW87" s="41">
        <f t="shared" si="36"/>
        <v>7819.15</v>
      </c>
      <c r="AX87" s="24">
        <f t="shared" ref="AX87:AX150" si="49">((AG87+AW87)/AD87)*100</f>
        <v>169.72546866420893</v>
      </c>
      <c r="AY87" s="24">
        <v>120</v>
      </c>
      <c r="AZ87" s="24"/>
      <c r="BA87" s="24"/>
      <c r="BB87" s="24">
        <f t="shared" si="43"/>
        <v>0</v>
      </c>
      <c r="BC87" s="24">
        <f t="shared" si="44"/>
        <v>-4628.3949999999995</v>
      </c>
      <c r="BD87" s="24">
        <v>100</v>
      </c>
      <c r="BE87" s="24">
        <v>100</v>
      </c>
      <c r="BF87" s="24"/>
      <c r="BG87" s="24">
        <f t="shared" ref="BG87:BG88" si="50">+AD87*8.5%</f>
        <v>541.8325000000001</v>
      </c>
      <c r="BH87" s="24">
        <f t="shared" ref="BH87:BH89" si="51">+AD87*8.5%</f>
        <v>541.8325000000001</v>
      </c>
      <c r="BI87" s="24"/>
      <c r="BJ87" s="24">
        <f t="shared" si="45"/>
        <v>10.836650000000002</v>
      </c>
      <c r="BK87" s="24">
        <f t="shared" si="46"/>
        <v>-3355.5666499999998</v>
      </c>
      <c r="BL87" s="24" t="s">
        <v>163</v>
      </c>
      <c r="BM87" s="42">
        <f t="shared" si="37"/>
        <v>2</v>
      </c>
      <c r="BN87" s="24" t="s">
        <v>83</v>
      </c>
      <c r="BO87" s="2" t="s">
        <v>84</v>
      </c>
    </row>
    <row r="88" spans="1:67" s="1" customFormat="1" ht="15" customHeight="1" x14ac:dyDescent="0.3">
      <c r="A88" s="20">
        <v>84</v>
      </c>
      <c r="B88" s="21">
        <v>46088</v>
      </c>
      <c r="C88" s="21">
        <v>46097</v>
      </c>
      <c r="D88" s="50" t="s">
        <v>479</v>
      </c>
      <c r="E88" s="23">
        <v>46108</v>
      </c>
      <c r="F88" s="23" t="s">
        <v>7</v>
      </c>
      <c r="G88" s="24" t="s">
        <v>68</v>
      </c>
      <c r="H88" s="24" t="s">
        <v>69</v>
      </c>
      <c r="I88" s="24" t="s">
        <v>112</v>
      </c>
      <c r="J88" s="25" t="s">
        <v>157</v>
      </c>
      <c r="K88" s="45" t="str">
        <f t="shared" si="38"/>
        <v>WB39A6898</v>
      </c>
      <c r="L88" s="26">
        <v>46089</v>
      </c>
      <c r="M88" s="34" t="s">
        <v>599</v>
      </c>
      <c r="N88" s="27" t="s">
        <v>600</v>
      </c>
      <c r="O88" s="28">
        <v>0</v>
      </c>
      <c r="P88" s="27" t="s">
        <v>601</v>
      </c>
      <c r="Q88" s="29">
        <v>2525354433</v>
      </c>
      <c r="R88" s="30">
        <v>2110801117</v>
      </c>
      <c r="S88" s="31" t="s">
        <v>73</v>
      </c>
      <c r="T88" s="24" t="s">
        <v>74</v>
      </c>
      <c r="U88" s="24" t="s">
        <v>75</v>
      </c>
      <c r="V88" s="32" t="s">
        <v>595</v>
      </c>
      <c r="W88" s="32" t="s">
        <v>596</v>
      </c>
      <c r="X88" s="32"/>
      <c r="Y88" s="24">
        <v>671</v>
      </c>
      <c r="Z88" s="24">
        <v>9</v>
      </c>
      <c r="AA88" s="24">
        <f t="shared" si="39"/>
        <v>637.45000000000005</v>
      </c>
      <c r="AB88" s="24">
        <f t="shared" si="32"/>
        <v>6039</v>
      </c>
      <c r="AC88" s="24">
        <f t="shared" si="33"/>
        <v>5737.05</v>
      </c>
      <c r="AD88" s="24">
        <f t="shared" si="34"/>
        <v>5737.05</v>
      </c>
      <c r="AE88" s="24">
        <f t="shared" si="35"/>
        <v>301.94999999999982</v>
      </c>
      <c r="AF88" s="24">
        <f t="shared" si="47"/>
        <v>57.3705</v>
      </c>
      <c r="AG88" s="31">
        <v>0</v>
      </c>
      <c r="AH88" s="24"/>
      <c r="AI88" s="24"/>
      <c r="AJ88" s="24"/>
      <c r="AK88" s="24"/>
      <c r="AL88" s="24"/>
      <c r="AM88" s="24">
        <v>0</v>
      </c>
      <c r="AN88" s="34" t="s">
        <v>213</v>
      </c>
      <c r="AO88" s="35"/>
      <c r="AP88" s="24"/>
      <c r="AQ88" s="36">
        <f t="shared" si="40"/>
        <v>0</v>
      </c>
      <c r="AR88" s="16">
        <v>0</v>
      </c>
      <c r="AS88" s="47">
        <f t="shared" si="41"/>
        <v>0</v>
      </c>
      <c r="AT88" s="31"/>
      <c r="AU88" s="47">
        <f t="shared" si="42"/>
        <v>0</v>
      </c>
      <c r="AV88" s="48">
        <v>91.99</v>
      </c>
      <c r="AW88" s="24">
        <f t="shared" si="36"/>
        <v>0</v>
      </c>
      <c r="AX88" s="24">
        <f t="shared" si="49"/>
        <v>0</v>
      </c>
      <c r="AY88" s="24"/>
      <c r="AZ88" s="24"/>
      <c r="BA88" s="24"/>
      <c r="BB88" s="24">
        <f t="shared" si="43"/>
        <v>0</v>
      </c>
      <c r="BC88" s="24">
        <f t="shared" si="44"/>
        <v>5679.6795000000002</v>
      </c>
      <c r="BD88" s="24"/>
      <c r="BE88" s="24"/>
      <c r="BF88" s="24"/>
      <c r="BG88" s="24">
        <f t="shared" si="50"/>
        <v>487.64925000000005</v>
      </c>
      <c r="BH88" s="24">
        <f t="shared" si="51"/>
        <v>487.64925000000005</v>
      </c>
      <c r="BI88" s="24"/>
      <c r="BJ88" s="24">
        <f t="shared" si="45"/>
        <v>9.7529850000000007</v>
      </c>
      <c r="BK88" s="24">
        <f t="shared" si="46"/>
        <v>6645.2250150000009</v>
      </c>
      <c r="BL88" s="24" t="s">
        <v>163</v>
      </c>
      <c r="BM88" s="42">
        <f t="shared" si="37"/>
        <v>2</v>
      </c>
      <c r="BN88" s="24" t="s">
        <v>83</v>
      </c>
      <c r="BO88" s="2" t="s">
        <v>84</v>
      </c>
    </row>
    <row r="89" spans="1:67" s="1" customFormat="1" ht="15" customHeight="1" x14ac:dyDescent="0.3">
      <c r="A89" s="20">
        <v>85</v>
      </c>
      <c r="B89" s="21">
        <v>46089</v>
      </c>
      <c r="C89" s="21">
        <v>46097</v>
      </c>
      <c r="D89" s="52" t="s">
        <v>602</v>
      </c>
      <c r="E89" s="23">
        <v>46105</v>
      </c>
      <c r="F89" s="23" t="s">
        <v>7</v>
      </c>
      <c r="G89" s="24" t="s">
        <v>68</v>
      </c>
      <c r="H89" s="24" t="s">
        <v>69</v>
      </c>
      <c r="I89" s="24" t="s">
        <v>70</v>
      </c>
      <c r="J89" s="25" t="s">
        <v>336</v>
      </c>
      <c r="K89" s="45" t="str">
        <f t="shared" si="38"/>
        <v>WB39B0801</v>
      </c>
      <c r="L89" s="26">
        <v>46089</v>
      </c>
      <c r="M89" s="34" t="s">
        <v>603</v>
      </c>
      <c r="N89" s="27" t="s">
        <v>604</v>
      </c>
      <c r="O89" s="28">
        <v>0</v>
      </c>
      <c r="P89" s="27" t="s">
        <v>605</v>
      </c>
      <c r="Q89" s="29">
        <v>2525355439</v>
      </c>
      <c r="R89" s="30">
        <v>2110801669</v>
      </c>
      <c r="S89" s="54" t="s">
        <v>73</v>
      </c>
      <c r="T89" s="24" t="s">
        <v>74</v>
      </c>
      <c r="U89" s="24" t="s">
        <v>75</v>
      </c>
      <c r="V89" s="32" t="s">
        <v>606</v>
      </c>
      <c r="W89" s="32" t="s">
        <v>607</v>
      </c>
      <c r="X89" s="32" t="s">
        <v>608</v>
      </c>
      <c r="Y89" s="24">
        <v>943</v>
      </c>
      <c r="Z89" s="24">
        <v>19</v>
      </c>
      <c r="AA89" s="24">
        <f t="shared" si="39"/>
        <v>895.85</v>
      </c>
      <c r="AB89" s="24">
        <f t="shared" si="32"/>
        <v>17917</v>
      </c>
      <c r="AC89" s="24">
        <f t="shared" si="33"/>
        <v>17021.149999999998</v>
      </c>
      <c r="AD89" s="24">
        <f t="shared" si="34"/>
        <v>17021.150000000001</v>
      </c>
      <c r="AE89" s="24">
        <f t="shared" si="35"/>
        <v>895.84999999999854</v>
      </c>
      <c r="AF89" s="24">
        <f t="shared" si="47"/>
        <v>170.21150000000003</v>
      </c>
      <c r="AG89" s="33">
        <v>2800</v>
      </c>
      <c r="AH89" s="24"/>
      <c r="AI89" s="24"/>
      <c r="AJ89" s="24"/>
      <c r="AK89" s="24"/>
      <c r="AL89" s="24"/>
      <c r="AM89" s="24" t="s">
        <v>79</v>
      </c>
      <c r="AN89" s="34" t="s">
        <v>609</v>
      </c>
      <c r="AO89" s="35" t="s">
        <v>81</v>
      </c>
      <c r="AP89" s="24">
        <f>218*2</f>
        <v>436</v>
      </c>
      <c r="AQ89" s="36">
        <f t="shared" si="40"/>
        <v>134.15384615384616</v>
      </c>
      <c r="AR89" s="37">
        <v>118</v>
      </c>
      <c r="AS89" s="38">
        <f t="shared" si="41"/>
        <v>-16.15384615384616</v>
      </c>
      <c r="AT89" s="39"/>
      <c r="AU89" s="38">
        <f t="shared" si="42"/>
        <v>-16.15384615384616</v>
      </c>
      <c r="AV89" s="40">
        <v>91.99</v>
      </c>
      <c r="AW89" s="41">
        <f t="shared" si="36"/>
        <v>10854.82</v>
      </c>
      <c r="AX89" s="24">
        <f t="shared" si="49"/>
        <v>80.222664156064653</v>
      </c>
      <c r="AY89" s="24">
        <v>120</v>
      </c>
      <c r="AZ89" s="24"/>
      <c r="BA89" s="24"/>
      <c r="BB89" s="24">
        <f t="shared" si="43"/>
        <v>0</v>
      </c>
      <c r="BC89" s="24">
        <f t="shared" si="44"/>
        <v>3076.1185000000005</v>
      </c>
      <c r="BD89" s="24">
        <v>100</v>
      </c>
      <c r="BE89" s="24">
        <v>100</v>
      </c>
      <c r="BF89" s="24"/>
      <c r="BG89" s="24">
        <f>+AD89*8.5%</f>
        <v>1446.7977500000002</v>
      </c>
      <c r="BH89" s="24">
        <f t="shared" si="51"/>
        <v>1446.7977500000002</v>
      </c>
      <c r="BI89" s="24"/>
      <c r="BJ89" s="24">
        <f t="shared" si="45"/>
        <v>28.935955000000003</v>
      </c>
      <c r="BK89" s="24">
        <f t="shared" si="46"/>
        <v>6140.778045</v>
      </c>
      <c r="BL89" s="24" t="s">
        <v>82</v>
      </c>
      <c r="BM89" s="42">
        <f t="shared" si="37"/>
        <v>1</v>
      </c>
      <c r="BN89" s="24" t="s">
        <v>610</v>
      </c>
      <c r="BO89" s="2" t="s">
        <v>84</v>
      </c>
    </row>
    <row r="90" spans="1:67" s="1" customFormat="1" ht="15" customHeight="1" x14ac:dyDescent="0.3">
      <c r="A90" s="20">
        <v>86</v>
      </c>
      <c r="B90" s="21">
        <v>46089</v>
      </c>
      <c r="C90" s="21">
        <v>46111</v>
      </c>
      <c r="D90" s="50" t="s">
        <v>611</v>
      </c>
      <c r="E90" s="23">
        <v>46111</v>
      </c>
      <c r="F90" s="23" t="s">
        <v>7</v>
      </c>
      <c r="G90" s="24" t="s">
        <v>68</v>
      </c>
      <c r="H90" s="24" t="s">
        <v>69</v>
      </c>
      <c r="I90" s="24" t="s">
        <v>70</v>
      </c>
      <c r="J90" s="25" t="s">
        <v>612</v>
      </c>
      <c r="K90" s="45" t="str">
        <f t="shared" si="38"/>
        <v>WB39B2382</v>
      </c>
      <c r="L90" s="26">
        <v>46090</v>
      </c>
      <c r="M90" s="34" t="s">
        <v>613</v>
      </c>
      <c r="N90" s="27" t="s">
        <v>614</v>
      </c>
      <c r="O90" s="28">
        <v>0</v>
      </c>
      <c r="P90" s="27" t="s">
        <v>615</v>
      </c>
      <c r="Q90" s="29">
        <v>2525355505</v>
      </c>
      <c r="R90" s="30">
        <v>2110801773</v>
      </c>
      <c r="S90" s="31" t="s">
        <v>73</v>
      </c>
      <c r="T90" s="24" t="s">
        <v>91</v>
      </c>
      <c r="U90" s="24" t="s">
        <v>75</v>
      </c>
      <c r="V90" s="32" t="s">
        <v>616</v>
      </c>
      <c r="W90" s="32" t="s">
        <v>574</v>
      </c>
      <c r="X90" s="32" t="s">
        <v>574</v>
      </c>
      <c r="Y90" s="24">
        <v>934</v>
      </c>
      <c r="Z90" s="24">
        <v>25</v>
      </c>
      <c r="AA90" s="24">
        <f t="shared" si="39"/>
        <v>887.3</v>
      </c>
      <c r="AB90" s="24">
        <f t="shared" si="32"/>
        <v>23350</v>
      </c>
      <c r="AC90" s="24">
        <f t="shared" si="33"/>
        <v>22182.5</v>
      </c>
      <c r="AD90" s="24">
        <f t="shared" si="34"/>
        <v>22182.5</v>
      </c>
      <c r="AE90" s="24">
        <f t="shared" si="35"/>
        <v>1167.5</v>
      </c>
      <c r="AF90" s="24">
        <f t="shared" si="47"/>
        <v>221.82500000000002</v>
      </c>
      <c r="AG90" s="33">
        <v>5700</v>
      </c>
      <c r="AH90" s="24"/>
      <c r="AI90" s="24"/>
      <c r="AJ90" s="24"/>
      <c r="AK90" s="24"/>
      <c r="AL90" s="24"/>
      <c r="AM90" s="24" t="s">
        <v>79</v>
      </c>
      <c r="AN90" s="34" t="s">
        <v>617</v>
      </c>
      <c r="AO90" s="35" t="s">
        <v>81</v>
      </c>
      <c r="AP90" s="24">
        <f>225*2</f>
        <v>450</v>
      </c>
      <c r="AQ90" s="36">
        <f t="shared" si="40"/>
        <v>138.46153846153845</v>
      </c>
      <c r="AR90" s="37">
        <v>148</v>
      </c>
      <c r="AS90" s="38">
        <f t="shared" si="41"/>
        <v>9.5384615384615472</v>
      </c>
      <c r="AT90" s="39"/>
      <c r="AU90" s="38">
        <f t="shared" si="42"/>
        <v>9.5384615384615472</v>
      </c>
      <c r="AV90" s="40">
        <v>91.99</v>
      </c>
      <c r="AW90" s="41">
        <f t="shared" si="36"/>
        <v>13614.519999999999</v>
      </c>
      <c r="AX90" s="24">
        <f t="shared" si="49"/>
        <v>87.070979375633925</v>
      </c>
      <c r="AY90" s="24"/>
      <c r="AZ90" s="24"/>
      <c r="BA90" s="24"/>
      <c r="BB90" s="24">
        <f t="shared" si="43"/>
        <v>0</v>
      </c>
      <c r="BC90" s="24">
        <f t="shared" si="44"/>
        <v>2646.1550000000007</v>
      </c>
      <c r="BD90" s="24"/>
      <c r="BE90" s="24"/>
      <c r="BF90" s="24"/>
      <c r="BG90" s="24">
        <f>+AD90*9.5%</f>
        <v>2107.3375000000001</v>
      </c>
      <c r="BH90" s="24"/>
      <c r="BI90" s="24"/>
      <c r="BJ90" s="24">
        <f t="shared" si="45"/>
        <v>21.073375000000002</v>
      </c>
      <c r="BK90" s="24">
        <f t="shared" si="46"/>
        <v>4732.4191250000003</v>
      </c>
      <c r="BL90" s="24" t="s">
        <v>618</v>
      </c>
      <c r="BM90" s="42">
        <f t="shared" si="37"/>
        <v>2</v>
      </c>
      <c r="BN90" s="24" t="s">
        <v>83</v>
      </c>
      <c r="BO90" s="2" t="s">
        <v>84</v>
      </c>
    </row>
    <row r="91" spans="1:67" s="1" customFormat="1" ht="15" customHeight="1" x14ac:dyDescent="0.3">
      <c r="A91" s="20">
        <v>87</v>
      </c>
      <c r="B91" s="21">
        <v>46089</v>
      </c>
      <c r="C91" s="21">
        <v>46102</v>
      </c>
      <c r="D91" s="52" t="s">
        <v>254</v>
      </c>
      <c r="E91" s="23">
        <v>46104</v>
      </c>
      <c r="F91" s="23" t="s">
        <v>7</v>
      </c>
      <c r="G91" s="24" t="s">
        <v>68</v>
      </c>
      <c r="H91" s="24" t="s">
        <v>69</v>
      </c>
      <c r="I91" s="24" t="s">
        <v>166</v>
      </c>
      <c r="J91" s="25" t="s">
        <v>255</v>
      </c>
      <c r="K91" s="45" t="str">
        <f t="shared" si="38"/>
        <v>WB41H0177</v>
      </c>
      <c r="L91" s="26">
        <v>46090</v>
      </c>
      <c r="M91" s="34" t="s">
        <v>619</v>
      </c>
      <c r="N91" s="27" t="s">
        <v>620</v>
      </c>
      <c r="O91" s="28">
        <v>0</v>
      </c>
      <c r="P91" s="27" t="s">
        <v>621</v>
      </c>
      <c r="Q91" s="29">
        <v>2525355528</v>
      </c>
      <c r="R91" s="30">
        <v>2110801784</v>
      </c>
      <c r="S91" s="31" t="s">
        <v>73</v>
      </c>
      <c r="T91" s="24" t="s">
        <v>91</v>
      </c>
      <c r="U91" s="24" t="s">
        <v>75</v>
      </c>
      <c r="V91" s="32" t="s">
        <v>622</v>
      </c>
      <c r="W91" s="32" t="s">
        <v>251</v>
      </c>
      <c r="X91" s="32" t="s">
        <v>251</v>
      </c>
      <c r="Y91" s="24">
        <v>961</v>
      </c>
      <c r="Z91" s="24">
        <v>25</v>
      </c>
      <c r="AA91" s="24">
        <f t="shared" si="39"/>
        <v>912.94999999999993</v>
      </c>
      <c r="AB91" s="24">
        <f t="shared" si="32"/>
        <v>24025</v>
      </c>
      <c r="AC91" s="24">
        <f t="shared" si="33"/>
        <v>22823.75</v>
      </c>
      <c r="AD91" s="24">
        <f t="shared" si="34"/>
        <v>22823.75</v>
      </c>
      <c r="AE91" s="24">
        <f t="shared" si="35"/>
        <v>1201.25</v>
      </c>
      <c r="AF91" s="24">
        <f t="shared" si="47"/>
        <v>228.23750000000001</v>
      </c>
      <c r="AG91" s="33">
        <v>3300</v>
      </c>
      <c r="AH91" s="24"/>
      <c r="AI91" s="24"/>
      <c r="AJ91" s="24"/>
      <c r="AK91" s="24">
        <v>115</v>
      </c>
      <c r="AL91" s="24"/>
      <c r="AM91" s="24" t="s">
        <v>79</v>
      </c>
      <c r="AN91" s="34" t="s">
        <v>623</v>
      </c>
      <c r="AO91" s="35" t="s">
        <v>81</v>
      </c>
      <c r="AP91" s="24">
        <f>213*2</f>
        <v>426</v>
      </c>
      <c r="AQ91" s="36">
        <f t="shared" si="40"/>
        <v>131.07692307692307</v>
      </c>
      <c r="AR91" s="37">
        <v>132</v>
      </c>
      <c r="AS91" s="38">
        <f t="shared" si="41"/>
        <v>0.92307692307693401</v>
      </c>
      <c r="AT91" s="39"/>
      <c r="AU91" s="38">
        <f t="shared" si="42"/>
        <v>0.92307692307693401</v>
      </c>
      <c r="AV91" s="40">
        <v>91.99</v>
      </c>
      <c r="AW91" s="41">
        <f t="shared" si="36"/>
        <v>12142.679999999998</v>
      </c>
      <c r="AX91" s="24">
        <f t="shared" si="49"/>
        <v>67.660572868174597</v>
      </c>
      <c r="AY91" s="24"/>
      <c r="AZ91" s="24"/>
      <c r="BA91" s="24"/>
      <c r="BB91" s="24">
        <f t="shared" si="43"/>
        <v>0</v>
      </c>
      <c r="BC91" s="24">
        <f t="shared" si="44"/>
        <v>7037.8325000000023</v>
      </c>
      <c r="BD91" s="24">
        <v>135</v>
      </c>
      <c r="BE91" s="24">
        <v>135</v>
      </c>
      <c r="BF91" s="24"/>
      <c r="BG91" s="24">
        <f>+AB91*9.5%</f>
        <v>2282.375</v>
      </c>
      <c r="BH91" s="24"/>
      <c r="BI91" s="24"/>
      <c r="BJ91" s="24">
        <f t="shared" si="45"/>
        <v>22.82375</v>
      </c>
      <c r="BK91" s="24">
        <f t="shared" si="46"/>
        <v>9567.3837500000027</v>
      </c>
      <c r="BL91" s="24" t="s">
        <v>261</v>
      </c>
      <c r="BM91" s="42">
        <f t="shared" si="37"/>
        <v>2</v>
      </c>
      <c r="BN91" s="24" t="s">
        <v>83</v>
      </c>
      <c r="BO91" s="2" t="s">
        <v>424</v>
      </c>
    </row>
    <row r="92" spans="1:67" s="1" customFormat="1" ht="15" customHeight="1" x14ac:dyDescent="0.3">
      <c r="A92" s="20">
        <v>88</v>
      </c>
      <c r="B92" s="21">
        <v>46089</v>
      </c>
      <c r="C92" s="21">
        <v>46097</v>
      </c>
      <c r="D92" s="50" t="s">
        <v>479</v>
      </c>
      <c r="E92" s="23">
        <v>46108</v>
      </c>
      <c r="F92" s="23" t="s">
        <v>7</v>
      </c>
      <c r="G92" s="24" t="s">
        <v>68</v>
      </c>
      <c r="H92" s="24" t="s">
        <v>69</v>
      </c>
      <c r="I92" s="24" t="s">
        <v>88</v>
      </c>
      <c r="J92" s="25" t="s">
        <v>278</v>
      </c>
      <c r="K92" s="45" t="str">
        <f t="shared" si="38"/>
        <v>WB67A4475</v>
      </c>
      <c r="L92" s="26">
        <v>46090</v>
      </c>
      <c r="M92" s="34" t="s">
        <v>624</v>
      </c>
      <c r="N92" s="27" t="s">
        <v>625</v>
      </c>
      <c r="O92" s="28">
        <v>0</v>
      </c>
      <c r="P92" s="27" t="s">
        <v>626</v>
      </c>
      <c r="Q92" s="29">
        <v>2525355536</v>
      </c>
      <c r="R92" s="30">
        <v>2110801787</v>
      </c>
      <c r="S92" s="31" t="s">
        <v>73</v>
      </c>
      <c r="T92" s="24" t="s">
        <v>91</v>
      </c>
      <c r="U92" s="24" t="s">
        <v>75</v>
      </c>
      <c r="V92" s="32" t="s">
        <v>483</v>
      </c>
      <c r="W92" s="32" t="s">
        <v>484</v>
      </c>
      <c r="X92" s="32" t="s">
        <v>627</v>
      </c>
      <c r="Y92" s="24">
        <v>1063</v>
      </c>
      <c r="Z92" s="24">
        <v>25</v>
      </c>
      <c r="AA92" s="24">
        <f t="shared" si="39"/>
        <v>1009.85</v>
      </c>
      <c r="AB92" s="24">
        <f t="shared" si="32"/>
        <v>26575</v>
      </c>
      <c r="AC92" s="24">
        <f t="shared" si="33"/>
        <v>25246.25</v>
      </c>
      <c r="AD92" s="24">
        <f t="shared" si="34"/>
        <v>25246.25</v>
      </c>
      <c r="AE92" s="24">
        <f t="shared" si="35"/>
        <v>1328.75</v>
      </c>
      <c r="AF92" s="24">
        <v>0</v>
      </c>
      <c r="AG92" s="33">
        <v>3500</v>
      </c>
      <c r="AH92" s="24"/>
      <c r="AI92" s="24">
        <v>8385</v>
      </c>
      <c r="AJ92" s="24">
        <v>150</v>
      </c>
      <c r="AK92" s="24">
        <v>115</v>
      </c>
      <c r="AL92" s="24"/>
      <c r="AM92" s="24" t="s">
        <v>79</v>
      </c>
      <c r="AN92" s="34" t="s">
        <v>628</v>
      </c>
      <c r="AO92" s="35" t="s">
        <v>81</v>
      </c>
      <c r="AP92" s="24">
        <f>258*2</f>
        <v>516</v>
      </c>
      <c r="AQ92" s="36">
        <f t="shared" si="40"/>
        <v>158.76923076923077</v>
      </c>
      <c r="AR92" s="37">
        <v>160</v>
      </c>
      <c r="AS92" s="38">
        <f t="shared" si="41"/>
        <v>1.2307692307692264</v>
      </c>
      <c r="AT92" s="39"/>
      <c r="AU92" s="38">
        <f t="shared" si="42"/>
        <v>1.2307692307692264</v>
      </c>
      <c r="AV92" s="40">
        <v>91.99</v>
      </c>
      <c r="AW92" s="41">
        <f t="shared" si="36"/>
        <v>14718.4</v>
      </c>
      <c r="AX92" s="24">
        <f t="shared" si="49"/>
        <v>72.162796454919061</v>
      </c>
      <c r="AY92" s="24"/>
      <c r="AZ92" s="24"/>
      <c r="BA92" s="24"/>
      <c r="BB92" s="24">
        <f t="shared" si="43"/>
        <v>0</v>
      </c>
      <c r="BC92" s="24">
        <f t="shared" si="44"/>
        <v>-1622.1499999999996</v>
      </c>
      <c r="BD92" s="24"/>
      <c r="BE92" s="24"/>
      <c r="BF92" s="24"/>
      <c r="BG92" s="24">
        <f>+AB92*9.5%</f>
        <v>2524.625</v>
      </c>
      <c r="BH92" s="24"/>
      <c r="BI92" s="24"/>
      <c r="BJ92" s="24">
        <f t="shared" si="45"/>
        <v>25.24625</v>
      </c>
      <c r="BK92" s="24">
        <f t="shared" si="46"/>
        <v>877.22875000000033</v>
      </c>
      <c r="BL92" s="24" t="s">
        <v>283</v>
      </c>
      <c r="BM92" s="42">
        <f t="shared" si="37"/>
        <v>2</v>
      </c>
      <c r="BN92" s="24" t="s">
        <v>83</v>
      </c>
      <c r="BO92" s="2" t="s">
        <v>84</v>
      </c>
    </row>
    <row r="93" spans="1:67" s="1" customFormat="1" ht="15" customHeight="1" x14ac:dyDescent="0.3">
      <c r="A93" s="20">
        <v>89</v>
      </c>
      <c r="B93" s="21">
        <v>46089</v>
      </c>
      <c r="C93" s="21">
        <v>46102</v>
      </c>
      <c r="D93" s="52" t="s">
        <v>629</v>
      </c>
      <c r="E93" s="23">
        <v>46105</v>
      </c>
      <c r="F93" s="23" t="s">
        <v>7</v>
      </c>
      <c r="G93" s="24" t="s">
        <v>68</v>
      </c>
      <c r="H93" s="24" t="s">
        <v>69</v>
      </c>
      <c r="I93" s="24" t="s">
        <v>70</v>
      </c>
      <c r="J93" s="25" t="s">
        <v>630</v>
      </c>
      <c r="K93" s="45" t="str">
        <f t="shared" si="38"/>
        <v>WB39B8879</v>
      </c>
      <c r="L93" s="26">
        <v>46089</v>
      </c>
      <c r="M93" s="34" t="s">
        <v>631</v>
      </c>
      <c r="N93" s="27" t="s">
        <v>632</v>
      </c>
      <c r="O93" s="28">
        <v>0</v>
      </c>
      <c r="P93" s="27" t="s">
        <v>633</v>
      </c>
      <c r="Q93" s="29">
        <v>2525355542</v>
      </c>
      <c r="R93" s="30">
        <v>2110801846</v>
      </c>
      <c r="S93" s="31" t="s">
        <v>73</v>
      </c>
      <c r="T93" s="24" t="s">
        <v>91</v>
      </c>
      <c r="U93" s="24" t="s">
        <v>75</v>
      </c>
      <c r="V93" s="32" t="s">
        <v>634</v>
      </c>
      <c r="W93" s="32" t="s">
        <v>635</v>
      </c>
      <c r="X93" s="32" t="s">
        <v>636</v>
      </c>
      <c r="Y93" s="24">
        <v>821</v>
      </c>
      <c r="Z93" s="24">
        <v>25</v>
      </c>
      <c r="AA93" s="24">
        <f t="shared" si="39"/>
        <v>779.95</v>
      </c>
      <c r="AB93" s="24">
        <f t="shared" si="32"/>
        <v>20525</v>
      </c>
      <c r="AC93" s="24">
        <f t="shared" si="33"/>
        <v>19498.75</v>
      </c>
      <c r="AD93" s="24">
        <f t="shared" si="34"/>
        <v>19498.75</v>
      </c>
      <c r="AE93" s="24">
        <f t="shared" si="35"/>
        <v>1026.25</v>
      </c>
      <c r="AF93" s="24">
        <f t="shared" si="47"/>
        <v>194.98750000000001</v>
      </c>
      <c r="AG93" s="33">
        <v>3600</v>
      </c>
      <c r="AH93" s="24"/>
      <c r="AI93" s="24"/>
      <c r="AJ93" s="24"/>
      <c r="AK93" s="24"/>
      <c r="AL93" s="24"/>
      <c r="AM93" s="24" t="s">
        <v>79</v>
      </c>
      <c r="AN93" s="34" t="s">
        <v>637</v>
      </c>
      <c r="AO93" s="35" t="s">
        <v>81</v>
      </c>
      <c r="AP93" s="24">
        <f>190*2</f>
        <v>380</v>
      </c>
      <c r="AQ93" s="36">
        <f t="shared" si="40"/>
        <v>116.92307692307692</v>
      </c>
      <c r="AR93" s="37">
        <v>123</v>
      </c>
      <c r="AS93" s="38">
        <f t="shared" si="41"/>
        <v>6.0769230769230802</v>
      </c>
      <c r="AT93" s="39"/>
      <c r="AU93" s="38">
        <f t="shared" si="42"/>
        <v>6.0769230769230802</v>
      </c>
      <c r="AV93" s="40">
        <v>91.99</v>
      </c>
      <c r="AW93" s="41">
        <f t="shared" si="36"/>
        <v>11314.769999999999</v>
      </c>
      <c r="AX93" s="24">
        <f t="shared" si="49"/>
        <v>76.490903263029679</v>
      </c>
      <c r="AY93" s="24"/>
      <c r="AZ93" s="24"/>
      <c r="BA93" s="24"/>
      <c r="BB93" s="24">
        <f t="shared" si="43"/>
        <v>0</v>
      </c>
      <c r="BC93" s="24">
        <f t="shared" si="44"/>
        <v>4388.9925000000021</v>
      </c>
      <c r="BD93" s="24"/>
      <c r="BE93" s="24"/>
      <c r="BF93" s="24"/>
      <c r="BG93" s="24">
        <f>+AD93*9.5%</f>
        <v>1852.3812499999999</v>
      </c>
      <c r="BH93" s="24"/>
      <c r="BI93" s="24"/>
      <c r="BJ93" s="24">
        <f t="shared" si="45"/>
        <v>18.523812499999998</v>
      </c>
      <c r="BK93" s="24">
        <f t="shared" si="46"/>
        <v>6222.8499375000029</v>
      </c>
      <c r="BL93" s="24" t="s">
        <v>638</v>
      </c>
      <c r="BM93" s="42">
        <f t="shared" si="37"/>
        <v>1</v>
      </c>
      <c r="BN93" s="24" t="s">
        <v>610</v>
      </c>
      <c r="BO93" s="2" t="s">
        <v>148</v>
      </c>
    </row>
    <row r="94" spans="1:67" s="1" customFormat="1" ht="15" customHeight="1" x14ac:dyDescent="0.3">
      <c r="A94" s="20">
        <v>90</v>
      </c>
      <c r="B94" s="21">
        <v>46089</v>
      </c>
      <c r="C94" s="21">
        <v>46097</v>
      </c>
      <c r="D94" s="50" t="s">
        <v>343</v>
      </c>
      <c r="E94" s="23">
        <v>46097</v>
      </c>
      <c r="F94" s="23" t="s">
        <v>7</v>
      </c>
      <c r="G94" s="24" t="s">
        <v>68</v>
      </c>
      <c r="H94" s="24" t="s">
        <v>69</v>
      </c>
      <c r="I94" s="24" t="s">
        <v>381</v>
      </c>
      <c r="J94" s="25" t="s">
        <v>382</v>
      </c>
      <c r="K94" s="45" t="str">
        <f t="shared" si="38"/>
        <v>WB41K2967</v>
      </c>
      <c r="L94" s="26">
        <v>46090</v>
      </c>
      <c r="M94" s="34" t="s">
        <v>639</v>
      </c>
      <c r="N94" s="27" t="s">
        <v>640</v>
      </c>
      <c r="O94" s="28">
        <v>0</v>
      </c>
      <c r="P94" s="27" t="s">
        <v>641</v>
      </c>
      <c r="Q94" s="29">
        <v>2590194923</v>
      </c>
      <c r="R94" s="30">
        <v>2160373102</v>
      </c>
      <c r="S94" s="31" t="s">
        <v>73</v>
      </c>
      <c r="T94" s="24" t="s">
        <v>241</v>
      </c>
      <c r="U94" s="24" t="s">
        <v>347</v>
      </c>
      <c r="V94" s="32" t="s">
        <v>642</v>
      </c>
      <c r="W94" s="32" t="s">
        <v>349</v>
      </c>
      <c r="X94" s="32"/>
      <c r="Y94" s="24">
        <v>642</v>
      </c>
      <c r="Z94" s="24">
        <v>30</v>
      </c>
      <c r="AA94" s="24">
        <f t="shared" si="39"/>
        <v>609.9</v>
      </c>
      <c r="AB94" s="24">
        <f t="shared" si="32"/>
        <v>19260</v>
      </c>
      <c r="AC94" s="24">
        <f t="shared" si="33"/>
        <v>18297</v>
      </c>
      <c r="AD94" s="24">
        <f t="shared" si="34"/>
        <v>18297</v>
      </c>
      <c r="AE94" s="24">
        <f t="shared" si="35"/>
        <v>963</v>
      </c>
      <c r="AF94" s="24">
        <f t="shared" si="47"/>
        <v>182.97</v>
      </c>
      <c r="AG94" s="33">
        <v>3500</v>
      </c>
      <c r="AH94" s="24"/>
      <c r="AI94" s="24"/>
      <c r="AJ94" s="24"/>
      <c r="AK94" s="24"/>
      <c r="AL94" s="24"/>
      <c r="AM94" s="24" t="s">
        <v>79</v>
      </c>
      <c r="AN94" s="34" t="s">
        <v>643</v>
      </c>
      <c r="AO94" s="35" t="s">
        <v>81</v>
      </c>
      <c r="AP94" s="24">
        <f>139*2</f>
        <v>278</v>
      </c>
      <c r="AQ94" s="36">
        <f t="shared" si="40"/>
        <v>85.538461538461533</v>
      </c>
      <c r="AR94" s="37">
        <v>85</v>
      </c>
      <c r="AS94" s="38">
        <f t="shared" si="41"/>
        <v>-0.538461538461533</v>
      </c>
      <c r="AT94" s="39"/>
      <c r="AU94" s="38">
        <f t="shared" si="42"/>
        <v>-0.538461538461533</v>
      </c>
      <c r="AV94" s="40">
        <v>91.99</v>
      </c>
      <c r="AW94" s="41">
        <f t="shared" si="36"/>
        <v>7819.15</v>
      </c>
      <c r="AX94" s="24">
        <f t="shared" si="49"/>
        <v>61.86342023282505</v>
      </c>
      <c r="AY94" s="24"/>
      <c r="AZ94" s="24"/>
      <c r="BA94" s="24"/>
      <c r="BB94" s="24">
        <f t="shared" si="43"/>
        <v>0</v>
      </c>
      <c r="BC94" s="24">
        <f t="shared" si="44"/>
        <v>6794.8799999999992</v>
      </c>
      <c r="BD94" s="24"/>
      <c r="BE94" s="24"/>
      <c r="BF94" s="24"/>
      <c r="BG94" s="24">
        <f>+AB94*9.5%</f>
        <v>1829.7</v>
      </c>
      <c r="BH94" s="24"/>
      <c r="BI94" s="24"/>
      <c r="BJ94" s="24">
        <f t="shared" si="45"/>
        <v>18.297000000000001</v>
      </c>
      <c r="BK94" s="24">
        <f t="shared" si="46"/>
        <v>8606.2829999999994</v>
      </c>
      <c r="BL94" s="24" t="s">
        <v>261</v>
      </c>
      <c r="BM94" s="42">
        <f t="shared" si="37"/>
        <v>2</v>
      </c>
      <c r="BN94" s="24" t="s">
        <v>83</v>
      </c>
      <c r="BO94" s="2" t="s">
        <v>148</v>
      </c>
    </row>
    <row r="95" spans="1:67" s="1" customFormat="1" ht="15" customHeight="1" x14ac:dyDescent="0.3">
      <c r="A95" s="20">
        <v>91</v>
      </c>
      <c r="B95" s="21">
        <v>46089</v>
      </c>
      <c r="C95" s="21">
        <v>46097</v>
      </c>
      <c r="D95" s="50" t="s">
        <v>335</v>
      </c>
      <c r="E95" s="23">
        <v>46097</v>
      </c>
      <c r="F95" s="23" t="s">
        <v>7</v>
      </c>
      <c r="G95" s="24" t="s">
        <v>68</v>
      </c>
      <c r="H95" s="24" t="s">
        <v>69</v>
      </c>
      <c r="I95" s="24" t="s">
        <v>88</v>
      </c>
      <c r="J95" s="25" t="s">
        <v>194</v>
      </c>
      <c r="K95" s="45" t="str">
        <f t="shared" si="38"/>
        <v>WB67A2373</v>
      </c>
      <c r="L95" s="26">
        <v>46090</v>
      </c>
      <c r="M95" s="34" t="s">
        <v>644</v>
      </c>
      <c r="N95" s="27" t="s">
        <v>645</v>
      </c>
      <c r="O95" s="28">
        <v>0</v>
      </c>
      <c r="P95" s="27" t="s">
        <v>646</v>
      </c>
      <c r="Q95" s="29">
        <v>2525355538</v>
      </c>
      <c r="R95" s="30">
        <v>2110801788</v>
      </c>
      <c r="S95" s="31" t="s">
        <v>73</v>
      </c>
      <c r="T95" s="24" t="s">
        <v>74</v>
      </c>
      <c r="U95" s="24" t="s">
        <v>75</v>
      </c>
      <c r="V95" s="32" t="s">
        <v>647</v>
      </c>
      <c r="W95" s="32" t="s">
        <v>648</v>
      </c>
      <c r="X95" s="32"/>
      <c r="Y95" s="24">
        <v>797</v>
      </c>
      <c r="Z95" s="24">
        <v>19</v>
      </c>
      <c r="AA95" s="24">
        <f t="shared" si="39"/>
        <v>757.15</v>
      </c>
      <c r="AB95" s="24">
        <f t="shared" si="32"/>
        <v>15143</v>
      </c>
      <c r="AC95" s="24">
        <f t="shared" si="33"/>
        <v>14385.85</v>
      </c>
      <c r="AD95" s="24">
        <f t="shared" si="34"/>
        <v>14385.85</v>
      </c>
      <c r="AE95" s="24">
        <f t="shared" si="35"/>
        <v>757.14999999999964</v>
      </c>
      <c r="AF95" s="24">
        <f t="shared" si="47"/>
        <v>143.85850000000002</v>
      </c>
      <c r="AG95" s="33">
        <v>2800</v>
      </c>
      <c r="AH95" s="24"/>
      <c r="AI95" s="24"/>
      <c r="AJ95" s="24"/>
      <c r="AK95" s="24">
        <v>115</v>
      </c>
      <c r="AL95" s="24"/>
      <c r="AM95" s="24" t="s">
        <v>79</v>
      </c>
      <c r="AN95" s="34" t="s">
        <v>649</v>
      </c>
      <c r="AO95" s="35" t="s">
        <v>81</v>
      </c>
      <c r="AP95" s="24">
        <f>168*2</f>
        <v>336</v>
      </c>
      <c r="AQ95" s="36">
        <f t="shared" si="40"/>
        <v>103.38461538461539</v>
      </c>
      <c r="AR95" s="37">
        <v>93</v>
      </c>
      <c r="AS95" s="38">
        <f t="shared" si="41"/>
        <v>-10.384615384615387</v>
      </c>
      <c r="AT95" s="39"/>
      <c r="AU95" s="38">
        <f t="shared" si="42"/>
        <v>-10.384615384615387</v>
      </c>
      <c r="AV95" s="40">
        <v>91.88</v>
      </c>
      <c r="AW95" s="41">
        <f t="shared" si="36"/>
        <v>8544.84</v>
      </c>
      <c r="AX95" s="24">
        <f t="shared" si="49"/>
        <v>78.861103097835723</v>
      </c>
      <c r="AY95" s="24"/>
      <c r="AZ95" s="24"/>
      <c r="BA95" s="24"/>
      <c r="BB95" s="24">
        <f t="shared" si="43"/>
        <v>0</v>
      </c>
      <c r="BC95" s="24">
        <f t="shared" si="44"/>
        <v>2782.1514999999999</v>
      </c>
      <c r="BD95" s="24">
        <v>110</v>
      </c>
      <c r="BE95" s="24">
        <v>110</v>
      </c>
      <c r="BF95" s="24"/>
      <c r="BG95" s="24">
        <f>+AD95*8.5%</f>
        <v>1222.7972500000001</v>
      </c>
      <c r="BH95" s="24">
        <f>+AD95*8.5%</f>
        <v>1222.7972500000001</v>
      </c>
      <c r="BI95" s="24"/>
      <c r="BJ95" s="24">
        <f t="shared" si="45"/>
        <v>24.455945000000003</v>
      </c>
      <c r="BK95" s="24">
        <f t="shared" si="46"/>
        <v>5423.2900549999995</v>
      </c>
      <c r="BL95" s="24" t="s">
        <v>82</v>
      </c>
      <c r="BM95" s="42">
        <f t="shared" si="37"/>
        <v>2</v>
      </c>
      <c r="BN95" s="24" t="s">
        <v>83</v>
      </c>
      <c r="BO95" s="2" t="s">
        <v>84</v>
      </c>
    </row>
    <row r="96" spans="1:67" s="1" customFormat="1" ht="15" customHeight="1" x14ac:dyDescent="0.3">
      <c r="A96" s="20">
        <v>92</v>
      </c>
      <c r="B96" s="21">
        <v>46089</v>
      </c>
      <c r="C96" s="21">
        <v>46097</v>
      </c>
      <c r="D96" s="50" t="s">
        <v>388</v>
      </c>
      <c r="E96" s="23">
        <v>46097</v>
      </c>
      <c r="F96" s="23" t="s">
        <v>7</v>
      </c>
      <c r="G96" s="24" t="s">
        <v>68</v>
      </c>
      <c r="H96" s="24" t="s">
        <v>69</v>
      </c>
      <c r="I96" s="24" t="s">
        <v>70</v>
      </c>
      <c r="J96" s="25" t="s">
        <v>650</v>
      </c>
      <c r="K96" s="45" t="str">
        <f t="shared" si="38"/>
        <v>WB39B0926</v>
      </c>
      <c r="L96" s="26">
        <v>46090</v>
      </c>
      <c r="M96" s="34" t="s">
        <v>651</v>
      </c>
      <c r="N96" s="27" t="s">
        <v>652</v>
      </c>
      <c r="O96" s="28">
        <v>0</v>
      </c>
      <c r="P96" s="27" t="s">
        <v>653</v>
      </c>
      <c r="Q96" s="29">
        <v>2525355511</v>
      </c>
      <c r="R96" s="30">
        <v>2110801777</v>
      </c>
      <c r="S96" s="31" t="s">
        <v>73</v>
      </c>
      <c r="T96" s="24" t="s">
        <v>91</v>
      </c>
      <c r="U96" s="24" t="s">
        <v>75</v>
      </c>
      <c r="V96" s="32" t="s">
        <v>654</v>
      </c>
      <c r="W96" s="32" t="s">
        <v>655</v>
      </c>
      <c r="X96" s="32"/>
      <c r="Y96" s="24">
        <v>1352</v>
      </c>
      <c r="Z96" s="24">
        <v>25</v>
      </c>
      <c r="AA96" s="24">
        <f t="shared" si="39"/>
        <v>1284.3999999999999</v>
      </c>
      <c r="AB96" s="24">
        <f t="shared" si="32"/>
        <v>33800</v>
      </c>
      <c r="AC96" s="24">
        <f t="shared" si="33"/>
        <v>32110</v>
      </c>
      <c r="AD96" s="24">
        <f t="shared" si="34"/>
        <v>32109.999999999996</v>
      </c>
      <c r="AE96" s="24">
        <f t="shared" si="35"/>
        <v>1690.0000000000036</v>
      </c>
      <c r="AF96" s="24">
        <v>0</v>
      </c>
      <c r="AG96" s="33">
        <v>8000</v>
      </c>
      <c r="AH96" s="24"/>
      <c r="AI96" s="24"/>
      <c r="AJ96" s="24"/>
      <c r="AK96" s="24"/>
      <c r="AL96" s="24"/>
      <c r="AM96" s="24" t="s">
        <v>79</v>
      </c>
      <c r="AN96" s="34" t="s">
        <v>656</v>
      </c>
      <c r="AO96" s="35" t="s">
        <v>81</v>
      </c>
      <c r="AP96" s="24">
        <f>345*2</f>
        <v>690</v>
      </c>
      <c r="AQ96" s="36">
        <f t="shared" si="40"/>
        <v>212.30769230769232</v>
      </c>
      <c r="AR96" s="37">
        <v>197</v>
      </c>
      <c r="AS96" s="38">
        <f t="shared" si="41"/>
        <v>-15.307692307692321</v>
      </c>
      <c r="AT96" s="39"/>
      <c r="AU96" s="38">
        <f t="shared" si="42"/>
        <v>-15.307692307692321</v>
      </c>
      <c r="AV96" s="40">
        <v>91.99</v>
      </c>
      <c r="AW96" s="41">
        <f t="shared" si="36"/>
        <v>18122.03</v>
      </c>
      <c r="AX96" s="24">
        <f t="shared" si="49"/>
        <v>81.351697290563692</v>
      </c>
      <c r="AY96" s="24"/>
      <c r="AZ96" s="24"/>
      <c r="BA96" s="24"/>
      <c r="BB96" s="24">
        <f t="shared" si="43"/>
        <v>0</v>
      </c>
      <c r="BC96" s="24">
        <f t="shared" si="44"/>
        <v>5987.9699999999975</v>
      </c>
      <c r="BD96" s="24">
        <v>135</v>
      </c>
      <c r="BE96" s="24">
        <v>135</v>
      </c>
      <c r="BF96" s="24"/>
      <c r="BG96" s="24">
        <f>+AB96*9.5%</f>
        <v>3211</v>
      </c>
      <c r="BH96" s="24"/>
      <c r="BI96" s="24"/>
      <c r="BJ96" s="24">
        <f t="shared" si="45"/>
        <v>32.11</v>
      </c>
      <c r="BK96" s="24">
        <f t="shared" si="46"/>
        <v>9436.8599999999969</v>
      </c>
      <c r="BL96" s="24" t="s">
        <v>657</v>
      </c>
      <c r="BM96" s="42">
        <f t="shared" si="37"/>
        <v>2</v>
      </c>
      <c r="BN96" s="24" t="s">
        <v>83</v>
      </c>
      <c r="BO96" s="2" t="s">
        <v>148</v>
      </c>
    </row>
    <row r="97" spans="1:67" s="1" customFormat="1" ht="15" customHeight="1" x14ac:dyDescent="0.3">
      <c r="A97" s="20">
        <v>93</v>
      </c>
      <c r="B97" s="21">
        <v>46089</v>
      </c>
      <c r="C97" s="21">
        <v>46097</v>
      </c>
      <c r="D97" s="52" t="s">
        <v>541</v>
      </c>
      <c r="E97" s="23">
        <v>46105</v>
      </c>
      <c r="F97" s="23" t="s">
        <v>7</v>
      </c>
      <c r="G97" s="24" t="s">
        <v>68</v>
      </c>
      <c r="H97" s="24" t="s">
        <v>69</v>
      </c>
      <c r="I97" s="24" t="s">
        <v>70</v>
      </c>
      <c r="J97" s="25" t="s">
        <v>203</v>
      </c>
      <c r="K97" s="45" t="str">
        <f t="shared" si="38"/>
        <v>WB39B0800</v>
      </c>
      <c r="L97" s="26">
        <v>46090</v>
      </c>
      <c r="M97" s="34" t="s">
        <v>658</v>
      </c>
      <c r="N97" s="27" t="s">
        <v>659</v>
      </c>
      <c r="O97" s="28">
        <v>0</v>
      </c>
      <c r="P97" s="27" t="s">
        <v>660</v>
      </c>
      <c r="Q97" s="29">
        <v>2525355639</v>
      </c>
      <c r="R97" s="30">
        <v>2110801942</v>
      </c>
      <c r="S97" s="54" t="s">
        <v>73</v>
      </c>
      <c r="T97" s="24" t="s">
        <v>74</v>
      </c>
      <c r="U97" s="24" t="s">
        <v>75</v>
      </c>
      <c r="V97" s="32" t="s">
        <v>661</v>
      </c>
      <c r="W97" s="32" t="s">
        <v>77</v>
      </c>
      <c r="X97" s="32" t="s">
        <v>662</v>
      </c>
      <c r="Y97" s="24">
        <v>831</v>
      </c>
      <c r="Z97" s="24">
        <v>19</v>
      </c>
      <c r="AA97" s="24">
        <f t="shared" si="39"/>
        <v>789.45</v>
      </c>
      <c r="AB97" s="24">
        <f t="shared" si="32"/>
        <v>15789</v>
      </c>
      <c r="AC97" s="24">
        <f t="shared" si="33"/>
        <v>14999.55</v>
      </c>
      <c r="AD97" s="24">
        <f t="shared" si="34"/>
        <v>14999.550000000001</v>
      </c>
      <c r="AE97" s="24">
        <f t="shared" si="35"/>
        <v>789.44999999999891</v>
      </c>
      <c r="AF97" s="24">
        <f t="shared" si="47"/>
        <v>149.99550000000002</v>
      </c>
      <c r="AG97" s="33">
        <v>2700</v>
      </c>
      <c r="AH97" s="24"/>
      <c r="AI97" s="24"/>
      <c r="AJ97" s="24"/>
      <c r="AK97" s="24"/>
      <c r="AL97" s="24"/>
      <c r="AM97" s="24" t="s">
        <v>79</v>
      </c>
      <c r="AN97" s="34" t="s">
        <v>663</v>
      </c>
      <c r="AO97" s="35" t="s">
        <v>81</v>
      </c>
      <c r="AP97" s="24">
        <f>188*2</f>
        <v>376</v>
      </c>
      <c r="AQ97" s="36">
        <f t="shared" si="40"/>
        <v>115.69230769230769</v>
      </c>
      <c r="AR97" s="37">
        <v>115</v>
      </c>
      <c r="AS97" s="38">
        <f t="shared" si="41"/>
        <v>-0.6923076923076934</v>
      </c>
      <c r="AT97" s="39"/>
      <c r="AU97" s="38">
        <f t="shared" si="42"/>
        <v>-0.6923076923076934</v>
      </c>
      <c r="AV97" s="40">
        <v>91.99</v>
      </c>
      <c r="AW97" s="41">
        <f t="shared" si="36"/>
        <v>10578.849999999999</v>
      </c>
      <c r="AX97" s="24">
        <f t="shared" si="49"/>
        <v>88.528322516342143</v>
      </c>
      <c r="AY97" s="24">
        <v>120</v>
      </c>
      <c r="AZ97" s="24"/>
      <c r="BA97" s="24"/>
      <c r="BB97" s="24">
        <f t="shared" si="43"/>
        <v>0</v>
      </c>
      <c r="BC97" s="24">
        <f t="shared" si="44"/>
        <v>1450.7045000000016</v>
      </c>
      <c r="BD97" s="24"/>
      <c r="BE97" s="24"/>
      <c r="BF97" s="24"/>
      <c r="BG97" s="24">
        <f>+AD97*8.5%</f>
        <v>1274.9617500000002</v>
      </c>
      <c r="BH97" s="24">
        <f>+AD97*8.5%</f>
        <v>1274.9617500000002</v>
      </c>
      <c r="BI97" s="24"/>
      <c r="BJ97" s="24">
        <f t="shared" si="45"/>
        <v>25.499235000000002</v>
      </c>
      <c r="BK97" s="24">
        <f t="shared" si="46"/>
        <v>3975.1287650000022</v>
      </c>
      <c r="BL97" s="24" t="s">
        <v>82</v>
      </c>
      <c r="BM97" s="42">
        <f t="shared" si="37"/>
        <v>2</v>
      </c>
      <c r="BN97" s="24" t="s">
        <v>83</v>
      </c>
      <c r="BO97" s="2" t="s">
        <v>84</v>
      </c>
    </row>
    <row r="98" spans="1:67" s="1" customFormat="1" ht="15" customHeight="1" x14ac:dyDescent="0.3">
      <c r="A98" s="20">
        <v>94</v>
      </c>
      <c r="B98" s="21">
        <v>46089</v>
      </c>
      <c r="C98" s="21">
        <v>46097</v>
      </c>
      <c r="D98" s="55" t="s">
        <v>111</v>
      </c>
      <c r="E98" s="23">
        <v>46097</v>
      </c>
      <c r="F98" s="23" t="s">
        <v>7</v>
      </c>
      <c r="G98" s="24" t="s">
        <v>87</v>
      </c>
      <c r="H98" s="24" t="s">
        <v>69</v>
      </c>
      <c r="I98" s="24" t="s">
        <v>236</v>
      </c>
      <c r="J98" s="25" t="s">
        <v>366</v>
      </c>
      <c r="K98" s="45" t="str">
        <f t="shared" si="38"/>
        <v>WB41J5775</v>
      </c>
      <c r="L98" s="26">
        <v>46090</v>
      </c>
      <c r="M98" s="34" t="s">
        <v>664</v>
      </c>
      <c r="N98" s="27" t="s">
        <v>665</v>
      </c>
      <c r="O98" s="28">
        <v>0</v>
      </c>
      <c r="P98" s="27"/>
      <c r="Q98" s="29">
        <v>2525355705</v>
      </c>
      <c r="R98" s="30">
        <v>2110800644</v>
      </c>
      <c r="S98" s="31" t="s">
        <v>73</v>
      </c>
      <c r="T98" s="24" t="s">
        <v>91</v>
      </c>
      <c r="U98" s="24" t="s">
        <v>75</v>
      </c>
      <c r="V98" s="32" t="s">
        <v>134</v>
      </c>
      <c r="W98" s="32" t="s">
        <v>666</v>
      </c>
      <c r="X98" s="32"/>
      <c r="Y98" s="24">
        <v>742</v>
      </c>
      <c r="Z98" s="24">
        <v>25</v>
      </c>
      <c r="AA98" s="24">
        <f t="shared" si="39"/>
        <v>704.9</v>
      </c>
      <c r="AB98" s="24">
        <f t="shared" si="32"/>
        <v>18550</v>
      </c>
      <c r="AC98" s="24">
        <f t="shared" si="33"/>
        <v>17622.5</v>
      </c>
      <c r="AD98" s="24">
        <f t="shared" si="34"/>
        <v>17622.5</v>
      </c>
      <c r="AE98" s="24">
        <f t="shared" si="35"/>
        <v>927.5</v>
      </c>
      <c r="AF98" s="24">
        <v>0</v>
      </c>
      <c r="AG98" s="33">
        <v>4200</v>
      </c>
      <c r="AH98" s="24"/>
      <c r="AI98" s="24">
        <v>8385</v>
      </c>
      <c r="AJ98" s="24">
        <v>150</v>
      </c>
      <c r="AK98" s="24"/>
      <c r="AL98" s="24"/>
      <c r="AM98" s="24" t="s">
        <v>79</v>
      </c>
      <c r="AN98" s="34" t="s">
        <v>667</v>
      </c>
      <c r="AO98" s="35" t="s">
        <v>81</v>
      </c>
      <c r="AP98" s="24">
        <f>153*2</f>
        <v>306</v>
      </c>
      <c r="AQ98" s="36">
        <f t="shared" si="40"/>
        <v>94.15384615384616</v>
      </c>
      <c r="AR98" s="37">
        <v>90</v>
      </c>
      <c r="AS98" s="38">
        <f t="shared" si="41"/>
        <v>-4.1538461538461604</v>
      </c>
      <c r="AT98" s="39"/>
      <c r="AU98" s="38">
        <f t="shared" si="42"/>
        <v>-4.1538461538461604</v>
      </c>
      <c r="AV98" s="40">
        <v>91.88</v>
      </c>
      <c r="AW98" s="41">
        <f t="shared" si="36"/>
        <v>8269.1999999999989</v>
      </c>
      <c r="AX98" s="24">
        <f t="shared" si="49"/>
        <v>70.757270534827626</v>
      </c>
      <c r="AY98" s="24"/>
      <c r="AZ98" s="24"/>
      <c r="BA98" s="24"/>
      <c r="BB98" s="24">
        <f t="shared" si="43"/>
        <v>0</v>
      </c>
      <c r="BC98" s="24">
        <f t="shared" si="44"/>
        <v>-3381.6999999999989</v>
      </c>
      <c r="BD98" s="24"/>
      <c r="BE98" s="24"/>
      <c r="BF98" s="24">
        <v>750</v>
      </c>
      <c r="BG98" s="24">
        <f>+AB98*9.5%</f>
        <v>1762.25</v>
      </c>
      <c r="BH98" s="24"/>
      <c r="BI98" s="24"/>
      <c r="BJ98" s="24">
        <f t="shared" si="45"/>
        <v>25.122500000000002</v>
      </c>
      <c r="BK98" s="24">
        <f t="shared" si="46"/>
        <v>-894.57249999999885</v>
      </c>
      <c r="BL98" s="24" t="s">
        <v>245</v>
      </c>
      <c r="BM98" s="42">
        <f t="shared" si="37"/>
        <v>2</v>
      </c>
      <c r="BN98" s="24" t="s">
        <v>83</v>
      </c>
      <c r="BO98" s="2" t="s">
        <v>84</v>
      </c>
    </row>
    <row r="99" spans="1:67" s="1" customFormat="1" ht="15" customHeight="1" x14ac:dyDescent="0.3">
      <c r="A99" s="20">
        <v>95</v>
      </c>
      <c r="B99" s="21">
        <v>46089</v>
      </c>
      <c r="C99" s="21">
        <v>46097</v>
      </c>
      <c r="D99" s="50" t="s">
        <v>668</v>
      </c>
      <c r="E99" s="23">
        <v>46160</v>
      </c>
      <c r="F99" s="23" t="s">
        <v>7</v>
      </c>
      <c r="G99" s="24" t="s">
        <v>68</v>
      </c>
      <c r="H99" s="24" t="s">
        <v>69</v>
      </c>
      <c r="I99" s="24" t="s">
        <v>70</v>
      </c>
      <c r="J99" s="25" t="s">
        <v>293</v>
      </c>
      <c r="K99" s="45" t="str">
        <f t="shared" si="38"/>
        <v>WB39B4313</v>
      </c>
      <c r="L99" s="26">
        <v>46090</v>
      </c>
      <c r="M99" s="34" t="s">
        <v>669</v>
      </c>
      <c r="N99" s="27" t="s">
        <v>670</v>
      </c>
      <c r="O99" s="28">
        <v>0</v>
      </c>
      <c r="P99" s="27" t="s">
        <v>671</v>
      </c>
      <c r="Q99" s="29">
        <v>2525355745</v>
      </c>
      <c r="R99" s="30">
        <v>2110802238</v>
      </c>
      <c r="S99" s="31" t="s">
        <v>73</v>
      </c>
      <c r="T99" s="24" t="s">
        <v>91</v>
      </c>
      <c r="U99" s="24" t="s">
        <v>75</v>
      </c>
      <c r="V99" s="32" t="s">
        <v>169</v>
      </c>
      <c r="W99" s="32" t="s">
        <v>170</v>
      </c>
      <c r="X99" s="32" t="s">
        <v>672</v>
      </c>
      <c r="Y99" s="24">
        <v>989</v>
      </c>
      <c r="Z99" s="24">
        <v>25</v>
      </c>
      <c r="AA99" s="24">
        <f t="shared" si="39"/>
        <v>939.55000000000007</v>
      </c>
      <c r="AB99" s="24">
        <f t="shared" si="32"/>
        <v>24725</v>
      </c>
      <c r="AC99" s="24">
        <f t="shared" si="33"/>
        <v>23488.75</v>
      </c>
      <c r="AD99" s="24">
        <f t="shared" si="34"/>
        <v>23488.75</v>
      </c>
      <c r="AE99" s="24">
        <f t="shared" si="35"/>
        <v>1236.25</v>
      </c>
      <c r="AF99" s="24">
        <f t="shared" si="47"/>
        <v>234.88750000000002</v>
      </c>
      <c r="AG99" s="33">
        <v>4100</v>
      </c>
      <c r="AH99" s="24"/>
      <c r="AI99" s="24"/>
      <c r="AJ99" s="24"/>
      <c r="AK99" s="24"/>
      <c r="AL99" s="24"/>
      <c r="AM99" s="24" t="s">
        <v>79</v>
      </c>
      <c r="AN99" s="34" t="s">
        <v>673</v>
      </c>
      <c r="AO99" s="35" t="s">
        <v>81</v>
      </c>
      <c r="AP99" s="24">
        <f>217*2</f>
        <v>434</v>
      </c>
      <c r="AQ99" s="36">
        <f t="shared" si="40"/>
        <v>133.53846153846155</v>
      </c>
      <c r="AR99" s="37">
        <v>140</v>
      </c>
      <c r="AS99" s="38">
        <f t="shared" si="41"/>
        <v>6.4615384615384528</v>
      </c>
      <c r="AT99" s="39"/>
      <c r="AU99" s="38">
        <f t="shared" si="42"/>
        <v>6.4615384615384528</v>
      </c>
      <c r="AV99" s="40">
        <v>91.99</v>
      </c>
      <c r="AW99" s="41">
        <f t="shared" si="36"/>
        <v>12878.599999999999</v>
      </c>
      <c r="AX99" s="24">
        <f t="shared" si="49"/>
        <v>72.283965728274168</v>
      </c>
      <c r="AY99" s="24"/>
      <c r="AZ99" s="24"/>
      <c r="BA99" s="24"/>
      <c r="BB99" s="24">
        <f t="shared" si="43"/>
        <v>0</v>
      </c>
      <c r="BC99" s="24">
        <f t="shared" si="44"/>
        <v>6275.2625000000007</v>
      </c>
      <c r="BD99" s="24"/>
      <c r="BE99" s="24"/>
      <c r="BF99" s="24"/>
      <c r="BG99" s="24">
        <f>+AB99*9.5%</f>
        <v>2348.875</v>
      </c>
      <c r="BH99" s="24"/>
      <c r="BI99" s="24"/>
      <c r="BJ99" s="24">
        <f t="shared" si="45"/>
        <v>23.48875</v>
      </c>
      <c r="BK99" s="24">
        <f t="shared" si="46"/>
        <v>8600.6487500000003</v>
      </c>
      <c r="BL99" s="24" t="s">
        <v>253</v>
      </c>
      <c r="BM99" s="42">
        <f t="shared" si="37"/>
        <v>2</v>
      </c>
      <c r="BN99" s="24" t="s">
        <v>83</v>
      </c>
      <c r="BO99" s="2" t="s">
        <v>440</v>
      </c>
    </row>
    <row r="100" spans="1:67" s="1" customFormat="1" ht="15" customHeight="1" x14ac:dyDescent="0.3">
      <c r="A100" s="20">
        <v>96</v>
      </c>
      <c r="B100" s="21">
        <v>46089</v>
      </c>
      <c r="C100" s="21">
        <v>46097</v>
      </c>
      <c r="D100" s="50" t="s">
        <v>576</v>
      </c>
      <c r="E100" s="23">
        <v>46139</v>
      </c>
      <c r="F100" s="23" t="s">
        <v>7</v>
      </c>
      <c r="G100" s="24" t="s">
        <v>87</v>
      </c>
      <c r="H100" s="24" t="s">
        <v>69</v>
      </c>
      <c r="I100" s="24" t="s">
        <v>70</v>
      </c>
      <c r="J100" s="25" t="s">
        <v>674</v>
      </c>
      <c r="K100" s="45" t="str">
        <f t="shared" si="38"/>
        <v>WB39B3049</v>
      </c>
      <c r="L100" s="26">
        <v>46090</v>
      </c>
      <c r="M100" s="34" t="s">
        <v>675</v>
      </c>
      <c r="N100" s="27" t="s">
        <v>676</v>
      </c>
      <c r="O100" s="28">
        <v>0</v>
      </c>
      <c r="P100" s="27"/>
      <c r="Q100" s="29">
        <v>2525355776</v>
      </c>
      <c r="R100" s="30">
        <v>2110802025</v>
      </c>
      <c r="S100" s="31" t="s">
        <v>73</v>
      </c>
      <c r="T100" s="24" t="s">
        <v>91</v>
      </c>
      <c r="U100" s="24" t="s">
        <v>75</v>
      </c>
      <c r="V100" s="32" t="s">
        <v>677</v>
      </c>
      <c r="W100" s="32" t="s">
        <v>580</v>
      </c>
      <c r="X100" s="32" t="s">
        <v>678</v>
      </c>
      <c r="Y100" s="24">
        <v>741</v>
      </c>
      <c r="Z100" s="24">
        <v>25</v>
      </c>
      <c r="AA100" s="24">
        <f t="shared" si="39"/>
        <v>703.95</v>
      </c>
      <c r="AB100" s="24">
        <f t="shared" si="32"/>
        <v>18525</v>
      </c>
      <c r="AC100" s="24">
        <f t="shared" si="33"/>
        <v>17598.75</v>
      </c>
      <c r="AD100" s="24">
        <f t="shared" si="34"/>
        <v>17598.75</v>
      </c>
      <c r="AE100" s="24">
        <f t="shared" si="35"/>
        <v>926.25</v>
      </c>
      <c r="AF100" s="24">
        <f t="shared" si="47"/>
        <v>175.98750000000001</v>
      </c>
      <c r="AG100" s="33">
        <v>5700</v>
      </c>
      <c r="AH100" s="24"/>
      <c r="AI100" s="24"/>
      <c r="AJ100" s="24"/>
      <c r="AK100" s="24"/>
      <c r="AL100" s="24"/>
      <c r="AM100" s="24" t="s">
        <v>79</v>
      </c>
      <c r="AN100" s="34" t="s">
        <v>679</v>
      </c>
      <c r="AO100" s="35" t="s">
        <v>81</v>
      </c>
      <c r="AP100" s="24">
        <f>164*2</f>
        <v>328</v>
      </c>
      <c r="AQ100" s="36">
        <f t="shared" si="40"/>
        <v>100.92307692307692</v>
      </c>
      <c r="AR100" s="37">
        <v>95</v>
      </c>
      <c r="AS100" s="38">
        <f t="shared" si="41"/>
        <v>-5.9230769230769198</v>
      </c>
      <c r="AT100" s="39"/>
      <c r="AU100" s="38">
        <f t="shared" si="42"/>
        <v>-5.9230769230769198</v>
      </c>
      <c r="AV100" s="40">
        <v>91.99</v>
      </c>
      <c r="AW100" s="41">
        <f t="shared" si="36"/>
        <v>8739.0499999999993</v>
      </c>
      <c r="AX100" s="24">
        <f t="shared" si="49"/>
        <v>82.045883940620783</v>
      </c>
      <c r="AY100" s="24">
        <v>120</v>
      </c>
      <c r="AZ100" s="24"/>
      <c r="BA100" s="24"/>
      <c r="BB100" s="24">
        <f t="shared" si="43"/>
        <v>0</v>
      </c>
      <c r="BC100" s="24">
        <f t="shared" si="44"/>
        <v>2863.7125000000015</v>
      </c>
      <c r="BD100" s="24"/>
      <c r="BE100" s="24"/>
      <c r="BF100" s="24"/>
      <c r="BG100" s="24">
        <f>+AD100*9.5%</f>
        <v>1671.8812499999999</v>
      </c>
      <c r="BH100" s="24"/>
      <c r="BI100" s="24"/>
      <c r="BJ100" s="24">
        <f t="shared" si="45"/>
        <v>16.718812499999999</v>
      </c>
      <c r="BK100" s="24">
        <f t="shared" si="46"/>
        <v>4518.8749375000016</v>
      </c>
      <c r="BL100" s="24" t="s">
        <v>680</v>
      </c>
      <c r="BM100" s="42">
        <f t="shared" si="37"/>
        <v>2</v>
      </c>
      <c r="BN100" s="24" t="s">
        <v>83</v>
      </c>
      <c r="BO100" s="2" t="s">
        <v>84</v>
      </c>
    </row>
    <row r="101" spans="1:67" s="1" customFormat="1" ht="15" customHeight="1" x14ac:dyDescent="0.3">
      <c r="A101" s="20">
        <v>97</v>
      </c>
      <c r="B101" s="21">
        <v>46089</v>
      </c>
      <c r="C101" s="21">
        <v>46097</v>
      </c>
      <c r="D101" s="52" t="s">
        <v>602</v>
      </c>
      <c r="E101" s="23">
        <v>46105</v>
      </c>
      <c r="F101" s="23" t="s">
        <v>7</v>
      </c>
      <c r="G101" s="24" t="s">
        <v>68</v>
      </c>
      <c r="H101" s="24" t="s">
        <v>69</v>
      </c>
      <c r="I101" s="24" t="s">
        <v>236</v>
      </c>
      <c r="J101" s="25" t="s">
        <v>681</v>
      </c>
      <c r="K101" s="45" t="str">
        <f t="shared" si="38"/>
        <v>WB41J9696</v>
      </c>
      <c r="L101" s="26">
        <v>46090</v>
      </c>
      <c r="M101" s="34" t="s">
        <v>682</v>
      </c>
      <c r="N101" s="27" t="s">
        <v>683</v>
      </c>
      <c r="O101" s="28">
        <v>0</v>
      </c>
      <c r="P101" s="27" t="s">
        <v>684</v>
      </c>
      <c r="Q101" s="29">
        <v>2525355830</v>
      </c>
      <c r="R101" s="30">
        <v>2110802432</v>
      </c>
      <c r="S101" s="54" t="s">
        <v>73</v>
      </c>
      <c r="T101" s="24" t="s">
        <v>241</v>
      </c>
      <c r="U101" s="24" t="s">
        <v>75</v>
      </c>
      <c r="V101" s="32" t="s">
        <v>685</v>
      </c>
      <c r="W101" s="32" t="s">
        <v>243</v>
      </c>
      <c r="X101" s="32"/>
      <c r="Y101" s="24">
        <v>737</v>
      </c>
      <c r="Z101" s="24">
        <v>20</v>
      </c>
      <c r="AA101" s="24">
        <f t="shared" si="39"/>
        <v>700.15</v>
      </c>
      <c r="AB101" s="24">
        <f t="shared" si="32"/>
        <v>14740</v>
      </c>
      <c r="AC101" s="24">
        <f t="shared" si="33"/>
        <v>14003</v>
      </c>
      <c r="AD101" s="24">
        <f t="shared" si="34"/>
        <v>14003</v>
      </c>
      <c r="AE101" s="24">
        <f t="shared" si="35"/>
        <v>737</v>
      </c>
      <c r="AF101" s="24">
        <v>0</v>
      </c>
      <c r="AG101" s="33">
        <v>4000</v>
      </c>
      <c r="AH101" s="24"/>
      <c r="AI101" s="24"/>
      <c r="AJ101" s="24"/>
      <c r="AK101" s="24"/>
      <c r="AL101" s="24"/>
      <c r="AM101" s="24" t="s">
        <v>79</v>
      </c>
      <c r="AN101" s="34" t="s">
        <v>686</v>
      </c>
      <c r="AO101" s="35" t="s">
        <v>81</v>
      </c>
      <c r="AP101" s="24">
        <f>179*2</f>
        <v>358</v>
      </c>
      <c r="AQ101" s="36">
        <f t="shared" si="40"/>
        <v>110.15384615384616</v>
      </c>
      <c r="AR101" s="37">
        <v>130</v>
      </c>
      <c r="AS101" s="38">
        <f t="shared" si="41"/>
        <v>19.84615384615384</v>
      </c>
      <c r="AT101" s="39"/>
      <c r="AU101" s="38">
        <f t="shared" si="42"/>
        <v>19.84615384615384</v>
      </c>
      <c r="AV101" s="40">
        <v>91.99</v>
      </c>
      <c r="AW101" s="41">
        <f t="shared" si="36"/>
        <v>11958.699999999999</v>
      </c>
      <c r="AX101" s="24">
        <f t="shared" si="49"/>
        <v>113.96629293722773</v>
      </c>
      <c r="AY101" s="24"/>
      <c r="AZ101" s="24"/>
      <c r="BA101" s="24"/>
      <c r="BB101" s="24">
        <f t="shared" si="43"/>
        <v>0</v>
      </c>
      <c r="BC101" s="24">
        <f t="shared" si="44"/>
        <v>-1955.6999999999989</v>
      </c>
      <c r="BD101" s="24"/>
      <c r="BE101" s="24"/>
      <c r="BF101" s="24"/>
      <c r="BG101" s="24">
        <f>+AB101*9.5%</f>
        <v>1400.3</v>
      </c>
      <c r="BH101" s="24"/>
      <c r="BI101" s="24"/>
      <c r="BJ101" s="24">
        <f t="shared" si="45"/>
        <v>14.003</v>
      </c>
      <c r="BK101" s="24">
        <f t="shared" si="46"/>
        <v>-569.402999999999</v>
      </c>
      <c r="BL101" s="24" t="s">
        <v>687</v>
      </c>
      <c r="BM101" s="42">
        <f t="shared" si="37"/>
        <v>2</v>
      </c>
      <c r="BN101" s="24" t="s">
        <v>83</v>
      </c>
      <c r="BO101" s="2" t="s">
        <v>84</v>
      </c>
    </row>
    <row r="102" spans="1:67" s="1" customFormat="1" ht="15" customHeight="1" x14ac:dyDescent="0.3">
      <c r="A102" s="20">
        <v>98</v>
      </c>
      <c r="B102" s="21">
        <v>46089</v>
      </c>
      <c r="C102" s="21">
        <v>46097</v>
      </c>
      <c r="D102" s="52" t="s">
        <v>602</v>
      </c>
      <c r="E102" s="23">
        <v>46105</v>
      </c>
      <c r="F102" s="23" t="s">
        <v>7</v>
      </c>
      <c r="G102" s="24" t="s">
        <v>68</v>
      </c>
      <c r="H102" s="24" t="s">
        <v>69</v>
      </c>
      <c r="I102" s="24" t="s">
        <v>236</v>
      </c>
      <c r="J102" s="25" t="s">
        <v>681</v>
      </c>
      <c r="K102" s="45" t="str">
        <f t="shared" si="38"/>
        <v>WB41J9696</v>
      </c>
      <c r="L102" s="26">
        <v>46090</v>
      </c>
      <c r="M102" s="34" t="s">
        <v>688</v>
      </c>
      <c r="N102" s="27" t="s">
        <v>689</v>
      </c>
      <c r="O102" s="28">
        <v>0</v>
      </c>
      <c r="P102" s="27" t="s">
        <v>690</v>
      </c>
      <c r="Q102" s="29">
        <v>2525355832</v>
      </c>
      <c r="R102" s="30">
        <v>2110802434</v>
      </c>
      <c r="S102" s="54" t="s">
        <v>73</v>
      </c>
      <c r="T102" s="24" t="s">
        <v>241</v>
      </c>
      <c r="U102" s="24" t="s">
        <v>75</v>
      </c>
      <c r="V102" s="32" t="s">
        <v>685</v>
      </c>
      <c r="W102" s="32" t="s">
        <v>243</v>
      </c>
      <c r="X102" s="32"/>
      <c r="Y102" s="24">
        <v>737</v>
      </c>
      <c r="Z102" s="24">
        <v>10</v>
      </c>
      <c r="AA102" s="24">
        <f t="shared" si="39"/>
        <v>700.15</v>
      </c>
      <c r="AB102" s="24">
        <f t="shared" si="32"/>
        <v>7370</v>
      </c>
      <c r="AC102" s="24">
        <f t="shared" si="33"/>
        <v>7001.5</v>
      </c>
      <c r="AD102" s="24">
        <f t="shared" si="34"/>
        <v>7001.5</v>
      </c>
      <c r="AE102" s="24">
        <f t="shared" si="35"/>
        <v>368.5</v>
      </c>
      <c r="AF102" s="24">
        <v>0</v>
      </c>
      <c r="AG102" s="31">
        <v>0</v>
      </c>
      <c r="AH102" s="24"/>
      <c r="AI102" s="24"/>
      <c r="AJ102" s="24"/>
      <c r="AK102" s="24"/>
      <c r="AL102" s="24"/>
      <c r="AM102" s="24">
        <v>0</v>
      </c>
      <c r="AN102" s="34" t="s">
        <v>213</v>
      </c>
      <c r="AO102" s="35"/>
      <c r="AP102" s="24"/>
      <c r="AQ102" s="36">
        <f t="shared" si="40"/>
        <v>0</v>
      </c>
      <c r="AR102" s="16">
        <v>0</v>
      </c>
      <c r="AS102" s="47">
        <f t="shared" si="41"/>
        <v>0</v>
      </c>
      <c r="AT102" s="31"/>
      <c r="AU102" s="47">
        <f t="shared" si="42"/>
        <v>0</v>
      </c>
      <c r="AV102" s="48">
        <v>91.99</v>
      </c>
      <c r="AW102" s="24">
        <f t="shared" si="36"/>
        <v>0</v>
      </c>
      <c r="AX102" s="24">
        <f t="shared" si="49"/>
        <v>0</v>
      </c>
      <c r="AY102" s="24"/>
      <c r="AZ102" s="24"/>
      <c r="BA102" s="24"/>
      <c r="BB102" s="24">
        <f t="shared" si="43"/>
        <v>0</v>
      </c>
      <c r="BC102" s="24">
        <f t="shared" si="44"/>
        <v>7001.5</v>
      </c>
      <c r="BD102" s="24"/>
      <c r="BE102" s="24"/>
      <c r="BF102" s="24"/>
      <c r="BG102" s="24">
        <f>+AB102*9.5%</f>
        <v>700.15</v>
      </c>
      <c r="BH102" s="24"/>
      <c r="BI102" s="24"/>
      <c r="BJ102" s="24">
        <f t="shared" si="45"/>
        <v>7.0015000000000001</v>
      </c>
      <c r="BK102" s="24">
        <f t="shared" si="46"/>
        <v>7694.6484999999993</v>
      </c>
      <c r="BL102" s="24" t="s">
        <v>687</v>
      </c>
      <c r="BM102" s="42">
        <f t="shared" si="37"/>
        <v>2</v>
      </c>
      <c r="BN102" s="24" t="s">
        <v>83</v>
      </c>
      <c r="BO102" s="2" t="s">
        <v>84</v>
      </c>
    </row>
    <row r="103" spans="1:67" s="1" customFormat="1" ht="15" customHeight="1" x14ac:dyDescent="0.3">
      <c r="A103" s="20">
        <v>99</v>
      </c>
      <c r="B103" s="21">
        <v>46089</v>
      </c>
      <c r="C103" s="21">
        <v>46097</v>
      </c>
      <c r="D103" s="52" t="s">
        <v>602</v>
      </c>
      <c r="E103" s="23">
        <v>46105</v>
      </c>
      <c r="F103" s="23" t="s">
        <v>7</v>
      </c>
      <c r="G103" s="24" t="s">
        <v>68</v>
      </c>
      <c r="H103" s="24" t="s">
        <v>69</v>
      </c>
      <c r="I103" s="24" t="s">
        <v>70</v>
      </c>
      <c r="J103" s="25" t="s">
        <v>215</v>
      </c>
      <c r="K103" s="45" t="str">
        <f t="shared" si="38"/>
        <v>WB39B0802</v>
      </c>
      <c r="L103" s="26">
        <v>46090</v>
      </c>
      <c r="M103" s="34" t="s">
        <v>691</v>
      </c>
      <c r="N103" s="27" t="s">
        <v>692</v>
      </c>
      <c r="O103" s="28">
        <v>0</v>
      </c>
      <c r="P103" s="27" t="s">
        <v>693</v>
      </c>
      <c r="Q103" s="29">
        <v>2525356072</v>
      </c>
      <c r="R103" s="30">
        <v>2110802637</v>
      </c>
      <c r="S103" s="54" t="s">
        <v>73</v>
      </c>
      <c r="T103" s="24" t="s">
        <v>74</v>
      </c>
      <c r="U103" s="24" t="s">
        <v>75</v>
      </c>
      <c r="V103" s="32" t="s">
        <v>134</v>
      </c>
      <c r="W103" s="32" t="s">
        <v>694</v>
      </c>
      <c r="X103" s="32" t="s">
        <v>695</v>
      </c>
      <c r="Y103" s="24">
        <v>742</v>
      </c>
      <c r="Z103" s="24">
        <v>19</v>
      </c>
      <c r="AA103" s="24">
        <f t="shared" si="39"/>
        <v>704.9</v>
      </c>
      <c r="AB103" s="24">
        <f t="shared" si="32"/>
        <v>14098</v>
      </c>
      <c r="AC103" s="24">
        <f t="shared" si="33"/>
        <v>13393.099999999999</v>
      </c>
      <c r="AD103" s="24">
        <f t="shared" si="34"/>
        <v>13393.1</v>
      </c>
      <c r="AE103" s="24">
        <f t="shared" si="35"/>
        <v>704.89999999999964</v>
      </c>
      <c r="AF103" s="24">
        <f t="shared" si="47"/>
        <v>133.93100000000001</v>
      </c>
      <c r="AG103" s="33">
        <v>2600</v>
      </c>
      <c r="AH103" s="24"/>
      <c r="AI103" s="24"/>
      <c r="AJ103" s="24"/>
      <c r="AK103" s="24"/>
      <c r="AL103" s="24"/>
      <c r="AM103" s="24" t="s">
        <v>79</v>
      </c>
      <c r="AN103" s="34" t="s">
        <v>696</v>
      </c>
      <c r="AO103" s="35" t="s">
        <v>81</v>
      </c>
      <c r="AP103" s="24">
        <f>153*2</f>
        <v>306</v>
      </c>
      <c r="AQ103" s="36">
        <f t="shared" si="40"/>
        <v>94.15384615384616</v>
      </c>
      <c r="AR103" s="37">
        <v>86</v>
      </c>
      <c r="AS103" s="38">
        <f t="shared" si="41"/>
        <v>-8.1538461538461604</v>
      </c>
      <c r="AT103" s="39"/>
      <c r="AU103" s="38">
        <f t="shared" si="42"/>
        <v>-8.1538461538461604</v>
      </c>
      <c r="AV103" s="40">
        <v>91.99</v>
      </c>
      <c r="AW103" s="41">
        <f t="shared" si="36"/>
        <v>7911.1399999999994</v>
      </c>
      <c r="AX103" s="24">
        <f t="shared" si="49"/>
        <v>78.481755530833027</v>
      </c>
      <c r="AY103" s="24">
        <v>120</v>
      </c>
      <c r="AZ103" s="24"/>
      <c r="BA103" s="24"/>
      <c r="BB103" s="24">
        <f t="shared" si="43"/>
        <v>0</v>
      </c>
      <c r="BC103" s="24">
        <f t="shared" si="44"/>
        <v>2628.0290000000005</v>
      </c>
      <c r="BD103" s="24"/>
      <c r="BE103" s="24"/>
      <c r="BF103" s="24"/>
      <c r="BG103" s="24">
        <f>+AD103*8.5%</f>
        <v>1138.4135000000001</v>
      </c>
      <c r="BH103" s="24">
        <f>+AD103*8.5%</f>
        <v>1138.4135000000001</v>
      </c>
      <c r="BI103" s="24"/>
      <c r="BJ103" s="24">
        <f t="shared" si="45"/>
        <v>22.768270000000001</v>
      </c>
      <c r="BK103" s="24">
        <f t="shared" si="46"/>
        <v>4882.0877300000011</v>
      </c>
      <c r="BL103" s="24" t="s">
        <v>82</v>
      </c>
      <c r="BM103" s="42">
        <f t="shared" si="37"/>
        <v>2</v>
      </c>
      <c r="BN103" s="24" t="s">
        <v>83</v>
      </c>
      <c r="BO103" s="2" t="s">
        <v>148</v>
      </c>
    </row>
    <row r="104" spans="1:67" s="1" customFormat="1" ht="15" customHeight="1" x14ac:dyDescent="0.3">
      <c r="A104" s="20">
        <v>100</v>
      </c>
      <c r="B104" s="21">
        <v>46089</v>
      </c>
      <c r="C104" s="21">
        <v>46097</v>
      </c>
      <c r="D104" s="62" t="s">
        <v>697</v>
      </c>
      <c r="E104" s="23">
        <v>46116</v>
      </c>
      <c r="F104" s="23" t="s">
        <v>7</v>
      </c>
      <c r="G104" s="24" t="s">
        <v>68</v>
      </c>
      <c r="H104" s="24" t="s">
        <v>69</v>
      </c>
      <c r="I104" s="24" t="s">
        <v>98</v>
      </c>
      <c r="J104" s="25" t="s">
        <v>99</v>
      </c>
      <c r="K104" s="45" t="str">
        <f t="shared" si="38"/>
        <v>WB65D7397</v>
      </c>
      <c r="L104" s="26">
        <v>46090</v>
      </c>
      <c r="M104" s="34" t="s">
        <v>698</v>
      </c>
      <c r="N104" s="27" t="s">
        <v>699</v>
      </c>
      <c r="O104" s="28">
        <v>0</v>
      </c>
      <c r="P104" s="27" t="s">
        <v>700</v>
      </c>
      <c r="Q104" s="29">
        <v>2525356087</v>
      </c>
      <c r="R104" s="30">
        <v>2110802650</v>
      </c>
      <c r="S104" s="63" t="s">
        <v>73</v>
      </c>
      <c r="T104" s="24" t="s">
        <v>91</v>
      </c>
      <c r="U104" s="24" t="s">
        <v>75</v>
      </c>
      <c r="V104" s="32" t="s">
        <v>134</v>
      </c>
      <c r="W104" s="32" t="s">
        <v>701</v>
      </c>
      <c r="X104" s="32" t="s">
        <v>702</v>
      </c>
      <c r="Y104" s="24">
        <v>742</v>
      </c>
      <c r="Z104" s="24">
        <v>25</v>
      </c>
      <c r="AA104" s="24">
        <f t="shared" si="39"/>
        <v>704.9</v>
      </c>
      <c r="AB104" s="24">
        <f t="shared" si="32"/>
        <v>18550</v>
      </c>
      <c r="AC104" s="24">
        <f t="shared" si="33"/>
        <v>17622.5</v>
      </c>
      <c r="AD104" s="24">
        <f t="shared" si="34"/>
        <v>17622.5</v>
      </c>
      <c r="AE104" s="24">
        <f t="shared" si="35"/>
        <v>927.5</v>
      </c>
      <c r="AF104" s="24">
        <v>0</v>
      </c>
      <c r="AG104" s="33">
        <v>3700</v>
      </c>
      <c r="AH104" s="24"/>
      <c r="AI104" s="24"/>
      <c r="AJ104" s="24"/>
      <c r="AK104" s="24"/>
      <c r="AL104" s="24"/>
      <c r="AM104" s="24" t="s">
        <v>79</v>
      </c>
      <c r="AN104" s="34" t="s">
        <v>703</v>
      </c>
      <c r="AO104" s="35" t="s">
        <v>81</v>
      </c>
      <c r="AP104" s="24">
        <f>153*2</f>
        <v>306</v>
      </c>
      <c r="AQ104" s="36">
        <f t="shared" si="40"/>
        <v>94.15384615384616</v>
      </c>
      <c r="AR104" s="37">
        <v>105</v>
      </c>
      <c r="AS104" s="38">
        <f t="shared" si="41"/>
        <v>10.84615384615384</v>
      </c>
      <c r="AT104" s="39"/>
      <c r="AU104" s="38">
        <f t="shared" si="42"/>
        <v>10.84615384615384</v>
      </c>
      <c r="AV104" s="40">
        <v>91.99</v>
      </c>
      <c r="AW104" s="41">
        <f t="shared" si="36"/>
        <v>9658.9499999999989</v>
      </c>
      <c r="AX104" s="24">
        <f t="shared" si="49"/>
        <v>75.806213647325862</v>
      </c>
      <c r="AY104" s="24"/>
      <c r="AZ104" s="24"/>
      <c r="BA104" s="24"/>
      <c r="BB104" s="24">
        <f t="shared" si="43"/>
        <v>0</v>
      </c>
      <c r="BC104" s="24">
        <f t="shared" si="44"/>
        <v>4263.5500000000011</v>
      </c>
      <c r="BD104" s="24"/>
      <c r="BE104" s="24"/>
      <c r="BF104" s="24"/>
      <c r="BG104" s="24">
        <f>+AD104*9.5%</f>
        <v>1674.1375</v>
      </c>
      <c r="BH104" s="24"/>
      <c r="BI104" s="24"/>
      <c r="BJ104" s="24">
        <f t="shared" si="45"/>
        <v>16.741375000000001</v>
      </c>
      <c r="BK104" s="24">
        <f t="shared" si="46"/>
        <v>5920.9461250000013</v>
      </c>
      <c r="BL104" s="24" t="s">
        <v>105</v>
      </c>
      <c r="BM104" s="42">
        <f t="shared" si="37"/>
        <v>2</v>
      </c>
      <c r="BN104" s="24" t="s">
        <v>83</v>
      </c>
      <c r="BO104" s="2" t="s">
        <v>84</v>
      </c>
    </row>
    <row r="105" spans="1:67" s="1" customFormat="1" ht="15" customHeight="1" x14ac:dyDescent="0.3">
      <c r="A105" s="20">
        <v>101</v>
      </c>
      <c r="B105" s="21">
        <v>46089</v>
      </c>
      <c r="C105" s="21">
        <v>46097</v>
      </c>
      <c r="D105" s="50" t="s">
        <v>704</v>
      </c>
      <c r="E105" s="23">
        <v>46158</v>
      </c>
      <c r="F105" s="23" t="s">
        <v>7</v>
      </c>
      <c r="G105" s="24" t="s">
        <v>68</v>
      </c>
      <c r="H105" s="24" t="s">
        <v>69</v>
      </c>
      <c r="I105" s="24" t="s">
        <v>141</v>
      </c>
      <c r="J105" s="25" t="s">
        <v>246</v>
      </c>
      <c r="K105" s="45" t="str">
        <f t="shared" si="38"/>
        <v>WB41F4393</v>
      </c>
      <c r="L105" s="26">
        <v>46090</v>
      </c>
      <c r="M105" s="34" t="s">
        <v>705</v>
      </c>
      <c r="N105" s="27" t="s">
        <v>706</v>
      </c>
      <c r="O105" s="28">
        <v>0</v>
      </c>
      <c r="P105" s="27" t="s">
        <v>707</v>
      </c>
      <c r="Q105" s="29">
        <v>2525356137</v>
      </c>
      <c r="R105" s="30">
        <v>2110802659</v>
      </c>
      <c r="S105" s="31" t="s">
        <v>73</v>
      </c>
      <c r="T105" s="24" t="s">
        <v>91</v>
      </c>
      <c r="U105" s="24" t="s">
        <v>75</v>
      </c>
      <c r="V105" s="32" t="s">
        <v>708</v>
      </c>
      <c r="W105" s="32" t="s">
        <v>709</v>
      </c>
      <c r="X105" s="32" t="s">
        <v>710</v>
      </c>
      <c r="Y105" s="24">
        <v>656</v>
      </c>
      <c r="Z105" s="24">
        <v>25</v>
      </c>
      <c r="AA105" s="24">
        <f t="shared" si="39"/>
        <v>623.19999999999993</v>
      </c>
      <c r="AB105" s="24">
        <f t="shared" si="32"/>
        <v>16400</v>
      </c>
      <c r="AC105" s="24">
        <f t="shared" si="33"/>
        <v>15580</v>
      </c>
      <c r="AD105" s="24">
        <f t="shared" si="34"/>
        <v>15579.999999999998</v>
      </c>
      <c r="AE105" s="24">
        <f t="shared" si="35"/>
        <v>820.00000000000182</v>
      </c>
      <c r="AF105" s="24">
        <f t="shared" si="47"/>
        <v>155.79999999999998</v>
      </c>
      <c r="AG105" s="33">
        <v>4150</v>
      </c>
      <c r="AH105" s="24"/>
      <c r="AI105" s="24"/>
      <c r="AJ105" s="24"/>
      <c r="AK105" s="24">
        <v>115</v>
      </c>
      <c r="AL105" s="24"/>
      <c r="AM105" s="24" t="s">
        <v>79</v>
      </c>
      <c r="AN105" s="34" t="s">
        <v>711</v>
      </c>
      <c r="AO105" s="35" t="s">
        <v>81</v>
      </c>
      <c r="AP105" s="24">
        <f>137*2</f>
        <v>274</v>
      </c>
      <c r="AQ105" s="36">
        <f t="shared" si="40"/>
        <v>84.307692307692307</v>
      </c>
      <c r="AR105" s="37">
        <v>80</v>
      </c>
      <c r="AS105" s="38">
        <f t="shared" si="41"/>
        <v>-4.3076923076923066</v>
      </c>
      <c r="AT105" s="39"/>
      <c r="AU105" s="38">
        <f t="shared" si="42"/>
        <v>-4.3076923076923066</v>
      </c>
      <c r="AV105" s="40">
        <v>91.99</v>
      </c>
      <c r="AW105" s="41">
        <f t="shared" si="36"/>
        <v>7359.2</v>
      </c>
      <c r="AX105" s="24">
        <f t="shared" si="49"/>
        <v>73.871630295250341</v>
      </c>
      <c r="AY105" s="24"/>
      <c r="AZ105" s="24"/>
      <c r="BA105" s="24"/>
      <c r="BB105" s="24">
        <f t="shared" si="43"/>
        <v>0</v>
      </c>
      <c r="BC105" s="24">
        <f t="shared" si="44"/>
        <v>3799.9999999999991</v>
      </c>
      <c r="BD105" s="24"/>
      <c r="BE105" s="24"/>
      <c r="BF105" s="24"/>
      <c r="BG105" s="24">
        <f>+AB105*9.5%</f>
        <v>1558</v>
      </c>
      <c r="BH105" s="24"/>
      <c r="BI105" s="24"/>
      <c r="BJ105" s="24">
        <f t="shared" si="45"/>
        <v>15.58</v>
      </c>
      <c r="BK105" s="24">
        <f t="shared" si="46"/>
        <v>5342.4199999999992</v>
      </c>
      <c r="BL105" s="24" t="s">
        <v>253</v>
      </c>
      <c r="BM105" s="42">
        <f t="shared" si="37"/>
        <v>2</v>
      </c>
      <c r="BN105" s="24" t="s">
        <v>83</v>
      </c>
      <c r="BO105" s="2" t="s">
        <v>424</v>
      </c>
    </row>
    <row r="106" spans="1:67" s="1" customFormat="1" ht="15" customHeight="1" x14ac:dyDescent="0.3">
      <c r="A106" s="20">
        <v>102</v>
      </c>
      <c r="B106" s="21">
        <v>46090</v>
      </c>
      <c r="C106" s="21">
        <v>46097</v>
      </c>
      <c r="D106" s="50" t="s">
        <v>479</v>
      </c>
      <c r="E106" s="23">
        <v>46108</v>
      </c>
      <c r="F106" s="23" t="s">
        <v>7</v>
      </c>
      <c r="G106" s="24" t="s">
        <v>68</v>
      </c>
      <c r="H106" s="24" t="s">
        <v>69</v>
      </c>
      <c r="I106" s="24" t="s">
        <v>70</v>
      </c>
      <c r="J106" s="25" t="s">
        <v>177</v>
      </c>
      <c r="K106" s="45" t="str">
        <f t="shared" si="38"/>
        <v>WB39B8916</v>
      </c>
      <c r="L106" s="26">
        <v>46091</v>
      </c>
      <c r="M106" s="34" t="s">
        <v>712</v>
      </c>
      <c r="N106" s="27" t="s">
        <v>713</v>
      </c>
      <c r="O106" s="28">
        <v>0</v>
      </c>
      <c r="P106" s="27" t="s">
        <v>714</v>
      </c>
      <c r="Q106" s="29">
        <v>2525356770</v>
      </c>
      <c r="R106" s="30">
        <v>2110803127</v>
      </c>
      <c r="S106" s="31" t="s">
        <v>73</v>
      </c>
      <c r="T106" s="24" t="s">
        <v>91</v>
      </c>
      <c r="U106" s="24" t="s">
        <v>75</v>
      </c>
      <c r="V106" s="32" t="s">
        <v>715</v>
      </c>
      <c r="W106" s="32" t="s">
        <v>574</v>
      </c>
      <c r="X106" s="32" t="s">
        <v>716</v>
      </c>
      <c r="Y106" s="24">
        <v>972</v>
      </c>
      <c r="Z106" s="24">
        <v>25</v>
      </c>
      <c r="AA106" s="24">
        <f t="shared" si="39"/>
        <v>923.40000000000009</v>
      </c>
      <c r="AB106" s="24">
        <f t="shared" si="32"/>
        <v>24300</v>
      </c>
      <c r="AC106" s="24">
        <f t="shared" si="33"/>
        <v>23085</v>
      </c>
      <c r="AD106" s="24">
        <f t="shared" si="34"/>
        <v>23085.000000000004</v>
      </c>
      <c r="AE106" s="24">
        <f t="shared" si="35"/>
        <v>1214.9999999999964</v>
      </c>
      <c r="AF106" s="24">
        <f t="shared" si="47"/>
        <v>230.85000000000005</v>
      </c>
      <c r="AG106" s="33">
        <v>3700</v>
      </c>
      <c r="AH106" s="24"/>
      <c r="AI106" s="24"/>
      <c r="AJ106" s="24"/>
      <c r="AK106" s="24"/>
      <c r="AL106" s="24"/>
      <c r="AM106" s="24" t="s">
        <v>79</v>
      </c>
      <c r="AN106" s="34" t="s">
        <v>717</v>
      </c>
      <c r="AO106" s="35" t="s">
        <v>81</v>
      </c>
      <c r="AP106" s="24">
        <f>240*2</f>
        <v>480</v>
      </c>
      <c r="AQ106" s="36">
        <f t="shared" si="40"/>
        <v>147.69230769230768</v>
      </c>
      <c r="AR106" s="37">
        <v>140</v>
      </c>
      <c r="AS106" s="38">
        <f t="shared" si="41"/>
        <v>-7.6923076923076792</v>
      </c>
      <c r="AT106" s="39"/>
      <c r="AU106" s="38">
        <f t="shared" si="42"/>
        <v>-7.6923076923076792</v>
      </c>
      <c r="AV106" s="40">
        <v>91.99</v>
      </c>
      <c r="AW106" s="41">
        <f t="shared" si="36"/>
        <v>12878.599999999999</v>
      </c>
      <c r="AX106" s="24">
        <f t="shared" si="49"/>
        <v>71.815464587394402</v>
      </c>
      <c r="AY106" s="24">
        <v>100</v>
      </c>
      <c r="AZ106" s="24"/>
      <c r="BA106" s="24"/>
      <c r="BB106" s="24">
        <f t="shared" si="43"/>
        <v>0</v>
      </c>
      <c r="BC106" s="24">
        <f t="shared" si="44"/>
        <v>6175.5500000000065</v>
      </c>
      <c r="BD106" s="24"/>
      <c r="BE106" s="24"/>
      <c r="BF106" s="24"/>
      <c r="BG106" s="24">
        <f>+AD106*9.5%</f>
        <v>2193.0750000000003</v>
      </c>
      <c r="BH106" s="24"/>
      <c r="BI106" s="24"/>
      <c r="BJ106" s="24">
        <f t="shared" si="45"/>
        <v>21.930750000000003</v>
      </c>
      <c r="BK106" s="24">
        <f t="shared" si="46"/>
        <v>8346.6942500000077</v>
      </c>
      <c r="BL106" s="24" t="s">
        <v>182</v>
      </c>
      <c r="BM106" s="42">
        <f t="shared" si="37"/>
        <v>2</v>
      </c>
      <c r="BN106" s="24" t="s">
        <v>83</v>
      </c>
      <c r="BO106" s="2" t="s">
        <v>148</v>
      </c>
    </row>
    <row r="107" spans="1:67" s="1" customFormat="1" ht="15" customHeight="1" x14ac:dyDescent="0.3">
      <c r="A107" s="20">
        <v>103</v>
      </c>
      <c r="B107" s="21">
        <v>46090</v>
      </c>
      <c r="C107" s="21">
        <v>46097</v>
      </c>
      <c r="D107" s="52" t="s">
        <v>718</v>
      </c>
      <c r="E107" s="23">
        <v>46105</v>
      </c>
      <c r="F107" s="23" t="s">
        <v>7</v>
      </c>
      <c r="G107" s="24" t="s">
        <v>68</v>
      </c>
      <c r="H107" s="24" t="s">
        <v>69</v>
      </c>
      <c r="I107" s="24" t="s">
        <v>112</v>
      </c>
      <c r="J107" s="25" t="s">
        <v>558</v>
      </c>
      <c r="K107" s="45" t="str">
        <f t="shared" si="38"/>
        <v>WB39A5858</v>
      </c>
      <c r="L107" s="26">
        <v>46091</v>
      </c>
      <c r="M107" s="34" t="s">
        <v>719</v>
      </c>
      <c r="N107" s="27" t="s">
        <v>720</v>
      </c>
      <c r="O107" s="28">
        <v>0</v>
      </c>
      <c r="P107" s="27" t="s">
        <v>721</v>
      </c>
      <c r="Q107" s="29">
        <v>2525356863</v>
      </c>
      <c r="R107" s="30">
        <v>2110803266</v>
      </c>
      <c r="S107" s="54" t="s">
        <v>73</v>
      </c>
      <c r="T107" s="24" t="s">
        <v>74</v>
      </c>
      <c r="U107" s="24" t="s">
        <v>75</v>
      </c>
      <c r="V107" s="32" t="s">
        <v>722</v>
      </c>
      <c r="W107" s="32" t="s">
        <v>723</v>
      </c>
      <c r="X107" s="32" t="s">
        <v>724</v>
      </c>
      <c r="Y107" s="24">
        <v>575</v>
      </c>
      <c r="Z107" s="24">
        <v>13</v>
      </c>
      <c r="AA107" s="24">
        <f t="shared" si="39"/>
        <v>546.25</v>
      </c>
      <c r="AB107" s="24">
        <f t="shared" si="32"/>
        <v>7475</v>
      </c>
      <c r="AC107" s="24">
        <f t="shared" si="33"/>
        <v>7101.25</v>
      </c>
      <c r="AD107" s="24">
        <f t="shared" si="34"/>
        <v>7101.25</v>
      </c>
      <c r="AE107" s="24">
        <f t="shared" si="35"/>
        <v>373.75</v>
      </c>
      <c r="AF107" s="24">
        <v>0</v>
      </c>
      <c r="AG107" s="33">
        <v>2700</v>
      </c>
      <c r="AH107" s="24"/>
      <c r="AI107" s="24"/>
      <c r="AJ107" s="24"/>
      <c r="AK107" s="24">
        <v>115</v>
      </c>
      <c r="AL107" s="24"/>
      <c r="AM107" s="24" t="s">
        <v>79</v>
      </c>
      <c r="AN107" s="34" t="s">
        <v>725</v>
      </c>
      <c r="AO107" s="35" t="s">
        <v>81</v>
      </c>
      <c r="AP107" s="24">
        <f>105*2</f>
        <v>210</v>
      </c>
      <c r="AQ107" s="36">
        <f t="shared" si="40"/>
        <v>64.615384615384613</v>
      </c>
      <c r="AR107" s="37">
        <v>63</v>
      </c>
      <c r="AS107" s="38">
        <f t="shared" si="41"/>
        <v>-1.6153846153846132</v>
      </c>
      <c r="AT107" s="39"/>
      <c r="AU107" s="38">
        <f t="shared" si="42"/>
        <v>-1.6153846153846132</v>
      </c>
      <c r="AV107" s="40">
        <v>91.99</v>
      </c>
      <c r="AW107" s="41">
        <f t="shared" si="36"/>
        <v>5795.37</v>
      </c>
      <c r="AX107" s="24">
        <f t="shared" si="49"/>
        <v>119.63203661327231</v>
      </c>
      <c r="AY107" s="24"/>
      <c r="AZ107" s="24"/>
      <c r="BA107" s="24"/>
      <c r="BB107" s="24">
        <f t="shared" si="43"/>
        <v>0</v>
      </c>
      <c r="BC107" s="24">
        <f t="shared" si="44"/>
        <v>-1509.12</v>
      </c>
      <c r="BD107" s="24">
        <v>110</v>
      </c>
      <c r="BE107" s="24">
        <v>110</v>
      </c>
      <c r="BF107" s="24"/>
      <c r="BG107" s="24">
        <f>+AB107*9.5%</f>
        <v>710.125</v>
      </c>
      <c r="BH107" s="24">
        <f t="shared" ref="BH107:BH108" si="52">+AB107*8.5%</f>
        <v>635.375</v>
      </c>
      <c r="BI107" s="24"/>
      <c r="BJ107" s="24">
        <f t="shared" si="45"/>
        <v>13.455</v>
      </c>
      <c r="BK107" s="24">
        <f t="shared" si="46"/>
        <v>42.925000000000111</v>
      </c>
      <c r="BL107" s="24" t="s">
        <v>565</v>
      </c>
      <c r="BM107" s="42">
        <f t="shared" si="37"/>
        <v>2</v>
      </c>
      <c r="BN107" s="24" t="s">
        <v>83</v>
      </c>
      <c r="BO107" s="2" t="s">
        <v>84</v>
      </c>
    </row>
    <row r="108" spans="1:67" s="1" customFormat="1" ht="15" customHeight="1" x14ac:dyDescent="0.3">
      <c r="A108" s="20">
        <v>104</v>
      </c>
      <c r="B108" s="21">
        <v>46090</v>
      </c>
      <c r="C108" s="21">
        <v>46097</v>
      </c>
      <c r="D108" s="52" t="s">
        <v>718</v>
      </c>
      <c r="E108" s="23">
        <v>46105</v>
      </c>
      <c r="F108" s="23" t="s">
        <v>7</v>
      </c>
      <c r="G108" s="24" t="s">
        <v>68</v>
      </c>
      <c r="H108" s="24" t="s">
        <v>69</v>
      </c>
      <c r="I108" s="24" t="s">
        <v>112</v>
      </c>
      <c r="J108" s="25" t="s">
        <v>558</v>
      </c>
      <c r="K108" s="45" t="str">
        <f t="shared" si="38"/>
        <v>WB39A5858</v>
      </c>
      <c r="L108" s="26">
        <v>46091</v>
      </c>
      <c r="M108" s="34" t="s">
        <v>726</v>
      </c>
      <c r="N108" s="27" t="s">
        <v>727</v>
      </c>
      <c r="O108" s="28">
        <v>0</v>
      </c>
      <c r="P108" s="27" t="s">
        <v>728</v>
      </c>
      <c r="Q108" s="29">
        <v>2525356865</v>
      </c>
      <c r="R108" s="30">
        <v>2110803267</v>
      </c>
      <c r="S108" s="54" t="s">
        <v>73</v>
      </c>
      <c r="T108" s="24" t="s">
        <v>74</v>
      </c>
      <c r="U108" s="24" t="s">
        <v>75</v>
      </c>
      <c r="V108" s="32" t="s">
        <v>722</v>
      </c>
      <c r="W108" s="32" t="s">
        <v>723</v>
      </c>
      <c r="X108" s="32"/>
      <c r="Y108" s="24">
        <v>575</v>
      </c>
      <c r="Z108" s="24">
        <v>6</v>
      </c>
      <c r="AA108" s="24">
        <f t="shared" si="39"/>
        <v>546.25</v>
      </c>
      <c r="AB108" s="24">
        <f t="shared" si="32"/>
        <v>3450</v>
      </c>
      <c r="AC108" s="24">
        <f t="shared" si="33"/>
        <v>3277.5</v>
      </c>
      <c r="AD108" s="24">
        <f t="shared" si="34"/>
        <v>3277.5</v>
      </c>
      <c r="AE108" s="24">
        <f t="shared" si="35"/>
        <v>172.5</v>
      </c>
      <c r="AF108" s="24">
        <v>0</v>
      </c>
      <c r="AG108" s="31">
        <v>0</v>
      </c>
      <c r="AH108" s="24"/>
      <c r="AI108" s="24"/>
      <c r="AJ108" s="24"/>
      <c r="AK108" s="24"/>
      <c r="AL108" s="24"/>
      <c r="AM108" s="24">
        <v>0</v>
      </c>
      <c r="AN108" s="34" t="s">
        <v>213</v>
      </c>
      <c r="AO108" s="35"/>
      <c r="AP108" s="24"/>
      <c r="AQ108" s="36">
        <f t="shared" si="40"/>
        <v>0</v>
      </c>
      <c r="AR108" s="16"/>
      <c r="AS108" s="47">
        <f t="shared" si="41"/>
        <v>0</v>
      </c>
      <c r="AT108" s="31"/>
      <c r="AU108" s="47">
        <f t="shared" si="42"/>
        <v>0</v>
      </c>
      <c r="AV108" s="48">
        <v>91.99</v>
      </c>
      <c r="AW108" s="24">
        <f t="shared" si="36"/>
        <v>0</v>
      </c>
      <c r="AX108" s="24">
        <f t="shared" si="49"/>
        <v>0</v>
      </c>
      <c r="AY108" s="24"/>
      <c r="AZ108" s="24"/>
      <c r="BA108" s="24"/>
      <c r="BB108" s="24">
        <f t="shared" si="43"/>
        <v>0</v>
      </c>
      <c r="BC108" s="24">
        <f t="shared" si="44"/>
        <v>3277.5</v>
      </c>
      <c r="BD108" s="24"/>
      <c r="BE108" s="24"/>
      <c r="BF108" s="24"/>
      <c r="BG108" s="24">
        <f>+AB108*9.5%</f>
        <v>327.75</v>
      </c>
      <c r="BH108" s="24">
        <f t="shared" si="52"/>
        <v>293.25</v>
      </c>
      <c r="BI108" s="24"/>
      <c r="BJ108" s="24">
        <f t="shared" si="45"/>
        <v>6.21</v>
      </c>
      <c r="BK108" s="24">
        <f t="shared" si="46"/>
        <v>3892.29</v>
      </c>
      <c r="BL108" s="24" t="s">
        <v>565</v>
      </c>
      <c r="BM108" s="42">
        <f t="shared" si="37"/>
        <v>2</v>
      </c>
      <c r="BN108" s="24" t="s">
        <v>83</v>
      </c>
      <c r="BO108" s="2" t="s">
        <v>84</v>
      </c>
    </row>
    <row r="109" spans="1:67" s="1" customFormat="1" ht="15" customHeight="1" x14ac:dyDescent="0.3">
      <c r="A109" s="20">
        <v>105</v>
      </c>
      <c r="B109" s="21">
        <v>46090</v>
      </c>
      <c r="C109" s="21">
        <v>46097</v>
      </c>
      <c r="D109" s="50" t="s">
        <v>343</v>
      </c>
      <c r="E109" s="23">
        <v>46097</v>
      </c>
      <c r="F109" s="23" t="s">
        <v>7</v>
      </c>
      <c r="G109" s="24" t="s">
        <v>68</v>
      </c>
      <c r="H109" s="24" t="s">
        <v>69</v>
      </c>
      <c r="I109" s="24" t="s">
        <v>729</v>
      </c>
      <c r="J109" s="25" t="s">
        <v>730</v>
      </c>
      <c r="K109" s="45" t="str">
        <f t="shared" si="38"/>
        <v>WB53B7628</v>
      </c>
      <c r="L109" s="26">
        <v>46091</v>
      </c>
      <c r="M109" s="57" t="s">
        <v>731</v>
      </c>
      <c r="N109" s="57" t="s">
        <v>732</v>
      </c>
      <c r="O109" s="28">
        <v>0</v>
      </c>
      <c r="P109" s="27" t="s">
        <v>733</v>
      </c>
      <c r="Q109" s="29">
        <v>2590195572</v>
      </c>
      <c r="R109" s="30">
        <v>2160373704</v>
      </c>
      <c r="S109" s="31" t="s">
        <v>73</v>
      </c>
      <c r="T109" s="24" t="s">
        <v>91</v>
      </c>
      <c r="U109" s="24" t="s">
        <v>347</v>
      </c>
      <c r="V109" s="32" t="s">
        <v>498</v>
      </c>
      <c r="W109" s="32" t="s">
        <v>349</v>
      </c>
      <c r="X109" s="32"/>
      <c r="Y109" s="24">
        <v>1000</v>
      </c>
      <c r="Z109" s="24">
        <v>25</v>
      </c>
      <c r="AA109" s="24">
        <f t="shared" si="39"/>
        <v>950</v>
      </c>
      <c r="AB109" s="24">
        <f t="shared" si="32"/>
        <v>25000</v>
      </c>
      <c r="AC109" s="24">
        <f t="shared" si="33"/>
        <v>23750</v>
      </c>
      <c r="AD109" s="24">
        <f t="shared" si="34"/>
        <v>23750</v>
      </c>
      <c r="AE109" s="24">
        <f t="shared" si="35"/>
        <v>1250</v>
      </c>
      <c r="AF109" s="24">
        <v>0</v>
      </c>
      <c r="AG109" s="33">
        <v>7800</v>
      </c>
      <c r="AH109" s="24"/>
      <c r="AI109" s="24"/>
      <c r="AJ109" s="24"/>
      <c r="AK109" s="24"/>
      <c r="AL109" s="24"/>
      <c r="AM109" s="24" t="s">
        <v>79</v>
      </c>
      <c r="AN109" s="34" t="s">
        <v>734</v>
      </c>
      <c r="AO109" s="35" t="s">
        <v>81</v>
      </c>
      <c r="AP109" s="24">
        <f>260*2</f>
        <v>520</v>
      </c>
      <c r="AQ109" s="36">
        <f t="shared" si="40"/>
        <v>160</v>
      </c>
      <c r="AR109" s="37">
        <v>160</v>
      </c>
      <c r="AS109" s="38">
        <f t="shared" si="41"/>
        <v>0</v>
      </c>
      <c r="AT109" s="39"/>
      <c r="AU109" s="38">
        <f t="shared" si="42"/>
        <v>0</v>
      </c>
      <c r="AV109" s="40">
        <v>91.99</v>
      </c>
      <c r="AW109" s="41">
        <f t="shared" si="36"/>
        <v>14718.4</v>
      </c>
      <c r="AX109" s="24">
        <f t="shared" si="49"/>
        <v>94.814315789473696</v>
      </c>
      <c r="AY109" s="24"/>
      <c r="AZ109" s="24"/>
      <c r="BA109" s="24"/>
      <c r="BB109" s="24">
        <f t="shared" si="43"/>
        <v>0</v>
      </c>
      <c r="BC109" s="24">
        <f t="shared" si="44"/>
        <v>1231.6000000000004</v>
      </c>
      <c r="BD109" s="24"/>
      <c r="BE109" s="24"/>
      <c r="BF109" s="24"/>
      <c r="BG109" s="24">
        <f>+AB109*9.5%</f>
        <v>2375</v>
      </c>
      <c r="BH109" s="24"/>
      <c r="BI109" s="24"/>
      <c r="BJ109" s="24">
        <f t="shared" si="45"/>
        <v>23.75</v>
      </c>
      <c r="BK109" s="24">
        <f t="shared" si="46"/>
        <v>3582.8500000000004</v>
      </c>
      <c r="BL109" s="24" t="s">
        <v>735</v>
      </c>
      <c r="BM109" s="42">
        <f t="shared" si="37"/>
        <v>2</v>
      </c>
      <c r="BN109" s="24" t="s">
        <v>83</v>
      </c>
      <c r="BO109" s="2" t="s">
        <v>500</v>
      </c>
    </row>
    <row r="110" spans="1:67" s="1" customFormat="1" ht="15" customHeight="1" x14ac:dyDescent="0.3">
      <c r="A110" s="20">
        <v>106</v>
      </c>
      <c r="B110" s="21">
        <v>46090</v>
      </c>
      <c r="C110" s="21">
        <v>46097</v>
      </c>
      <c r="D110" s="50" t="s">
        <v>736</v>
      </c>
      <c r="E110" s="23">
        <v>46130</v>
      </c>
      <c r="F110" s="23" t="s">
        <v>7</v>
      </c>
      <c r="G110" s="24" t="s">
        <v>68</v>
      </c>
      <c r="H110" s="24" t="s">
        <v>69</v>
      </c>
      <c r="I110" s="24" t="s">
        <v>70</v>
      </c>
      <c r="J110" s="25" t="s">
        <v>71</v>
      </c>
      <c r="K110" s="45" t="str">
        <f t="shared" si="38"/>
        <v>WB39B0034</v>
      </c>
      <c r="L110" s="26">
        <v>46090</v>
      </c>
      <c r="M110" s="34" t="s">
        <v>737</v>
      </c>
      <c r="N110" s="27" t="s">
        <v>738</v>
      </c>
      <c r="O110" s="28">
        <v>0</v>
      </c>
      <c r="P110" s="27" t="s">
        <v>739</v>
      </c>
      <c r="Q110" s="29">
        <v>2525356912</v>
      </c>
      <c r="R110" s="30">
        <v>2110803312</v>
      </c>
      <c r="S110" s="31" t="s">
        <v>73</v>
      </c>
      <c r="T110" s="24" t="s">
        <v>74</v>
      </c>
      <c r="U110" s="24" t="s">
        <v>75</v>
      </c>
      <c r="V110" s="32" t="s">
        <v>740</v>
      </c>
      <c r="W110" s="32" t="s">
        <v>741</v>
      </c>
      <c r="X110" s="32" t="s">
        <v>742</v>
      </c>
      <c r="Y110" s="24">
        <v>358</v>
      </c>
      <c r="Z110" s="24">
        <v>19</v>
      </c>
      <c r="AA110" s="24">
        <f t="shared" si="39"/>
        <v>340.1</v>
      </c>
      <c r="AB110" s="24">
        <f t="shared" si="32"/>
        <v>6802</v>
      </c>
      <c r="AC110" s="24">
        <f t="shared" si="33"/>
        <v>6461.9</v>
      </c>
      <c r="AD110" s="24">
        <f t="shared" si="34"/>
        <v>6461.9000000000005</v>
      </c>
      <c r="AE110" s="24">
        <f t="shared" si="35"/>
        <v>340.09999999999945</v>
      </c>
      <c r="AF110" s="24">
        <f t="shared" ref="AF110:AF125" si="53">+AD110*1%</f>
        <v>64.619</v>
      </c>
      <c r="AG110" s="33">
        <v>2600</v>
      </c>
      <c r="AH110" s="24"/>
      <c r="AI110" s="24"/>
      <c r="AJ110" s="24"/>
      <c r="AK110" s="24">
        <v>115</v>
      </c>
      <c r="AL110" s="24"/>
      <c r="AM110" s="24" t="s">
        <v>79</v>
      </c>
      <c r="AN110" s="34" t="s">
        <v>743</v>
      </c>
      <c r="AO110" s="35" t="s">
        <v>81</v>
      </c>
      <c r="AP110" s="24">
        <f>49*2</f>
        <v>98</v>
      </c>
      <c r="AQ110" s="36">
        <f t="shared" si="40"/>
        <v>30.153846153846153</v>
      </c>
      <c r="AR110" s="37">
        <v>30</v>
      </c>
      <c r="AS110" s="38">
        <f t="shared" si="41"/>
        <v>-0.1538461538461533</v>
      </c>
      <c r="AT110" s="39"/>
      <c r="AU110" s="38">
        <f t="shared" si="42"/>
        <v>-0.1538461538461533</v>
      </c>
      <c r="AV110" s="40">
        <v>91.99</v>
      </c>
      <c r="AW110" s="41">
        <f t="shared" si="36"/>
        <v>2759.7</v>
      </c>
      <c r="AX110" s="24">
        <f t="shared" si="49"/>
        <v>82.943097231464421</v>
      </c>
      <c r="AY110" s="24">
        <v>120</v>
      </c>
      <c r="AZ110" s="24"/>
      <c r="BA110" s="24"/>
      <c r="BB110" s="24">
        <f t="shared" si="43"/>
        <v>0</v>
      </c>
      <c r="BC110" s="24">
        <f t="shared" si="44"/>
        <v>802.58100000000104</v>
      </c>
      <c r="BD110" s="24"/>
      <c r="BE110" s="24"/>
      <c r="BF110" s="24"/>
      <c r="BG110" s="24">
        <f>+AD110*8.5%</f>
        <v>549.26150000000007</v>
      </c>
      <c r="BH110" s="24">
        <f>+AD110*8.5%</f>
        <v>549.26150000000007</v>
      </c>
      <c r="BI110" s="24"/>
      <c r="BJ110" s="24">
        <f t="shared" si="45"/>
        <v>10.985230000000001</v>
      </c>
      <c r="BK110" s="24">
        <f t="shared" si="46"/>
        <v>1890.1187700000012</v>
      </c>
      <c r="BL110" s="24" t="s">
        <v>82</v>
      </c>
      <c r="BM110" s="42">
        <f t="shared" si="37"/>
        <v>1</v>
      </c>
      <c r="BN110" s="24" t="s">
        <v>610</v>
      </c>
      <c r="BO110" s="2" t="s">
        <v>84</v>
      </c>
    </row>
    <row r="111" spans="1:67" s="1" customFormat="1" ht="15" customHeight="1" x14ac:dyDescent="0.3">
      <c r="A111" s="20">
        <v>107</v>
      </c>
      <c r="B111" s="21">
        <v>46090</v>
      </c>
      <c r="C111" s="21">
        <v>46102</v>
      </c>
      <c r="D111" s="52" t="s">
        <v>629</v>
      </c>
      <c r="E111" s="23">
        <v>46105</v>
      </c>
      <c r="F111" s="23" t="s">
        <v>7</v>
      </c>
      <c r="G111" s="24" t="s">
        <v>68</v>
      </c>
      <c r="H111" s="24" t="s">
        <v>69</v>
      </c>
      <c r="I111" s="24" t="s">
        <v>70</v>
      </c>
      <c r="J111" s="25" t="s">
        <v>630</v>
      </c>
      <c r="K111" s="45" t="str">
        <f t="shared" si="38"/>
        <v>WB39B8879</v>
      </c>
      <c r="L111" s="26">
        <v>46091</v>
      </c>
      <c r="M111" s="34" t="s">
        <v>744</v>
      </c>
      <c r="N111" s="27" t="s">
        <v>745</v>
      </c>
      <c r="O111" s="28">
        <v>0</v>
      </c>
      <c r="P111" s="27" t="s">
        <v>746</v>
      </c>
      <c r="Q111" s="29">
        <v>2525356929</v>
      </c>
      <c r="R111" s="30">
        <v>2110803322</v>
      </c>
      <c r="S111" s="31" t="s">
        <v>73</v>
      </c>
      <c r="T111" s="24" t="s">
        <v>91</v>
      </c>
      <c r="U111" s="24" t="s">
        <v>75</v>
      </c>
      <c r="V111" s="32" t="s">
        <v>747</v>
      </c>
      <c r="W111" s="32" t="s">
        <v>635</v>
      </c>
      <c r="X111" s="32" t="s">
        <v>748</v>
      </c>
      <c r="Y111" s="24">
        <v>882</v>
      </c>
      <c r="Z111" s="24">
        <v>15</v>
      </c>
      <c r="AA111" s="24">
        <f t="shared" si="39"/>
        <v>837.9</v>
      </c>
      <c r="AB111" s="24">
        <f t="shared" si="32"/>
        <v>13230</v>
      </c>
      <c r="AC111" s="24">
        <f t="shared" si="33"/>
        <v>12568.500000000002</v>
      </c>
      <c r="AD111" s="24">
        <f t="shared" si="34"/>
        <v>12568.5</v>
      </c>
      <c r="AE111" s="24">
        <f t="shared" si="35"/>
        <v>661.5</v>
      </c>
      <c r="AF111" s="24">
        <f t="shared" si="53"/>
        <v>125.685</v>
      </c>
      <c r="AG111" s="33">
        <v>3600</v>
      </c>
      <c r="AH111" s="24"/>
      <c r="AI111" s="24">
        <v>2000</v>
      </c>
      <c r="AJ111" s="24"/>
      <c r="AK111" s="24"/>
      <c r="AL111" s="24"/>
      <c r="AM111" s="24" t="s">
        <v>79</v>
      </c>
      <c r="AN111" s="34" t="s">
        <v>749</v>
      </c>
      <c r="AO111" s="35" t="s">
        <v>81</v>
      </c>
      <c r="AP111" s="24">
        <f>213*2</f>
        <v>426</v>
      </c>
      <c r="AQ111" s="36">
        <f t="shared" si="40"/>
        <v>131.07692307692307</v>
      </c>
      <c r="AR111" s="37">
        <v>130</v>
      </c>
      <c r="AS111" s="47">
        <f t="shared" si="41"/>
        <v>-1.076923076923066</v>
      </c>
      <c r="AT111" s="31"/>
      <c r="AU111" s="47">
        <f t="shared" si="42"/>
        <v>-1.076923076923066</v>
      </c>
      <c r="AV111" s="40">
        <v>91.99</v>
      </c>
      <c r="AW111" s="41">
        <f t="shared" si="36"/>
        <v>11958.699999999999</v>
      </c>
      <c r="AX111" s="24">
        <f t="shared" si="49"/>
        <v>123.79122409197596</v>
      </c>
      <c r="AY111" s="24"/>
      <c r="AZ111" s="24"/>
      <c r="BA111" s="24"/>
      <c r="BB111" s="24">
        <f t="shared" si="43"/>
        <v>0</v>
      </c>
      <c r="BC111" s="24">
        <f t="shared" si="44"/>
        <v>-5115.8849999999984</v>
      </c>
      <c r="BD111" s="24"/>
      <c r="BE111" s="24"/>
      <c r="BF111" s="24"/>
      <c r="BG111" s="24">
        <f t="shared" ref="BG111:BG112" si="54">+AD111*9.5%</f>
        <v>1194.0074999999999</v>
      </c>
      <c r="BH111" s="24"/>
      <c r="BI111" s="24"/>
      <c r="BJ111" s="24">
        <f t="shared" si="45"/>
        <v>11.940075</v>
      </c>
      <c r="BK111" s="24">
        <f t="shared" si="46"/>
        <v>-3933.8175749999987</v>
      </c>
      <c r="BL111" s="24" t="s">
        <v>638</v>
      </c>
      <c r="BM111" s="42">
        <f t="shared" si="37"/>
        <v>2</v>
      </c>
      <c r="BN111" s="24" t="s">
        <v>83</v>
      </c>
      <c r="BO111" s="2" t="s">
        <v>84</v>
      </c>
    </row>
    <row r="112" spans="1:67" s="1" customFormat="1" ht="15" customHeight="1" x14ac:dyDescent="0.3">
      <c r="A112" s="20">
        <v>108</v>
      </c>
      <c r="B112" s="21">
        <v>46090</v>
      </c>
      <c r="C112" s="21">
        <v>46102</v>
      </c>
      <c r="D112" s="52" t="s">
        <v>629</v>
      </c>
      <c r="E112" s="23">
        <v>46105</v>
      </c>
      <c r="F112" s="23" t="s">
        <v>7</v>
      </c>
      <c r="G112" s="24" t="s">
        <v>68</v>
      </c>
      <c r="H112" s="24" t="s">
        <v>69</v>
      </c>
      <c r="I112" s="24" t="s">
        <v>70</v>
      </c>
      <c r="J112" s="25" t="s">
        <v>630</v>
      </c>
      <c r="K112" s="45" t="str">
        <f t="shared" si="38"/>
        <v>WB39B8879</v>
      </c>
      <c r="L112" s="26">
        <v>46091</v>
      </c>
      <c r="M112" s="34" t="s">
        <v>750</v>
      </c>
      <c r="N112" s="27" t="s">
        <v>751</v>
      </c>
      <c r="O112" s="28">
        <v>0</v>
      </c>
      <c r="P112" s="27" t="s">
        <v>752</v>
      </c>
      <c r="Q112" s="29">
        <v>2525356928</v>
      </c>
      <c r="R112" s="30">
        <v>2110803321</v>
      </c>
      <c r="S112" s="31" t="s">
        <v>73</v>
      </c>
      <c r="T112" s="24" t="s">
        <v>91</v>
      </c>
      <c r="U112" s="24" t="s">
        <v>75</v>
      </c>
      <c r="V112" s="32" t="s">
        <v>747</v>
      </c>
      <c r="W112" s="32" t="s">
        <v>635</v>
      </c>
      <c r="X112" s="32" t="s">
        <v>753</v>
      </c>
      <c r="Y112" s="24">
        <v>882</v>
      </c>
      <c r="Z112" s="24">
        <v>10</v>
      </c>
      <c r="AA112" s="24">
        <f t="shared" si="39"/>
        <v>837.9</v>
      </c>
      <c r="AB112" s="24">
        <f t="shared" si="32"/>
        <v>8820</v>
      </c>
      <c r="AC112" s="24">
        <f t="shared" si="33"/>
        <v>8379</v>
      </c>
      <c r="AD112" s="24">
        <f t="shared" si="34"/>
        <v>8379</v>
      </c>
      <c r="AE112" s="24">
        <f t="shared" si="35"/>
        <v>441</v>
      </c>
      <c r="AF112" s="24">
        <f t="shared" si="53"/>
        <v>83.79</v>
      </c>
      <c r="AG112" s="31">
        <v>0</v>
      </c>
      <c r="AH112" s="24"/>
      <c r="AI112" s="24"/>
      <c r="AJ112" s="24"/>
      <c r="AK112" s="24">
        <v>115</v>
      </c>
      <c r="AL112" s="24"/>
      <c r="AM112" s="24">
        <v>0</v>
      </c>
      <c r="AN112" s="34" t="s">
        <v>213</v>
      </c>
      <c r="AO112" s="35"/>
      <c r="AP112" s="24"/>
      <c r="AQ112" s="36">
        <f t="shared" si="40"/>
        <v>0</v>
      </c>
      <c r="AR112" s="16"/>
      <c r="AS112" s="47">
        <f t="shared" si="41"/>
        <v>0</v>
      </c>
      <c r="AT112" s="31"/>
      <c r="AU112" s="47">
        <f t="shared" si="42"/>
        <v>0</v>
      </c>
      <c r="AV112" s="48">
        <v>91.99</v>
      </c>
      <c r="AW112" s="24">
        <f t="shared" si="36"/>
        <v>0</v>
      </c>
      <c r="AX112" s="24">
        <f t="shared" si="49"/>
        <v>0</v>
      </c>
      <c r="AY112" s="24"/>
      <c r="AZ112" s="24"/>
      <c r="BA112" s="24"/>
      <c r="BB112" s="24">
        <f t="shared" si="43"/>
        <v>0</v>
      </c>
      <c r="BC112" s="24">
        <f t="shared" si="44"/>
        <v>8180.2099999999991</v>
      </c>
      <c r="BD112" s="24"/>
      <c r="BE112" s="24"/>
      <c r="BF112" s="24"/>
      <c r="BG112" s="24">
        <f t="shared" si="54"/>
        <v>796.005</v>
      </c>
      <c r="BH112" s="24"/>
      <c r="BI112" s="24"/>
      <c r="BJ112" s="24">
        <f t="shared" si="45"/>
        <v>7.9600499999999998</v>
      </c>
      <c r="BK112" s="24">
        <f t="shared" si="46"/>
        <v>8968.2549499999986</v>
      </c>
      <c r="BL112" s="24" t="s">
        <v>638</v>
      </c>
      <c r="BM112" s="42">
        <f t="shared" si="37"/>
        <v>2</v>
      </c>
      <c r="BN112" s="24" t="s">
        <v>83</v>
      </c>
      <c r="BO112" s="2" t="s">
        <v>84</v>
      </c>
    </row>
    <row r="113" spans="1:67" s="1" customFormat="1" ht="15" customHeight="1" x14ac:dyDescent="0.3">
      <c r="A113" s="20">
        <v>109</v>
      </c>
      <c r="B113" s="21">
        <v>46090</v>
      </c>
      <c r="C113" s="21">
        <v>46097</v>
      </c>
      <c r="D113" s="50" t="s">
        <v>223</v>
      </c>
      <c r="E113" s="23">
        <v>46130</v>
      </c>
      <c r="F113" s="23" t="s">
        <v>7</v>
      </c>
      <c r="G113" s="24" t="s">
        <v>68</v>
      </c>
      <c r="H113" s="24" t="s">
        <v>69</v>
      </c>
      <c r="I113" s="24" t="s">
        <v>397</v>
      </c>
      <c r="J113" s="25" t="s">
        <v>398</v>
      </c>
      <c r="K113" s="45" t="str">
        <f t="shared" si="38"/>
        <v>WB33C6016</v>
      </c>
      <c r="L113" s="26">
        <v>46091</v>
      </c>
      <c r="M113" s="34" t="s">
        <v>754</v>
      </c>
      <c r="N113" s="27" t="s">
        <v>755</v>
      </c>
      <c r="O113" s="28">
        <v>0</v>
      </c>
      <c r="P113" s="27" t="s">
        <v>756</v>
      </c>
      <c r="Q113" s="29">
        <v>2525356780</v>
      </c>
      <c r="R113" s="30">
        <v>2110803145</v>
      </c>
      <c r="S113" s="31" t="s">
        <v>73</v>
      </c>
      <c r="T113" s="24" t="s">
        <v>74</v>
      </c>
      <c r="U113" s="24" t="s">
        <v>75</v>
      </c>
      <c r="V113" s="32" t="s">
        <v>757</v>
      </c>
      <c r="W113" s="32" t="s">
        <v>758</v>
      </c>
      <c r="X113" s="32" t="s">
        <v>759</v>
      </c>
      <c r="Y113" s="24">
        <v>832</v>
      </c>
      <c r="Z113" s="24">
        <v>19</v>
      </c>
      <c r="AA113" s="24">
        <f t="shared" si="39"/>
        <v>790.4</v>
      </c>
      <c r="AB113" s="24">
        <f t="shared" si="32"/>
        <v>15808</v>
      </c>
      <c r="AC113" s="24">
        <f t="shared" si="33"/>
        <v>15017.6</v>
      </c>
      <c r="AD113" s="24">
        <f t="shared" si="34"/>
        <v>15017.6</v>
      </c>
      <c r="AE113" s="24">
        <f t="shared" si="35"/>
        <v>790.39999999999964</v>
      </c>
      <c r="AF113" s="24">
        <f t="shared" si="53"/>
        <v>150.17600000000002</v>
      </c>
      <c r="AG113" s="33">
        <v>2600</v>
      </c>
      <c r="AH113" s="24"/>
      <c r="AI113" s="24"/>
      <c r="AJ113" s="24"/>
      <c r="AK113" s="24"/>
      <c r="AL113" s="24"/>
      <c r="AM113" s="24" t="s">
        <v>79</v>
      </c>
      <c r="AN113" s="34" t="s">
        <v>760</v>
      </c>
      <c r="AO113" s="35" t="s">
        <v>81</v>
      </c>
      <c r="AP113" s="24">
        <f>177*2</f>
        <v>354</v>
      </c>
      <c r="AQ113" s="36">
        <f t="shared" si="40"/>
        <v>108.92307692307692</v>
      </c>
      <c r="AR113" s="37">
        <v>107</v>
      </c>
      <c r="AS113" s="38">
        <f t="shared" si="41"/>
        <v>-1.9230769230769198</v>
      </c>
      <c r="AT113" s="39"/>
      <c r="AU113" s="38">
        <f t="shared" si="42"/>
        <v>-1.9230769230769198</v>
      </c>
      <c r="AV113" s="40">
        <v>91.99</v>
      </c>
      <c r="AW113" s="41">
        <f t="shared" si="36"/>
        <v>9842.93</v>
      </c>
      <c r="AX113" s="24">
        <f t="shared" si="49"/>
        <v>82.855649371404212</v>
      </c>
      <c r="AY113" s="24">
        <v>120</v>
      </c>
      <c r="AZ113" s="24"/>
      <c r="BA113" s="24"/>
      <c r="BB113" s="24">
        <f t="shared" si="43"/>
        <v>0</v>
      </c>
      <c r="BC113" s="24">
        <f t="shared" si="44"/>
        <v>2304.4940000000006</v>
      </c>
      <c r="BD113" s="24"/>
      <c r="BE113" s="24"/>
      <c r="BF113" s="24"/>
      <c r="BG113" s="24">
        <f>+AD113*8.5%</f>
        <v>1276.4960000000001</v>
      </c>
      <c r="BH113" s="24">
        <f>+AD113*8.5%</f>
        <v>1276.4960000000001</v>
      </c>
      <c r="BI113" s="24"/>
      <c r="BJ113" s="24">
        <f t="shared" si="45"/>
        <v>25.529920000000004</v>
      </c>
      <c r="BK113" s="24">
        <f t="shared" si="46"/>
        <v>4831.9560800000008</v>
      </c>
      <c r="BL113" s="24" t="s">
        <v>405</v>
      </c>
      <c r="BM113" s="42">
        <f t="shared" si="37"/>
        <v>2</v>
      </c>
      <c r="BN113" s="24" t="s">
        <v>83</v>
      </c>
      <c r="BO113" s="2" t="s">
        <v>129</v>
      </c>
    </row>
    <row r="114" spans="1:67" s="1" customFormat="1" ht="15" customHeight="1" x14ac:dyDescent="0.3">
      <c r="A114" s="20">
        <v>110</v>
      </c>
      <c r="B114" s="21">
        <v>46090</v>
      </c>
      <c r="C114" s="21">
        <v>46097</v>
      </c>
      <c r="D114" s="50" t="s">
        <v>388</v>
      </c>
      <c r="E114" s="23">
        <v>46097</v>
      </c>
      <c r="F114" s="23" t="s">
        <v>7</v>
      </c>
      <c r="G114" s="24" t="s">
        <v>68</v>
      </c>
      <c r="H114" s="24" t="s">
        <v>69</v>
      </c>
      <c r="I114" s="24" t="s">
        <v>122</v>
      </c>
      <c r="J114" s="25" t="s">
        <v>123</v>
      </c>
      <c r="K114" s="45" t="str">
        <f t="shared" si="38"/>
        <v>WB23C9555</v>
      </c>
      <c r="L114" s="26">
        <v>46091</v>
      </c>
      <c r="M114" s="34" t="s">
        <v>761</v>
      </c>
      <c r="N114" s="27" t="s">
        <v>762</v>
      </c>
      <c r="O114" s="28">
        <v>0</v>
      </c>
      <c r="P114" s="27" t="s">
        <v>763</v>
      </c>
      <c r="Q114" s="29">
        <v>2525357007</v>
      </c>
      <c r="R114" s="30">
        <v>2110803407</v>
      </c>
      <c r="S114" s="31" t="s">
        <v>73</v>
      </c>
      <c r="T114" s="24" t="s">
        <v>91</v>
      </c>
      <c r="U114" s="24" t="s">
        <v>75</v>
      </c>
      <c r="V114" s="32" t="s">
        <v>764</v>
      </c>
      <c r="W114" s="32" t="s">
        <v>765</v>
      </c>
      <c r="X114" s="32"/>
      <c r="Y114" s="24">
        <v>1019</v>
      </c>
      <c r="Z114" s="24">
        <v>15</v>
      </c>
      <c r="AA114" s="24">
        <f t="shared" si="39"/>
        <v>968.05</v>
      </c>
      <c r="AB114" s="24">
        <f t="shared" si="32"/>
        <v>15285</v>
      </c>
      <c r="AC114" s="24">
        <f t="shared" si="33"/>
        <v>14520.75</v>
      </c>
      <c r="AD114" s="24">
        <f t="shared" si="34"/>
        <v>14520.75</v>
      </c>
      <c r="AE114" s="24">
        <f t="shared" si="35"/>
        <v>764.25</v>
      </c>
      <c r="AF114" s="24">
        <v>0</v>
      </c>
      <c r="AG114" s="33">
        <v>6000</v>
      </c>
      <c r="AH114" s="24"/>
      <c r="AI114" s="24"/>
      <c r="AJ114" s="24"/>
      <c r="AK114" s="24"/>
      <c r="AL114" s="24"/>
      <c r="AM114" s="24" t="s">
        <v>79</v>
      </c>
      <c r="AN114" s="34" t="s">
        <v>766</v>
      </c>
      <c r="AO114" s="35" t="s">
        <v>81</v>
      </c>
      <c r="AP114" s="24">
        <f>241*2</f>
        <v>482</v>
      </c>
      <c r="AQ114" s="36">
        <f t="shared" si="40"/>
        <v>148.30769230769232</v>
      </c>
      <c r="AR114" s="37">
        <v>150</v>
      </c>
      <c r="AS114" s="38">
        <f t="shared" si="41"/>
        <v>1.6923076923076792</v>
      </c>
      <c r="AT114" s="39"/>
      <c r="AU114" s="38">
        <f t="shared" si="42"/>
        <v>1.6923076923076792</v>
      </c>
      <c r="AV114" s="40">
        <v>91.99</v>
      </c>
      <c r="AW114" s="41">
        <f t="shared" si="36"/>
        <v>13798.5</v>
      </c>
      <c r="AX114" s="24">
        <f t="shared" si="49"/>
        <v>136.34626310624452</v>
      </c>
      <c r="AY114" s="24"/>
      <c r="AZ114" s="24"/>
      <c r="BA114" s="24"/>
      <c r="BB114" s="24">
        <f t="shared" si="43"/>
        <v>0</v>
      </c>
      <c r="BC114" s="24">
        <f t="shared" si="44"/>
        <v>-5277.75</v>
      </c>
      <c r="BD114" s="24">
        <v>40</v>
      </c>
      <c r="BE114" s="24">
        <v>40</v>
      </c>
      <c r="BF114" s="24"/>
      <c r="BG114" s="24">
        <f>+AB114*9.5%</f>
        <v>1452.075</v>
      </c>
      <c r="BH114" s="24"/>
      <c r="BI114" s="24"/>
      <c r="BJ114" s="24">
        <f t="shared" si="45"/>
        <v>14.520750000000001</v>
      </c>
      <c r="BK114" s="24">
        <f t="shared" si="46"/>
        <v>-3760.1957500000003</v>
      </c>
      <c r="BL114" s="24" t="s">
        <v>128</v>
      </c>
      <c r="BM114" s="42">
        <f t="shared" si="37"/>
        <v>2</v>
      </c>
      <c r="BN114" s="24" t="s">
        <v>83</v>
      </c>
      <c r="BO114" s="2" t="s">
        <v>148</v>
      </c>
    </row>
    <row r="115" spans="1:67" s="1" customFormat="1" ht="15" customHeight="1" x14ac:dyDescent="0.3">
      <c r="A115" s="20">
        <v>111</v>
      </c>
      <c r="B115" s="21">
        <v>46090</v>
      </c>
      <c r="C115" s="21">
        <v>46097</v>
      </c>
      <c r="D115" s="50" t="s">
        <v>388</v>
      </c>
      <c r="E115" s="23">
        <v>46097</v>
      </c>
      <c r="F115" s="23" t="s">
        <v>7</v>
      </c>
      <c r="G115" s="24" t="s">
        <v>68</v>
      </c>
      <c r="H115" s="24" t="s">
        <v>69</v>
      </c>
      <c r="I115" s="24" t="s">
        <v>122</v>
      </c>
      <c r="J115" s="25" t="s">
        <v>123</v>
      </c>
      <c r="K115" s="45" t="str">
        <f t="shared" si="38"/>
        <v>WB23C9555</v>
      </c>
      <c r="L115" s="26">
        <v>46091</v>
      </c>
      <c r="M115" s="34" t="s">
        <v>767</v>
      </c>
      <c r="N115" s="27" t="s">
        <v>768</v>
      </c>
      <c r="O115" s="28">
        <v>0</v>
      </c>
      <c r="P115" s="27" t="s">
        <v>769</v>
      </c>
      <c r="Q115" s="29">
        <v>2525357006</v>
      </c>
      <c r="R115" s="30">
        <v>2110803406</v>
      </c>
      <c r="S115" s="31" t="s">
        <v>73</v>
      </c>
      <c r="T115" s="24" t="s">
        <v>91</v>
      </c>
      <c r="U115" s="24" t="s">
        <v>75</v>
      </c>
      <c r="V115" s="32" t="s">
        <v>764</v>
      </c>
      <c r="W115" s="32" t="s">
        <v>765</v>
      </c>
      <c r="X115" s="32"/>
      <c r="Y115" s="24">
        <v>1019</v>
      </c>
      <c r="Z115" s="24">
        <v>10</v>
      </c>
      <c r="AA115" s="24">
        <f t="shared" si="39"/>
        <v>968.05</v>
      </c>
      <c r="AB115" s="24">
        <f t="shared" si="32"/>
        <v>10190</v>
      </c>
      <c r="AC115" s="24">
        <f t="shared" si="33"/>
        <v>9680.5</v>
      </c>
      <c r="AD115" s="24">
        <f t="shared" si="34"/>
        <v>9680.5</v>
      </c>
      <c r="AE115" s="24">
        <f t="shared" si="35"/>
        <v>509.5</v>
      </c>
      <c r="AF115" s="24">
        <v>0</v>
      </c>
      <c r="AG115" s="31">
        <v>0</v>
      </c>
      <c r="AH115" s="24"/>
      <c r="AI115" s="24"/>
      <c r="AJ115" s="24"/>
      <c r="AK115" s="24"/>
      <c r="AL115" s="24"/>
      <c r="AM115" s="24">
        <v>0</v>
      </c>
      <c r="AN115" s="34" t="s">
        <v>213</v>
      </c>
      <c r="AO115" s="35"/>
      <c r="AP115" s="24"/>
      <c r="AQ115" s="36">
        <f t="shared" si="40"/>
        <v>0</v>
      </c>
      <c r="AR115" s="16"/>
      <c r="AS115" s="47">
        <f t="shared" si="41"/>
        <v>0</v>
      </c>
      <c r="AT115" s="31"/>
      <c r="AU115" s="47">
        <f t="shared" si="42"/>
        <v>0</v>
      </c>
      <c r="AV115" s="48">
        <v>91.99</v>
      </c>
      <c r="AW115" s="24">
        <f t="shared" si="36"/>
        <v>0</v>
      </c>
      <c r="AX115" s="24">
        <f t="shared" si="49"/>
        <v>0</v>
      </c>
      <c r="AY115" s="24"/>
      <c r="AZ115" s="24"/>
      <c r="BA115" s="24"/>
      <c r="BB115" s="24">
        <f t="shared" si="43"/>
        <v>0</v>
      </c>
      <c r="BC115" s="24">
        <f t="shared" si="44"/>
        <v>9680.5</v>
      </c>
      <c r="BD115" s="24"/>
      <c r="BE115" s="24"/>
      <c r="BF115" s="24"/>
      <c r="BG115" s="24">
        <f>+AB115*9.5%</f>
        <v>968.05</v>
      </c>
      <c r="BH115" s="24"/>
      <c r="BI115" s="24"/>
      <c r="BJ115" s="24">
        <f t="shared" si="45"/>
        <v>9.6805000000000003</v>
      </c>
      <c r="BK115" s="24">
        <f t="shared" si="46"/>
        <v>10638.869499999999</v>
      </c>
      <c r="BL115" s="24" t="s">
        <v>128</v>
      </c>
      <c r="BM115" s="42">
        <f t="shared" si="37"/>
        <v>2</v>
      </c>
      <c r="BN115" s="24" t="s">
        <v>83</v>
      </c>
      <c r="BO115" s="2" t="s">
        <v>148</v>
      </c>
    </row>
    <row r="116" spans="1:67" s="1" customFormat="1" ht="15" customHeight="1" x14ac:dyDescent="0.3">
      <c r="A116" s="20">
        <v>112</v>
      </c>
      <c r="B116" s="21">
        <v>46090</v>
      </c>
      <c r="C116" s="21">
        <v>46097</v>
      </c>
      <c r="D116" s="52" t="s">
        <v>541</v>
      </c>
      <c r="E116" s="23">
        <v>46105</v>
      </c>
      <c r="F116" s="23" t="s">
        <v>7</v>
      </c>
      <c r="G116" s="24" t="s">
        <v>68</v>
      </c>
      <c r="H116" s="24" t="s">
        <v>69</v>
      </c>
      <c r="I116" s="24" t="s">
        <v>112</v>
      </c>
      <c r="J116" s="25" t="s">
        <v>157</v>
      </c>
      <c r="K116" s="45" t="str">
        <f t="shared" si="38"/>
        <v>WB39A6898</v>
      </c>
      <c r="L116" s="26">
        <v>46091</v>
      </c>
      <c r="M116" s="34" t="s">
        <v>770</v>
      </c>
      <c r="N116" s="27" t="s">
        <v>771</v>
      </c>
      <c r="O116" s="28">
        <v>0</v>
      </c>
      <c r="P116" s="27" t="s">
        <v>772</v>
      </c>
      <c r="Q116" s="29">
        <v>2525356819</v>
      </c>
      <c r="R116" s="30">
        <v>2110803231</v>
      </c>
      <c r="S116" s="54" t="s">
        <v>73</v>
      </c>
      <c r="T116" s="24" t="s">
        <v>74</v>
      </c>
      <c r="U116" s="24" t="s">
        <v>75</v>
      </c>
      <c r="V116" s="32" t="s">
        <v>76</v>
      </c>
      <c r="W116" s="32" t="s">
        <v>77</v>
      </c>
      <c r="X116" s="32" t="s">
        <v>78</v>
      </c>
      <c r="Y116" s="24">
        <v>584</v>
      </c>
      <c r="Z116" s="24">
        <v>19</v>
      </c>
      <c r="AA116" s="24">
        <f t="shared" si="39"/>
        <v>554.79999999999995</v>
      </c>
      <c r="AB116" s="24">
        <f t="shared" si="32"/>
        <v>11096</v>
      </c>
      <c r="AC116" s="24">
        <f t="shared" si="33"/>
        <v>10541.199999999999</v>
      </c>
      <c r="AD116" s="24">
        <f t="shared" si="34"/>
        <v>10541.199999999999</v>
      </c>
      <c r="AE116" s="24">
        <f t="shared" si="35"/>
        <v>554.80000000000109</v>
      </c>
      <c r="AF116" s="24">
        <f t="shared" si="53"/>
        <v>105.41199999999999</v>
      </c>
      <c r="AG116" s="33">
        <v>2600</v>
      </c>
      <c r="AH116" s="24"/>
      <c r="AI116" s="24">
        <v>3000</v>
      </c>
      <c r="AJ116" s="24"/>
      <c r="AK116" s="24"/>
      <c r="AL116" s="24"/>
      <c r="AM116" s="24" t="s">
        <v>79</v>
      </c>
      <c r="AN116" s="34" t="s">
        <v>773</v>
      </c>
      <c r="AO116" s="35" t="s">
        <v>81</v>
      </c>
      <c r="AP116" s="24">
        <f>107*2</f>
        <v>214</v>
      </c>
      <c r="AQ116" s="36">
        <f t="shared" si="40"/>
        <v>65.84615384615384</v>
      </c>
      <c r="AR116" s="37">
        <f>10+50</f>
        <v>60</v>
      </c>
      <c r="AS116" s="38">
        <f t="shared" si="41"/>
        <v>-5.8461538461538396</v>
      </c>
      <c r="AT116" s="39"/>
      <c r="AU116" s="38">
        <f t="shared" si="42"/>
        <v>-5.8461538461538396</v>
      </c>
      <c r="AV116" s="40">
        <v>91.99</v>
      </c>
      <c r="AW116" s="41">
        <f t="shared" si="36"/>
        <v>5519.4</v>
      </c>
      <c r="AX116" s="24">
        <f t="shared" si="49"/>
        <v>77.025386104048877</v>
      </c>
      <c r="AY116" s="24">
        <v>120</v>
      </c>
      <c r="AZ116" s="24"/>
      <c r="BA116" s="24"/>
      <c r="BB116" s="24">
        <f t="shared" si="43"/>
        <v>0</v>
      </c>
      <c r="BC116" s="24">
        <f t="shared" si="44"/>
        <v>-803.61200000000099</v>
      </c>
      <c r="BD116" s="24"/>
      <c r="BE116" s="24"/>
      <c r="BF116" s="24"/>
      <c r="BG116" s="24">
        <f>+AD116*8.5%</f>
        <v>896.00199999999995</v>
      </c>
      <c r="BH116" s="24">
        <f t="shared" ref="BH116:BH117" si="55">+AD116*8.5%</f>
        <v>896.00199999999995</v>
      </c>
      <c r="BI116" s="24"/>
      <c r="BJ116" s="24">
        <f t="shared" si="45"/>
        <v>17.92004</v>
      </c>
      <c r="BK116" s="24">
        <f t="shared" si="46"/>
        <v>970.47195999999894</v>
      </c>
      <c r="BL116" s="24" t="s">
        <v>163</v>
      </c>
      <c r="BM116" s="42">
        <f t="shared" si="37"/>
        <v>2</v>
      </c>
      <c r="BN116" s="24" t="s">
        <v>83</v>
      </c>
      <c r="BO116" s="2" t="s">
        <v>84</v>
      </c>
    </row>
    <row r="117" spans="1:67" s="1" customFormat="1" ht="15" customHeight="1" x14ac:dyDescent="0.3">
      <c r="A117" s="20">
        <v>113</v>
      </c>
      <c r="B117" s="21">
        <v>46090</v>
      </c>
      <c r="C117" s="21">
        <v>46097</v>
      </c>
      <c r="D117" s="50" t="s">
        <v>774</v>
      </c>
      <c r="E117" s="23">
        <v>46108</v>
      </c>
      <c r="F117" s="23" t="s">
        <v>7</v>
      </c>
      <c r="G117" s="24" t="s">
        <v>68</v>
      </c>
      <c r="H117" s="24" t="s">
        <v>69</v>
      </c>
      <c r="I117" s="24" t="s">
        <v>70</v>
      </c>
      <c r="J117" s="25" t="s">
        <v>336</v>
      </c>
      <c r="K117" s="45" t="str">
        <f t="shared" si="38"/>
        <v>WB39B0801</v>
      </c>
      <c r="L117" s="26">
        <v>46091</v>
      </c>
      <c r="M117" s="34" t="s">
        <v>775</v>
      </c>
      <c r="N117" s="27" t="s">
        <v>776</v>
      </c>
      <c r="O117" s="28">
        <v>0</v>
      </c>
      <c r="P117" s="27" t="s">
        <v>777</v>
      </c>
      <c r="Q117" s="29">
        <v>2525357266</v>
      </c>
      <c r="R117" s="30">
        <v>2110803793</v>
      </c>
      <c r="S117" s="31" t="s">
        <v>73</v>
      </c>
      <c r="T117" s="24" t="s">
        <v>74</v>
      </c>
      <c r="U117" s="24" t="s">
        <v>75</v>
      </c>
      <c r="V117" s="32" t="s">
        <v>778</v>
      </c>
      <c r="W117" s="32" t="s">
        <v>511</v>
      </c>
      <c r="X117" s="32" t="s">
        <v>779</v>
      </c>
      <c r="Y117" s="24">
        <v>517</v>
      </c>
      <c r="Z117" s="24">
        <v>19</v>
      </c>
      <c r="AA117" s="24">
        <f t="shared" si="39"/>
        <v>491.15</v>
      </c>
      <c r="AB117" s="24">
        <f t="shared" si="32"/>
        <v>9823</v>
      </c>
      <c r="AC117" s="24">
        <f t="shared" si="33"/>
        <v>9331.85</v>
      </c>
      <c r="AD117" s="24">
        <f t="shared" si="34"/>
        <v>9331.85</v>
      </c>
      <c r="AE117" s="24">
        <f t="shared" si="35"/>
        <v>491.14999999999964</v>
      </c>
      <c r="AF117" s="24">
        <f t="shared" si="53"/>
        <v>93.3185</v>
      </c>
      <c r="AG117" s="33">
        <v>2600</v>
      </c>
      <c r="AH117" s="24"/>
      <c r="AI117" s="24"/>
      <c r="AJ117" s="24"/>
      <c r="AK117" s="24"/>
      <c r="AL117" s="24"/>
      <c r="AM117" s="24" t="s">
        <v>79</v>
      </c>
      <c r="AN117" s="34" t="s">
        <v>780</v>
      </c>
      <c r="AO117" s="35" t="s">
        <v>81</v>
      </c>
      <c r="AP117" s="24">
        <f>84*2</f>
        <v>168</v>
      </c>
      <c r="AQ117" s="36">
        <f t="shared" si="40"/>
        <v>51.692307692307693</v>
      </c>
      <c r="AR117" s="37">
        <v>52</v>
      </c>
      <c r="AS117" s="38">
        <f t="shared" si="41"/>
        <v>0.3076923076923066</v>
      </c>
      <c r="AT117" s="39"/>
      <c r="AU117" s="38">
        <f t="shared" si="42"/>
        <v>0.3076923076923066</v>
      </c>
      <c r="AV117" s="40">
        <v>91.99</v>
      </c>
      <c r="AW117" s="41">
        <f t="shared" si="36"/>
        <v>4783.4799999999996</v>
      </c>
      <c r="AX117" s="24">
        <f t="shared" si="49"/>
        <v>79.121288919131786</v>
      </c>
      <c r="AY117" s="24">
        <v>120</v>
      </c>
      <c r="AZ117" s="24"/>
      <c r="BA117" s="24"/>
      <c r="BB117" s="24">
        <f t="shared" si="43"/>
        <v>0</v>
      </c>
      <c r="BC117" s="24">
        <f t="shared" si="44"/>
        <v>1735.0515000000014</v>
      </c>
      <c r="BD117" s="24">
        <v>110</v>
      </c>
      <c r="BE117" s="24">
        <v>110</v>
      </c>
      <c r="BF117" s="24"/>
      <c r="BG117" s="24">
        <f>+AD117*8.5%</f>
        <v>793.20725000000004</v>
      </c>
      <c r="BH117" s="24">
        <f t="shared" si="55"/>
        <v>793.20725000000004</v>
      </c>
      <c r="BI117" s="24"/>
      <c r="BJ117" s="24">
        <f t="shared" si="45"/>
        <v>15.864145000000001</v>
      </c>
      <c r="BK117" s="24">
        <f t="shared" si="46"/>
        <v>3525.6018550000013</v>
      </c>
      <c r="BL117" s="24" t="s">
        <v>82</v>
      </c>
      <c r="BM117" s="42">
        <f t="shared" si="37"/>
        <v>2</v>
      </c>
      <c r="BN117" s="24" t="s">
        <v>83</v>
      </c>
      <c r="BO117" s="2" t="s">
        <v>175</v>
      </c>
    </row>
    <row r="118" spans="1:67" s="1" customFormat="1" ht="15" customHeight="1" x14ac:dyDescent="0.3">
      <c r="A118" s="20">
        <v>114</v>
      </c>
      <c r="B118" s="21">
        <v>46090</v>
      </c>
      <c r="C118" s="21">
        <v>46097</v>
      </c>
      <c r="D118" s="50" t="s">
        <v>430</v>
      </c>
      <c r="E118" s="23">
        <v>46097</v>
      </c>
      <c r="F118" s="23" t="s">
        <v>7</v>
      </c>
      <c r="G118" s="24" t="s">
        <v>68</v>
      </c>
      <c r="H118" s="24" t="s">
        <v>69</v>
      </c>
      <c r="I118" s="24" t="s">
        <v>117</v>
      </c>
      <c r="J118" s="25" t="s">
        <v>118</v>
      </c>
      <c r="K118" s="45" t="str">
        <f t="shared" si="38"/>
        <v>WB37E6348</v>
      </c>
      <c r="L118" s="26">
        <v>46091</v>
      </c>
      <c r="M118" s="34" t="s">
        <v>781</v>
      </c>
      <c r="N118" s="27" t="s">
        <v>782</v>
      </c>
      <c r="O118" s="28">
        <v>0</v>
      </c>
      <c r="P118" s="27" t="s">
        <v>783</v>
      </c>
      <c r="Q118" s="29">
        <v>2525357407</v>
      </c>
      <c r="R118" s="30">
        <v>2110803890</v>
      </c>
      <c r="S118" s="31" t="s">
        <v>73</v>
      </c>
      <c r="T118" s="24" t="s">
        <v>91</v>
      </c>
      <c r="U118" s="24" t="s">
        <v>75</v>
      </c>
      <c r="V118" s="32" t="s">
        <v>152</v>
      </c>
      <c r="W118" s="32" t="s">
        <v>153</v>
      </c>
      <c r="X118" s="32"/>
      <c r="Y118" s="24">
        <v>1022</v>
      </c>
      <c r="Z118" s="24">
        <v>19</v>
      </c>
      <c r="AA118" s="24">
        <f t="shared" si="39"/>
        <v>970.90000000000009</v>
      </c>
      <c r="AB118" s="24">
        <f t="shared" si="32"/>
        <v>19418</v>
      </c>
      <c r="AC118" s="24">
        <f t="shared" si="33"/>
        <v>18447.100000000002</v>
      </c>
      <c r="AD118" s="24">
        <f t="shared" si="34"/>
        <v>18447.100000000002</v>
      </c>
      <c r="AE118" s="24">
        <f t="shared" si="35"/>
        <v>970.89999999999782</v>
      </c>
      <c r="AF118" s="24">
        <v>0</v>
      </c>
      <c r="AG118" s="33">
        <v>3500</v>
      </c>
      <c r="AH118" s="24"/>
      <c r="AI118" s="24"/>
      <c r="AJ118" s="24"/>
      <c r="AK118" s="24"/>
      <c r="AL118" s="24"/>
      <c r="AM118" s="24" t="s">
        <v>79</v>
      </c>
      <c r="AN118" s="34" t="s">
        <v>784</v>
      </c>
      <c r="AO118" s="35" t="s">
        <v>81</v>
      </c>
      <c r="AP118" s="24">
        <f>248*2</f>
        <v>496</v>
      </c>
      <c r="AQ118" s="36">
        <f t="shared" si="40"/>
        <v>152.61538461538461</v>
      </c>
      <c r="AR118" s="37">
        <v>150</v>
      </c>
      <c r="AS118" s="38">
        <f t="shared" si="41"/>
        <v>-2.6153846153846132</v>
      </c>
      <c r="AT118" s="39"/>
      <c r="AU118" s="38">
        <f t="shared" si="42"/>
        <v>-2.6153846153846132</v>
      </c>
      <c r="AV118" s="40">
        <v>91.99</v>
      </c>
      <c r="AW118" s="41">
        <f t="shared" si="36"/>
        <v>13798.5</v>
      </c>
      <c r="AX118" s="24">
        <f t="shared" si="49"/>
        <v>93.773547061597753</v>
      </c>
      <c r="AY118" s="24"/>
      <c r="AZ118" s="24"/>
      <c r="BA118" s="24"/>
      <c r="BB118" s="24">
        <f t="shared" si="43"/>
        <v>0</v>
      </c>
      <c r="BC118" s="24">
        <f t="shared" si="44"/>
        <v>1148.6000000000022</v>
      </c>
      <c r="BD118" s="24"/>
      <c r="BE118" s="24"/>
      <c r="BF118" s="24"/>
      <c r="BG118" s="24">
        <f>+AB118*9.5%</f>
        <v>1844.71</v>
      </c>
      <c r="BH118" s="24"/>
      <c r="BI118" s="24"/>
      <c r="BJ118" s="24">
        <f t="shared" si="45"/>
        <v>18.447100000000002</v>
      </c>
      <c r="BK118" s="24">
        <f t="shared" si="46"/>
        <v>2974.8629000000024</v>
      </c>
      <c r="BL118" s="24" t="s">
        <v>121</v>
      </c>
      <c r="BM118" s="42">
        <f t="shared" si="37"/>
        <v>2</v>
      </c>
      <c r="BN118" s="24" t="s">
        <v>83</v>
      </c>
      <c r="BO118" s="2" t="s">
        <v>175</v>
      </c>
    </row>
    <row r="119" spans="1:67" s="1" customFormat="1" ht="15" customHeight="1" x14ac:dyDescent="0.3">
      <c r="A119" s="20">
        <v>115</v>
      </c>
      <c r="B119" s="21">
        <v>46090</v>
      </c>
      <c r="C119" s="21">
        <v>46097</v>
      </c>
      <c r="D119" s="50" t="s">
        <v>430</v>
      </c>
      <c r="E119" s="23">
        <v>46097</v>
      </c>
      <c r="F119" s="23" t="s">
        <v>7</v>
      </c>
      <c r="G119" s="24" t="s">
        <v>68</v>
      </c>
      <c r="H119" s="24" t="s">
        <v>69</v>
      </c>
      <c r="I119" s="24" t="s">
        <v>117</v>
      </c>
      <c r="J119" s="25" t="s">
        <v>118</v>
      </c>
      <c r="K119" s="45" t="str">
        <f t="shared" si="38"/>
        <v>WB37E6348</v>
      </c>
      <c r="L119" s="26">
        <v>46091</v>
      </c>
      <c r="M119" s="34" t="s">
        <v>785</v>
      </c>
      <c r="N119" s="27" t="s">
        <v>786</v>
      </c>
      <c r="O119" s="28">
        <v>0</v>
      </c>
      <c r="P119" s="27" t="s">
        <v>787</v>
      </c>
      <c r="Q119" s="29">
        <v>2525357406</v>
      </c>
      <c r="R119" s="30">
        <v>2110803889</v>
      </c>
      <c r="S119" s="31" t="s">
        <v>73</v>
      </c>
      <c r="T119" s="24" t="s">
        <v>91</v>
      </c>
      <c r="U119" s="24" t="s">
        <v>75</v>
      </c>
      <c r="V119" s="32" t="s">
        <v>152</v>
      </c>
      <c r="W119" s="32" t="s">
        <v>153</v>
      </c>
      <c r="X119" s="32"/>
      <c r="Y119" s="24">
        <v>1022</v>
      </c>
      <c r="Z119" s="24">
        <v>6</v>
      </c>
      <c r="AA119" s="24">
        <f t="shared" si="39"/>
        <v>970.90000000000009</v>
      </c>
      <c r="AB119" s="24">
        <f t="shared" si="32"/>
        <v>6132</v>
      </c>
      <c r="AC119" s="24">
        <f t="shared" si="33"/>
        <v>5825.4</v>
      </c>
      <c r="AD119" s="24">
        <f t="shared" si="34"/>
        <v>5825.4000000000005</v>
      </c>
      <c r="AE119" s="24">
        <f t="shared" si="35"/>
        <v>306.59999999999945</v>
      </c>
      <c r="AF119" s="24">
        <v>0</v>
      </c>
      <c r="AG119" s="31">
        <v>0</v>
      </c>
      <c r="AH119" s="24"/>
      <c r="AI119" s="24"/>
      <c r="AJ119" s="24"/>
      <c r="AK119" s="24"/>
      <c r="AL119" s="24"/>
      <c r="AM119" s="24">
        <v>0</v>
      </c>
      <c r="AN119" s="34" t="s">
        <v>213</v>
      </c>
      <c r="AO119" s="35"/>
      <c r="AP119" s="24"/>
      <c r="AQ119" s="36">
        <f t="shared" si="40"/>
        <v>0</v>
      </c>
      <c r="AR119" s="16"/>
      <c r="AS119" s="47">
        <f t="shared" si="41"/>
        <v>0</v>
      </c>
      <c r="AT119" s="31"/>
      <c r="AU119" s="47">
        <f t="shared" si="42"/>
        <v>0</v>
      </c>
      <c r="AV119" s="48">
        <v>91.99</v>
      </c>
      <c r="AW119" s="24">
        <f t="shared" si="36"/>
        <v>0</v>
      </c>
      <c r="AX119" s="24">
        <f t="shared" si="49"/>
        <v>0</v>
      </c>
      <c r="AY119" s="24"/>
      <c r="AZ119" s="24"/>
      <c r="BA119" s="24"/>
      <c r="BB119" s="24">
        <f t="shared" si="43"/>
        <v>0</v>
      </c>
      <c r="BC119" s="24">
        <f t="shared" si="44"/>
        <v>5825.4000000000005</v>
      </c>
      <c r="BD119" s="24"/>
      <c r="BE119" s="24"/>
      <c r="BF119" s="24"/>
      <c r="BG119" s="24">
        <f>+AB119*9.5%</f>
        <v>582.54</v>
      </c>
      <c r="BH119" s="24"/>
      <c r="BI119" s="24"/>
      <c r="BJ119" s="24">
        <f t="shared" si="45"/>
        <v>5.8254000000000001</v>
      </c>
      <c r="BK119" s="24">
        <f t="shared" si="46"/>
        <v>6402.1146000000008</v>
      </c>
      <c r="BL119" s="24" t="s">
        <v>121</v>
      </c>
      <c r="BM119" s="42">
        <f t="shared" si="37"/>
        <v>2</v>
      </c>
      <c r="BN119" s="24" t="s">
        <v>83</v>
      </c>
      <c r="BO119" s="2" t="s">
        <v>175</v>
      </c>
    </row>
    <row r="120" spans="1:67" s="1" customFormat="1" ht="15" customHeight="1" x14ac:dyDescent="0.3">
      <c r="A120" s="20">
        <v>116</v>
      </c>
      <c r="B120" s="21">
        <v>46090</v>
      </c>
      <c r="C120" s="21">
        <v>46097</v>
      </c>
      <c r="D120" s="52" t="s">
        <v>602</v>
      </c>
      <c r="E120" s="23">
        <v>46105</v>
      </c>
      <c r="F120" s="23" t="s">
        <v>7</v>
      </c>
      <c r="G120" s="24" t="s">
        <v>68</v>
      </c>
      <c r="H120" s="24" t="s">
        <v>69</v>
      </c>
      <c r="I120" s="24" t="s">
        <v>70</v>
      </c>
      <c r="J120" s="25" t="s">
        <v>71</v>
      </c>
      <c r="K120" s="45" t="str">
        <f t="shared" si="38"/>
        <v>WB39B0034</v>
      </c>
      <c r="L120" s="26">
        <v>46091</v>
      </c>
      <c r="M120" s="34" t="s">
        <v>788</v>
      </c>
      <c r="N120" s="27" t="s">
        <v>789</v>
      </c>
      <c r="O120" s="28">
        <v>0</v>
      </c>
      <c r="P120" s="27" t="s">
        <v>790</v>
      </c>
      <c r="Q120" s="29">
        <v>2525357387</v>
      </c>
      <c r="R120" s="30">
        <v>2110803881</v>
      </c>
      <c r="S120" s="54" t="s">
        <v>73</v>
      </c>
      <c r="T120" s="24" t="s">
        <v>74</v>
      </c>
      <c r="U120" s="24" t="s">
        <v>75</v>
      </c>
      <c r="V120" s="32" t="s">
        <v>661</v>
      </c>
      <c r="W120" s="32" t="s">
        <v>791</v>
      </c>
      <c r="X120" s="32" t="s">
        <v>792</v>
      </c>
      <c r="Y120" s="24">
        <v>831</v>
      </c>
      <c r="Z120" s="24">
        <v>19</v>
      </c>
      <c r="AA120" s="24">
        <f t="shared" si="39"/>
        <v>789.45</v>
      </c>
      <c r="AB120" s="24">
        <f t="shared" si="32"/>
        <v>15789</v>
      </c>
      <c r="AC120" s="24">
        <f t="shared" si="33"/>
        <v>14999.55</v>
      </c>
      <c r="AD120" s="24">
        <f t="shared" si="34"/>
        <v>14999.550000000001</v>
      </c>
      <c r="AE120" s="24">
        <f t="shared" si="35"/>
        <v>789.44999999999891</v>
      </c>
      <c r="AF120" s="24">
        <f t="shared" si="53"/>
        <v>149.99550000000002</v>
      </c>
      <c r="AG120" s="33">
        <v>2600</v>
      </c>
      <c r="AH120" s="24"/>
      <c r="AI120" s="24"/>
      <c r="AJ120" s="24"/>
      <c r="AK120" s="24"/>
      <c r="AL120" s="24"/>
      <c r="AM120" s="24" t="s">
        <v>79</v>
      </c>
      <c r="AN120" s="34" t="s">
        <v>793</v>
      </c>
      <c r="AO120" s="35" t="s">
        <v>81</v>
      </c>
      <c r="AP120" s="24">
        <f>188*2</f>
        <v>376</v>
      </c>
      <c r="AQ120" s="36">
        <f t="shared" si="40"/>
        <v>115.69230769230769</v>
      </c>
      <c r="AR120" s="37">
        <v>105</v>
      </c>
      <c r="AS120" s="38">
        <f t="shared" si="41"/>
        <v>-10.692307692307693</v>
      </c>
      <c r="AT120" s="39"/>
      <c r="AU120" s="38">
        <f t="shared" si="42"/>
        <v>-10.692307692307693</v>
      </c>
      <c r="AV120" s="40">
        <v>91.99</v>
      </c>
      <c r="AW120" s="41">
        <f t="shared" si="36"/>
        <v>9658.9499999999989</v>
      </c>
      <c r="AX120" s="24">
        <f t="shared" si="49"/>
        <v>81.728785196889234</v>
      </c>
      <c r="AY120" s="24">
        <v>120</v>
      </c>
      <c r="AZ120" s="24"/>
      <c r="BA120" s="24"/>
      <c r="BB120" s="24">
        <f t="shared" si="43"/>
        <v>0</v>
      </c>
      <c r="BC120" s="24">
        <f t="shared" si="44"/>
        <v>2470.6045000000013</v>
      </c>
      <c r="BD120" s="24"/>
      <c r="BE120" s="24"/>
      <c r="BF120" s="24"/>
      <c r="BG120" s="24">
        <f>+AD120*8.5%</f>
        <v>1274.9617500000002</v>
      </c>
      <c r="BH120" s="24">
        <f t="shared" ref="BH120:BH121" si="56">+AD120*8.5%</f>
        <v>1274.9617500000002</v>
      </c>
      <c r="BI120" s="24"/>
      <c r="BJ120" s="24">
        <f t="shared" si="45"/>
        <v>25.499235000000002</v>
      </c>
      <c r="BK120" s="24">
        <f t="shared" si="46"/>
        <v>4995.0287650000018</v>
      </c>
      <c r="BL120" s="24" t="s">
        <v>82</v>
      </c>
      <c r="BM120" s="42">
        <f t="shared" si="37"/>
        <v>2</v>
      </c>
      <c r="BN120" s="24" t="s">
        <v>83</v>
      </c>
      <c r="BO120" s="2" t="s">
        <v>84</v>
      </c>
    </row>
    <row r="121" spans="1:67" s="1" customFormat="1" ht="15" customHeight="1" x14ac:dyDescent="0.3">
      <c r="A121" s="20">
        <v>117</v>
      </c>
      <c r="B121" s="21">
        <v>46090</v>
      </c>
      <c r="C121" s="21">
        <v>46097</v>
      </c>
      <c r="D121" s="52" t="s">
        <v>718</v>
      </c>
      <c r="E121" s="23">
        <v>46105</v>
      </c>
      <c r="F121" s="23" t="s">
        <v>7</v>
      </c>
      <c r="G121" s="24" t="s">
        <v>68</v>
      </c>
      <c r="H121" s="24" t="s">
        <v>69</v>
      </c>
      <c r="I121" s="24" t="s">
        <v>70</v>
      </c>
      <c r="J121" s="25" t="s">
        <v>203</v>
      </c>
      <c r="K121" s="45" t="str">
        <f t="shared" si="38"/>
        <v>WB39B0800</v>
      </c>
      <c r="L121" s="26">
        <v>46091</v>
      </c>
      <c r="M121" s="34" t="s">
        <v>794</v>
      </c>
      <c r="N121" s="27" t="s">
        <v>795</v>
      </c>
      <c r="O121" s="28">
        <v>0</v>
      </c>
      <c r="P121" s="27" t="s">
        <v>796</v>
      </c>
      <c r="Q121" s="29">
        <v>2525357553</v>
      </c>
      <c r="R121" s="30">
        <v>2110803962</v>
      </c>
      <c r="S121" s="54" t="s">
        <v>73</v>
      </c>
      <c r="T121" s="24" t="s">
        <v>74</v>
      </c>
      <c r="U121" s="24" t="s">
        <v>75</v>
      </c>
      <c r="V121" s="32" t="s">
        <v>797</v>
      </c>
      <c r="W121" s="32" t="s">
        <v>723</v>
      </c>
      <c r="X121" s="32" t="s">
        <v>798</v>
      </c>
      <c r="Y121" s="24">
        <v>579</v>
      </c>
      <c r="Z121" s="24">
        <v>19</v>
      </c>
      <c r="AA121" s="24">
        <f t="shared" si="39"/>
        <v>550.04999999999995</v>
      </c>
      <c r="AB121" s="24">
        <f t="shared" si="32"/>
        <v>11001</v>
      </c>
      <c r="AC121" s="24">
        <f t="shared" si="33"/>
        <v>10450.950000000001</v>
      </c>
      <c r="AD121" s="24">
        <f t="shared" si="34"/>
        <v>10450.949999999999</v>
      </c>
      <c r="AE121" s="24">
        <f t="shared" si="35"/>
        <v>550.05000000000109</v>
      </c>
      <c r="AF121" s="24">
        <f t="shared" si="53"/>
        <v>104.50949999999999</v>
      </c>
      <c r="AG121" s="33">
        <v>2900</v>
      </c>
      <c r="AH121" s="24"/>
      <c r="AI121" s="24"/>
      <c r="AJ121" s="24"/>
      <c r="AK121" s="24">
        <v>115</v>
      </c>
      <c r="AL121" s="24"/>
      <c r="AM121" s="24" t="s">
        <v>79</v>
      </c>
      <c r="AN121" s="34" t="s">
        <v>799</v>
      </c>
      <c r="AO121" s="35" t="s">
        <v>81</v>
      </c>
      <c r="AP121" s="24">
        <f>104*2</f>
        <v>208</v>
      </c>
      <c r="AQ121" s="36">
        <f t="shared" si="40"/>
        <v>64</v>
      </c>
      <c r="AR121" s="37">
        <v>68</v>
      </c>
      <c r="AS121" s="38">
        <f t="shared" si="41"/>
        <v>4</v>
      </c>
      <c r="AT121" s="39"/>
      <c r="AU121" s="38">
        <f t="shared" si="42"/>
        <v>4</v>
      </c>
      <c r="AV121" s="40">
        <v>91.99</v>
      </c>
      <c r="AW121" s="41">
        <f t="shared" si="36"/>
        <v>6255.32</v>
      </c>
      <c r="AX121" s="24">
        <f t="shared" si="49"/>
        <v>87.602753816638696</v>
      </c>
      <c r="AY121" s="24">
        <v>120</v>
      </c>
      <c r="AZ121" s="24"/>
      <c r="BA121" s="24"/>
      <c r="BB121" s="24">
        <f t="shared" si="43"/>
        <v>0</v>
      </c>
      <c r="BC121" s="24">
        <f t="shared" si="44"/>
        <v>956.12049999999908</v>
      </c>
      <c r="BD121" s="24">
        <v>110</v>
      </c>
      <c r="BE121" s="24">
        <v>110</v>
      </c>
      <c r="BF121" s="24"/>
      <c r="BG121" s="24">
        <f>+AD121*8.5%</f>
        <v>888.33074999999997</v>
      </c>
      <c r="BH121" s="24">
        <f t="shared" si="56"/>
        <v>888.33074999999997</v>
      </c>
      <c r="BI121" s="24"/>
      <c r="BJ121" s="24">
        <f t="shared" si="45"/>
        <v>17.766614999999998</v>
      </c>
      <c r="BK121" s="24">
        <f t="shared" si="46"/>
        <v>2935.0153849999992</v>
      </c>
      <c r="BL121" s="24" t="s">
        <v>82</v>
      </c>
      <c r="BM121" s="42">
        <f t="shared" si="37"/>
        <v>2</v>
      </c>
      <c r="BN121" s="24" t="s">
        <v>83</v>
      </c>
      <c r="BO121" s="2" t="s">
        <v>424</v>
      </c>
    </row>
    <row r="122" spans="1:67" s="1" customFormat="1" ht="15" customHeight="1" x14ac:dyDescent="0.3">
      <c r="A122" s="20">
        <v>118</v>
      </c>
      <c r="B122" s="21">
        <v>46090</v>
      </c>
      <c r="C122" s="21">
        <v>46097</v>
      </c>
      <c r="D122" s="62" t="s">
        <v>697</v>
      </c>
      <c r="E122" s="23">
        <v>46116</v>
      </c>
      <c r="F122" s="23" t="s">
        <v>7</v>
      </c>
      <c r="G122" s="24" t="s">
        <v>68</v>
      </c>
      <c r="H122" s="24" t="s">
        <v>69</v>
      </c>
      <c r="I122" s="24" t="s">
        <v>800</v>
      </c>
      <c r="J122" s="25" t="s">
        <v>801</v>
      </c>
      <c r="K122" s="45" t="str">
        <f t="shared" si="38"/>
        <v>WB41P4782</v>
      </c>
      <c r="L122" s="26">
        <v>46091</v>
      </c>
      <c r="M122" s="34" t="s">
        <v>802</v>
      </c>
      <c r="N122" s="27" t="s">
        <v>803</v>
      </c>
      <c r="O122" s="28">
        <v>0</v>
      </c>
      <c r="P122" s="27" t="s">
        <v>804</v>
      </c>
      <c r="Q122" s="29">
        <v>2525357672</v>
      </c>
      <c r="R122" s="30">
        <v>2110804048</v>
      </c>
      <c r="S122" s="63" t="s">
        <v>73</v>
      </c>
      <c r="T122" s="24" t="s">
        <v>188</v>
      </c>
      <c r="U122" s="24" t="s">
        <v>75</v>
      </c>
      <c r="V122" s="32" t="s">
        <v>805</v>
      </c>
      <c r="W122" s="32" t="s">
        <v>208</v>
      </c>
      <c r="X122" s="32"/>
      <c r="Y122" s="24">
        <v>365</v>
      </c>
      <c r="Z122" s="24">
        <v>13</v>
      </c>
      <c r="AA122" s="24">
        <f>+Y122/100*93</f>
        <v>339.45</v>
      </c>
      <c r="AB122" s="24">
        <f t="shared" si="32"/>
        <v>4745</v>
      </c>
      <c r="AC122" s="24">
        <f t="shared" si="33"/>
        <v>4507.75</v>
      </c>
      <c r="AD122" s="24">
        <f t="shared" si="34"/>
        <v>4412.8499999999995</v>
      </c>
      <c r="AE122" s="24">
        <f t="shared" si="35"/>
        <v>332.15000000000055</v>
      </c>
      <c r="AF122" s="24">
        <f t="shared" si="53"/>
        <v>44.128499999999995</v>
      </c>
      <c r="AG122" s="33">
        <v>1450</v>
      </c>
      <c r="AH122" s="24"/>
      <c r="AI122" s="24"/>
      <c r="AJ122" s="24"/>
      <c r="AK122" s="24"/>
      <c r="AL122" s="24"/>
      <c r="AM122" s="24" t="s">
        <v>79</v>
      </c>
      <c r="AN122" s="34" t="s">
        <v>806</v>
      </c>
      <c r="AO122" s="35" t="s">
        <v>81</v>
      </c>
      <c r="AP122" s="24">
        <f>52*2</f>
        <v>104</v>
      </c>
      <c r="AQ122" s="36">
        <f t="shared" si="40"/>
        <v>32</v>
      </c>
      <c r="AR122" s="37">
        <v>22</v>
      </c>
      <c r="AS122" s="38">
        <f t="shared" si="41"/>
        <v>-10</v>
      </c>
      <c r="AT122" s="39"/>
      <c r="AU122" s="38">
        <f t="shared" si="42"/>
        <v>-10</v>
      </c>
      <c r="AV122" s="40">
        <v>91.99</v>
      </c>
      <c r="AW122" s="41">
        <f t="shared" si="36"/>
        <v>2023.78</v>
      </c>
      <c r="AX122" s="24">
        <f t="shared" si="49"/>
        <v>78.719648299851571</v>
      </c>
      <c r="AY122" s="24">
        <v>120</v>
      </c>
      <c r="AZ122" s="24"/>
      <c r="BA122" s="24"/>
      <c r="BB122" s="24">
        <f t="shared" si="43"/>
        <v>0</v>
      </c>
      <c r="BC122" s="24">
        <f t="shared" si="44"/>
        <v>774.94149999999968</v>
      </c>
      <c r="BD122" s="24">
        <v>40</v>
      </c>
      <c r="BE122" s="24">
        <v>40</v>
      </c>
      <c r="BF122" s="24"/>
      <c r="BG122" s="24">
        <f>+AB122*9.5%</f>
        <v>450.77499999999998</v>
      </c>
      <c r="BH122" s="24"/>
      <c r="BI122" s="24"/>
      <c r="BJ122" s="24">
        <f t="shared" si="45"/>
        <v>4.5077499999999997</v>
      </c>
      <c r="BK122" s="24">
        <f t="shared" si="46"/>
        <v>1301.2087499999996</v>
      </c>
      <c r="BL122" s="24" t="s">
        <v>807</v>
      </c>
      <c r="BM122" s="42">
        <f t="shared" si="37"/>
        <v>2</v>
      </c>
      <c r="BN122" s="24" t="s">
        <v>83</v>
      </c>
      <c r="BO122" s="2" t="s">
        <v>84</v>
      </c>
    </row>
    <row r="123" spans="1:67" s="1" customFormat="1" ht="15" customHeight="1" x14ac:dyDescent="0.3">
      <c r="A123" s="20">
        <v>119</v>
      </c>
      <c r="B123" s="21">
        <v>46090</v>
      </c>
      <c r="C123" s="21">
        <v>46097</v>
      </c>
      <c r="D123" s="50" t="s">
        <v>343</v>
      </c>
      <c r="E123" s="23">
        <v>46097</v>
      </c>
      <c r="F123" s="23" t="s">
        <v>7</v>
      </c>
      <c r="G123" s="24" t="s">
        <v>68</v>
      </c>
      <c r="H123" s="24" t="s">
        <v>69</v>
      </c>
      <c r="I123" s="24" t="s">
        <v>112</v>
      </c>
      <c r="J123" s="25" t="s">
        <v>113</v>
      </c>
      <c r="K123" s="45" t="str">
        <f t="shared" si="38"/>
        <v>WB39A5062</v>
      </c>
      <c r="L123" s="26">
        <v>46092</v>
      </c>
      <c r="M123" s="57" t="s">
        <v>808</v>
      </c>
      <c r="N123" s="57" t="s">
        <v>809</v>
      </c>
      <c r="O123" s="28">
        <v>0</v>
      </c>
      <c r="P123" s="27" t="s">
        <v>810</v>
      </c>
      <c r="Q123" s="29">
        <v>2590195964</v>
      </c>
      <c r="R123" s="30">
        <v>2160374047</v>
      </c>
      <c r="S123" s="31" t="s">
        <v>73</v>
      </c>
      <c r="T123" s="24" t="s">
        <v>91</v>
      </c>
      <c r="U123" s="24" t="s">
        <v>347</v>
      </c>
      <c r="V123" s="32" t="s">
        <v>811</v>
      </c>
      <c r="W123" s="32" t="s">
        <v>349</v>
      </c>
      <c r="X123" s="32"/>
      <c r="Y123" s="24">
        <v>809</v>
      </c>
      <c r="Z123" s="24">
        <v>25</v>
      </c>
      <c r="AA123" s="24">
        <f t="shared" si="39"/>
        <v>768.55</v>
      </c>
      <c r="AB123" s="24">
        <f t="shared" si="32"/>
        <v>20225</v>
      </c>
      <c r="AC123" s="24">
        <f t="shared" si="33"/>
        <v>19213.75</v>
      </c>
      <c r="AD123" s="24">
        <f t="shared" si="34"/>
        <v>19213.75</v>
      </c>
      <c r="AE123" s="24">
        <f t="shared" si="35"/>
        <v>1011.25</v>
      </c>
      <c r="AF123" s="24">
        <v>0</v>
      </c>
      <c r="AG123" s="33">
        <v>3800</v>
      </c>
      <c r="AH123" s="24"/>
      <c r="AI123" s="24"/>
      <c r="AJ123" s="24"/>
      <c r="AK123" s="24"/>
      <c r="AL123" s="24"/>
      <c r="AM123" s="24" t="s">
        <v>79</v>
      </c>
      <c r="AN123" s="34" t="s">
        <v>812</v>
      </c>
      <c r="AO123" s="35" t="s">
        <v>81</v>
      </c>
      <c r="AP123" s="24">
        <f>152*2</f>
        <v>304</v>
      </c>
      <c r="AQ123" s="36">
        <f t="shared" si="40"/>
        <v>93.538461538461533</v>
      </c>
      <c r="AR123" s="37">
        <v>105</v>
      </c>
      <c r="AS123" s="38">
        <f t="shared" si="41"/>
        <v>11.461538461538467</v>
      </c>
      <c r="AT123" s="39"/>
      <c r="AU123" s="38">
        <f t="shared" si="42"/>
        <v>11.461538461538467</v>
      </c>
      <c r="AV123" s="40">
        <v>91.99</v>
      </c>
      <c r="AW123" s="41">
        <f t="shared" si="36"/>
        <v>9658.9499999999989</v>
      </c>
      <c r="AX123" s="24">
        <f t="shared" si="49"/>
        <v>70.04853295166221</v>
      </c>
      <c r="AY123" s="24"/>
      <c r="AZ123" s="24"/>
      <c r="BA123" s="24"/>
      <c r="BB123" s="24">
        <f t="shared" si="43"/>
        <v>0</v>
      </c>
      <c r="BC123" s="24">
        <f t="shared" si="44"/>
        <v>5754.8000000000011</v>
      </c>
      <c r="BD123" s="24"/>
      <c r="BE123" s="24"/>
      <c r="BF123" s="24"/>
      <c r="BG123" s="24">
        <f>+AB123*9.5%</f>
        <v>1921.375</v>
      </c>
      <c r="BH123" s="24"/>
      <c r="BI123" s="24"/>
      <c r="BJ123" s="24">
        <f t="shared" si="45"/>
        <v>19.213750000000001</v>
      </c>
      <c r="BK123" s="24">
        <f t="shared" si="46"/>
        <v>7656.9612500000012</v>
      </c>
      <c r="BL123" s="24" t="s">
        <v>116</v>
      </c>
      <c r="BM123" s="42">
        <f t="shared" si="37"/>
        <v>3</v>
      </c>
      <c r="BN123" s="24" t="s">
        <v>139</v>
      </c>
      <c r="BO123" s="2" t="s">
        <v>500</v>
      </c>
    </row>
    <row r="124" spans="1:67" s="1" customFormat="1" ht="15" customHeight="1" x14ac:dyDescent="0.3">
      <c r="A124" s="20">
        <v>120</v>
      </c>
      <c r="B124" s="21">
        <v>46090</v>
      </c>
      <c r="C124" s="21">
        <v>46102</v>
      </c>
      <c r="D124" s="50" t="s">
        <v>813</v>
      </c>
      <c r="E124" s="23">
        <v>46151</v>
      </c>
      <c r="F124" s="23" t="s">
        <v>7</v>
      </c>
      <c r="G124" s="24" t="s">
        <v>68</v>
      </c>
      <c r="H124" s="24" t="s">
        <v>69</v>
      </c>
      <c r="I124" s="24" t="s">
        <v>70</v>
      </c>
      <c r="J124" s="25" t="s">
        <v>215</v>
      </c>
      <c r="K124" s="45" t="str">
        <f t="shared" si="38"/>
        <v>WB39B0802</v>
      </c>
      <c r="L124" s="26">
        <v>46092</v>
      </c>
      <c r="M124" s="34" t="s">
        <v>814</v>
      </c>
      <c r="N124" s="27" t="s">
        <v>815</v>
      </c>
      <c r="O124" s="28">
        <v>0</v>
      </c>
      <c r="P124" s="27" t="s">
        <v>816</v>
      </c>
      <c r="Q124" s="29">
        <v>2525357988</v>
      </c>
      <c r="R124" s="30">
        <v>2110804262</v>
      </c>
      <c r="S124" s="31" t="s">
        <v>73</v>
      </c>
      <c r="T124" s="24" t="s">
        <v>74</v>
      </c>
      <c r="U124" s="24" t="s">
        <v>75</v>
      </c>
      <c r="V124" s="32" t="s">
        <v>817</v>
      </c>
      <c r="W124" s="32" t="s">
        <v>818</v>
      </c>
      <c r="X124" s="32" t="s">
        <v>819</v>
      </c>
      <c r="Y124" s="24">
        <v>499</v>
      </c>
      <c r="Z124" s="24">
        <v>14</v>
      </c>
      <c r="AA124" s="24">
        <f t="shared" si="39"/>
        <v>474.05</v>
      </c>
      <c r="AB124" s="24">
        <f t="shared" si="32"/>
        <v>6986</v>
      </c>
      <c r="AC124" s="24">
        <f t="shared" si="33"/>
        <v>6636.7</v>
      </c>
      <c r="AD124" s="24">
        <f t="shared" si="34"/>
        <v>6636.7</v>
      </c>
      <c r="AE124" s="24">
        <f t="shared" si="35"/>
        <v>349.30000000000018</v>
      </c>
      <c r="AF124" s="24">
        <f t="shared" si="53"/>
        <v>66.367000000000004</v>
      </c>
      <c r="AG124" s="33">
        <v>3400</v>
      </c>
      <c r="AH124" s="24"/>
      <c r="AI124" s="24">
        <v>1000</v>
      </c>
      <c r="AJ124" s="24"/>
      <c r="AK124" s="24"/>
      <c r="AL124" s="24"/>
      <c r="AM124" s="24" t="s">
        <v>79</v>
      </c>
      <c r="AN124" s="34" t="s">
        <v>820</v>
      </c>
      <c r="AO124" s="35" t="s">
        <v>81</v>
      </c>
      <c r="AP124" s="24">
        <f>80*2</f>
        <v>160</v>
      </c>
      <c r="AQ124" s="36">
        <f t="shared" si="40"/>
        <v>49.230769230769234</v>
      </c>
      <c r="AR124" s="37">
        <v>50</v>
      </c>
      <c r="AS124" s="38">
        <f t="shared" si="41"/>
        <v>0.7692307692307665</v>
      </c>
      <c r="AT124" s="39"/>
      <c r="AU124" s="38">
        <f t="shared" si="42"/>
        <v>0.7692307692307665</v>
      </c>
      <c r="AV124" s="40">
        <v>91.99</v>
      </c>
      <c r="AW124" s="41">
        <f t="shared" si="36"/>
        <v>4599.5</v>
      </c>
      <c r="AX124" s="24">
        <f t="shared" si="49"/>
        <v>120.53430168607892</v>
      </c>
      <c r="AY124" s="24">
        <v>120</v>
      </c>
      <c r="AZ124" s="24"/>
      <c r="BA124" s="24"/>
      <c r="BB124" s="24">
        <f t="shared" si="43"/>
        <v>0</v>
      </c>
      <c r="BC124" s="24">
        <f t="shared" si="44"/>
        <v>-2549.1670000000004</v>
      </c>
      <c r="BD124" s="24">
        <v>110</v>
      </c>
      <c r="BE124" s="24">
        <v>110</v>
      </c>
      <c r="BF124" s="24"/>
      <c r="BG124" s="24">
        <f t="shared" ref="BG124:BG125" si="57">+AD124*8.5%</f>
        <v>564.11950000000002</v>
      </c>
      <c r="BH124" s="24">
        <f t="shared" ref="BH124:BH125" si="58">+AD124*8.5%</f>
        <v>564.11950000000002</v>
      </c>
      <c r="BI124" s="24"/>
      <c r="BJ124" s="24">
        <f t="shared" si="45"/>
        <v>11.282390000000001</v>
      </c>
      <c r="BK124" s="24">
        <f t="shared" si="46"/>
        <v>-1212.2103900000004</v>
      </c>
      <c r="BL124" s="24" t="s">
        <v>82</v>
      </c>
      <c r="BM124" s="42">
        <f t="shared" si="37"/>
        <v>3</v>
      </c>
      <c r="BN124" s="24" t="s">
        <v>139</v>
      </c>
      <c r="BO124" s="2" t="s">
        <v>175</v>
      </c>
    </row>
    <row r="125" spans="1:67" s="1" customFormat="1" ht="15" customHeight="1" x14ac:dyDescent="0.3">
      <c r="A125" s="20">
        <v>121</v>
      </c>
      <c r="B125" s="21">
        <v>46090</v>
      </c>
      <c r="C125" s="21">
        <v>46102</v>
      </c>
      <c r="D125" s="50" t="s">
        <v>813</v>
      </c>
      <c r="E125" s="23">
        <v>46151</v>
      </c>
      <c r="F125" s="23" t="s">
        <v>7</v>
      </c>
      <c r="G125" s="24" t="s">
        <v>68</v>
      </c>
      <c r="H125" s="24" t="s">
        <v>69</v>
      </c>
      <c r="I125" s="24" t="s">
        <v>70</v>
      </c>
      <c r="J125" s="25" t="s">
        <v>215</v>
      </c>
      <c r="K125" s="45" t="str">
        <f t="shared" si="38"/>
        <v>WB39B0802</v>
      </c>
      <c r="L125" s="26">
        <v>46092</v>
      </c>
      <c r="M125" s="34" t="s">
        <v>821</v>
      </c>
      <c r="N125" s="27" t="s">
        <v>822</v>
      </c>
      <c r="O125" s="28">
        <v>0</v>
      </c>
      <c r="P125" s="27" t="s">
        <v>823</v>
      </c>
      <c r="Q125" s="29">
        <v>2525357991</v>
      </c>
      <c r="R125" s="30">
        <v>2110804263</v>
      </c>
      <c r="S125" s="31" t="s">
        <v>73</v>
      </c>
      <c r="T125" s="24" t="s">
        <v>74</v>
      </c>
      <c r="U125" s="24" t="s">
        <v>75</v>
      </c>
      <c r="V125" s="32" t="s">
        <v>817</v>
      </c>
      <c r="W125" s="32" t="s">
        <v>818</v>
      </c>
      <c r="X125" s="32" t="s">
        <v>753</v>
      </c>
      <c r="Y125" s="24">
        <v>499</v>
      </c>
      <c r="Z125" s="24">
        <v>5</v>
      </c>
      <c r="AA125" s="24">
        <f t="shared" si="39"/>
        <v>474.05</v>
      </c>
      <c r="AB125" s="24">
        <f t="shared" si="32"/>
        <v>2495</v>
      </c>
      <c r="AC125" s="24">
        <f t="shared" si="33"/>
        <v>2370.25</v>
      </c>
      <c r="AD125" s="24">
        <f t="shared" si="34"/>
        <v>2370.25</v>
      </c>
      <c r="AE125" s="24">
        <f t="shared" si="35"/>
        <v>124.75</v>
      </c>
      <c r="AF125" s="24">
        <f t="shared" si="53"/>
        <v>23.702500000000001</v>
      </c>
      <c r="AG125" s="31">
        <v>0</v>
      </c>
      <c r="AH125" s="24"/>
      <c r="AI125" s="24"/>
      <c r="AJ125" s="24"/>
      <c r="AK125" s="24"/>
      <c r="AL125" s="24"/>
      <c r="AM125" s="24">
        <v>0</v>
      </c>
      <c r="AN125" s="34" t="s">
        <v>213</v>
      </c>
      <c r="AO125" s="35"/>
      <c r="AP125" s="24"/>
      <c r="AQ125" s="36">
        <f t="shared" si="40"/>
        <v>0</v>
      </c>
      <c r="AR125" s="16"/>
      <c r="AS125" s="47">
        <f t="shared" si="41"/>
        <v>0</v>
      </c>
      <c r="AT125" s="31"/>
      <c r="AU125" s="47">
        <f t="shared" si="42"/>
        <v>0</v>
      </c>
      <c r="AV125" s="48">
        <v>91.99</v>
      </c>
      <c r="AW125" s="24">
        <f t="shared" si="36"/>
        <v>0</v>
      </c>
      <c r="AX125" s="24">
        <f t="shared" si="49"/>
        <v>0</v>
      </c>
      <c r="AY125" s="24"/>
      <c r="AZ125" s="24"/>
      <c r="BA125" s="24"/>
      <c r="BB125" s="24">
        <f t="shared" si="43"/>
        <v>0</v>
      </c>
      <c r="BC125" s="24">
        <f t="shared" si="44"/>
        <v>2346.5475000000001</v>
      </c>
      <c r="BD125" s="24">
        <v>0</v>
      </c>
      <c r="BE125" s="24">
        <v>0</v>
      </c>
      <c r="BF125" s="24"/>
      <c r="BG125" s="24">
        <f t="shared" si="57"/>
        <v>201.47125000000003</v>
      </c>
      <c r="BH125" s="24">
        <f t="shared" si="58"/>
        <v>201.47125000000003</v>
      </c>
      <c r="BI125" s="24"/>
      <c r="BJ125" s="24">
        <f t="shared" si="45"/>
        <v>4.0294250000000007</v>
      </c>
      <c r="BK125" s="24">
        <f t="shared" si="46"/>
        <v>2745.4605750000001</v>
      </c>
      <c r="BL125" s="24" t="s">
        <v>82</v>
      </c>
      <c r="BM125" s="42">
        <f t="shared" si="37"/>
        <v>3</v>
      </c>
      <c r="BN125" s="24" t="s">
        <v>139</v>
      </c>
      <c r="BO125" s="2" t="s">
        <v>175</v>
      </c>
    </row>
    <row r="126" spans="1:67" s="1" customFormat="1" ht="15" customHeight="1" x14ac:dyDescent="0.3">
      <c r="A126" s="20">
        <v>122</v>
      </c>
      <c r="B126" s="21">
        <v>46091</v>
      </c>
      <c r="C126" s="21">
        <v>46097</v>
      </c>
      <c r="D126" s="52" t="s">
        <v>523</v>
      </c>
      <c r="E126" s="23">
        <v>46105</v>
      </c>
      <c r="F126" s="23" t="s">
        <v>7</v>
      </c>
      <c r="G126" s="24" t="s">
        <v>68</v>
      </c>
      <c r="H126" s="24" t="s">
        <v>69</v>
      </c>
      <c r="I126" s="24" t="s">
        <v>88</v>
      </c>
      <c r="J126" s="25" t="s">
        <v>89</v>
      </c>
      <c r="K126" s="45" t="str">
        <f t="shared" si="38"/>
        <v>WB67A9375</v>
      </c>
      <c r="L126" s="26">
        <v>46092</v>
      </c>
      <c r="M126" s="34" t="s">
        <v>824</v>
      </c>
      <c r="N126" s="27" t="s">
        <v>825</v>
      </c>
      <c r="O126" s="28">
        <v>0</v>
      </c>
      <c r="P126" s="27" t="s">
        <v>826</v>
      </c>
      <c r="Q126" s="29">
        <v>2525358464</v>
      </c>
      <c r="R126" s="30">
        <v>2110804699</v>
      </c>
      <c r="S126" s="54" t="s">
        <v>73</v>
      </c>
      <c r="T126" s="24" t="s">
        <v>91</v>
      </c>
      <c r="U126" s="24" t="s">
        <v>75</v>
      </c>
      <c r="V126" s="32" t="s">
        <v>827</v>
      </c>
      <c r="W126" s="32" t="s">
        <v>528</v>
      </c>
      <c r="X126" s="32" t="s">
        <v>828</v>
      </c>
      <c r="Y126" s="24">
        <v>911</v>
      </c>
      <c r="Z126" s="24">
        <v>25</v>
      </c>
      <c r="AA126" s="24">
        <f t="shared" si="39"/>
        <v>865.44999999999993</v>
      </c>
      <c r="AB126" s="24">
        <f t="shared" si="32"/>
        <v>22775</v>
      </c>
      <c r="AC126" s="24">
        <f t="shared" si="33"/>
        <v>21636.25</v>
      </c>
      <c r="AD126" s="24">
        <f t="shared" si="34"/>
        <v>21636.25</v>
      </c>
      <c r="AE126" s="24">
        <f t="shared" si="35"/>
        <v>1138.75</v>
      </c>
      <c r="AF126" s="24">
        <v>0</v>
      </c>
      <c r="AG126" s="33">
        <v>3700</v>
      </c>
      <c r="AH126" s="24"/>
      <c r="AI126" s="24"/>
      <c r="AJ126" s="24"/>
      <c r="AK126" s="24"/>
      <c r="AL126" s="24"/>
      <c r="AM126" s="24" t="s">
        <v>79</v>
      </c>
      <c r="AN126" s="34" t="s">
        <v>829</v>
      </c>
      <c r="AO126" s="35" t="s">
        <v>81</v>
      </c>
      <c r="AP126" s="24">
        <f>199*2</f>
        <v>398</v>
      </c>
      <c r="AQ126" s="36">
        <f t="shared" si="40"/>
        <v>122.46153846153847</v>
      </c>
      <c r="AR126" s="37">
        <v>120</v>
      </c>
      <c r="AS126" s="38">
        <f t="shared" si="41"/>
        <v>-2.461538461538467</v>
      </c>
      <c r="AT126" s="39"/>
      <c r="AU126" s="38">
        <f t="shared" si="42"/>
        <v>-2.461538461538467</v>
      </c>
      <c r="AV126" s="40">
        <v>91.99</v>
      </c>
      <c r="AW126" s="41">
        <f t="shared" si="36"/>
        <v>11038.8</v>
      </c>
      <c r="AX126" s="24">
        <f t="shared" si="49"/>
        <v>68.120861979317112</v>
      </c>
      <c r="AY126" s="24"/>
      <c r="AZ126" s="24"/>
      <c r="BA126" s="24"/>
      <c r="BB126" s="24">
        <f t="shared" si="43"/>
        <v>0</v>
      </c>
      <c r="BC126" s="24">
        <f t="shared" si="44"/>
        <v>6897.4500000000007</v>
      </c>
      <c r="BD126" s="24">
        <v>135</v>
      </c>
      <c r="BE126" s="24">
        <v>135</v>
      </c>
      <c r="BF126" s="24"/>
      <c r="BG126" s="24">
        <f>+AB126*9.5%</f>
        <v>2163.625</v>
      </c>
      <c r="BH126" s="24"/>
      <c r="BI126" s="24"/>
      <c r="BJ126" s="24">
        <f t="shared" si="45"/>
        <v>21.63625</v>
      </c>
      <c r="BK126" s="24">
        <f t="shared" si="46"/>
        <v>9309.4387500000012</v>
      </c>
      <c r="BL126" s="24" t="s">
        <v>96</v>
      </c>
      <c r="BM126" s="42">
        <f t="shared" si="37"/>
        <v>2</v>
      </c>
      <c r="BN126" s="24" t="s">
        <v>83</v>
      </c>
      <c r="BO126" s="2" t="s">
        <v>175</v>
      </c>
    </row>
    <row r="127" spans="1:67" s="1" customFormat="1" ht="15" customHeight="1" x14ac:dyDescent="0.3">
      <c r="A127" s="20">
        <v>123</v>
      </c>
      <c r="B127" s="21">
        <v>46091</v>
      </c>
      <c r="C127" s="21">
        <v>46097</v>
      </c>
      <c r="D127" s="50" t="s">
        <v>165</v>
      </c>
      <c r="E127" s="23">
        <v>46108</v>
      </c>
      <c r="F127" s="23" t="s">
        <v>7</v>
      </c>
      <c r="G127" s="24" t="s">
        <v>68</v>
      </c>
      <c r="H127" s="24" t="s">
        <v>69</v>
      </c>
      <c r="I127" s="24" t="s">
        <v>70</v>
      </c>
      <c r="J127" s="25" t="s">
        <v>293</v>
      </c>
      <c r="K127" s="45" t="str">
        <f t="shared" si="38"/>
        <v>WB39B4313</v>
      </c>
      <c r="L127" s="26">
        <v>46092</v>
      </c>
      <c r="M127" s="34" t="s">
        <v>830</v>
      </c>
      <c r="N127" s="27" t="s">
        <v>831</v>
      </c>
      <c r="O127" s="28">
        <v>0</v>
      </c>
      <c r="P127" s="27" t="s">
        <v>832</v>
      </c>
      <c r="Q127" s="29">
        <v>2525358449</v>
      </c>
      <c r="R127" s="30">
        <v>2110804690</v>
      </c>
      <c r="S127" s="31" t="s">
        <v>73</v>
      </c>
      <c r="T127" s="24" t="s">
        <v>91</v>
      </c>
      <c r="U127" s="24" t="s">
        <v>75</v>
      </c>
      <c r="V127" s="32" t="s">
        <v>297</v>
      </c>
      <c r="W127" s="32" t="s">
        <v>298</v>
      </c>
      <c r="X127" s="32" t="s">
        <v>833</v>
      </c>
      <c r="Y127" s="24">
        <v>1059</v>
      </c>
      <c r="Z127" s="24">
        <v>25</v>
      </c>
      <c r="AA127" s="24">
        <f t="shared" si="39"/>
        <v>1006.05</v>
      </c>
      <c r="AB127" s="24">
        <f t="shared" si="32"/>
        <v>26475</v>
      </c>
      <c r="AC127" s="24">
        <f t="shared" si="33"/>
        <v>25151.25</v>
      </c>
      <c r="AD127" s="24">
        <f t="shared" si="34"/>
        <v>25151.25</v>
      </c>
      <c r="AE127" s="24">
        <f t="shared" si="35"/>
        <v>1323.75</v>
      </c>
      <c r="AF127" s="24">
        <f t="shared" ref="AF127:AF168" si="59">+AD127*1%</f>
        <v>251.51250000000002</v>
      </c>
      <c r="AG127" s="33">
        <v>3800</v>
      </c>
      <c r="AH127" s="24"/>
      <c r="AI127" s="24"/>
      <c r="AJ127" s="24"/>
      <c r="AK127" s="24"/>
      <c r="AL127" s="24"/>
      <c r="AM127" s="24" t="s">
        <v>79</v>
      </c>
      <c r="AN127" s="34" t="s">
        <v>834</v>
      </c>
      <c r="AO127" s="35" t="s">
        <v>81</v>
      </c>
      <c r="AP127" s="24">
        <f>238*2</f>
        <v>476</v>
      </c>
      <c r="AQ127" s="36">
        <f t="shared" si="40"/>
        <v>146.46153846153845</v>
      </c>
      <c r="AR127" s="37">
        <v>115</v>
      </c>
      <c r="AS127" s="38">
        <f t="shared" si="41"/>
        <v>-31.461538461538453</v>
      </c>
      <c r="AT127" s="39"/>
      <c r="AU127" s="38">
        <f t="shared" si="42"/>
        <v>-31.461538461538453</v>
      </c>
      <c r="AV127" s="40">
        <v>91.99</v>
      </c>
      <c r="AW127" s="41">
        <f t="shared" si="36"/>
        <v>10578.849999999999</v>
      </c>
      <c r="AX127" s="24">
        <f t="shared" si="49"/>
        <v>57.169524377516026</v>
      </c>
      <c r="AY127" s="24"/>
      <c r="AZ127" s="24"/>
      <c r="BA127" s="24"/>
      <c r="BB127" s="24">
        <f t="shared" si="43"/>
        <v>0</v>
      </c>
      <c r="BC127" s="24">
        <f t="shared" si="44"/>
        <v>10520.887500000001</v>
      </c>
      <c r="BD127" s="24"/>
      <c r="BE127" s="24"/>
      <c r="BF127" s="24"/>
      <c r="BG127" s="24">
        <f>+AB127*9.5%</f>
        <v>2515.125</v>
      </c>
      <c r="BH127" s="24"/>
      <c r="BI127" s="24"/>
      <c r="BJ127" s="24">
        <f t="shared" si="45"/>
        <v>25.151250000000001</v>
      </c>
      <c r="BK127" s="24">
        <f t="shared" si="46"/>
        <v>13010.86125</v>
      </c>
      <c r="BL127" s="24" t="s">
        <v>253</v>
      </c>
      <c r="BM127" s="42">
        <f t="shared" si="37"/>
        <v>2</v>
      </c>
      <c r="BN127" s="24" t="s">
        <v>83</v>
      </c>
      <c r="BO127" s="2" t="s">
        <v>129</v>
      </c>
    </row>
    <row r="128" spans="1:67" s="1" customFormat="1" ht="15" customHeight="1" x14ac:dyDescent="0.3">
      <c r="A128" s="20">
        <v>124</v>
      </c>
      <c r="B128" s="21">
        <v>46091</v>
      </c>
      <c r="C128" s="21">
        <v>46097</v>
      </c>
      <c r="D128" s="52" t="s">
        <v>541</v>
      </c>
      <c r="E128" s="23">
        <v>46105</v>
      </c>
      <c r="F128" s="23" t="s">
        <v>7</v>
      </c>
      <c r="G128" s="24" t="s">
        <v>68</v>
      </c>
      <c r="H128" s="24" t="s">
        <v>69</v>
      </c>
      <c r="I128" s="24" t="s">
        <v>236</v>
      </c>
      <c r="J128" s="25" t="s">
        <v>366</v>
      </c>
      <c r="K128" s="45" t="str">
        <f t="shared" si="38"/>
        <v>WB41J5775</v>
      </c>
      <c r="L128" s="26">
        <v>46092</v>
      </c>
      <c r="M128" s="34" t="s">
        <v>835</v>
      </c>
      <c r="N128" s="27" t="s">
        <v>836</v>
      </c>
      <c r="O128" s="28">
        <v>0</v>
      </c>
      <c r="P128" s="27" t="s">
        <v>837</v>
      </c>
      <c r="Q128" s="29">
        <v>2525358542</v>
      </c>
      <c r="R128" s="30">
        <v>2110804763</v>
      </c>
      <c r="S128" s="54" t="s">
        <v>73</v>
      </c>
      <c r="T128" s="24" t="s">
        <v>91</v>
      </c>
      <c r="U128" s="24" t="s">
        <v>75</v>
      </c>
      <c r="V128" s="32" t="s">
        <v>491</v>
      </c>
      <c r="W128" s="32" t="s">
        <v>838</v>
      </c>
      <c r="X128" s="32" t="s">
        <v>839</v>
      </c>
      <c r="Y128" s="24">
        <v>1047</v>
      </c>
      <c r="Z128" s="24">
        <v>25</v>
      </c>
      <c r="AA128" s="24">
        <f t="shared" si="39"/>
        <v>994.65000000000009</v>
      </c>
      <c r="AB128" s="24">
        <f t="shared" si="32"/>
        <v>26175</v>
      </c>
      <c r="AC128" s="24">
        <f t="shared" si="33"/>
        <v>24866.25</v>
      </c>
      <c r="AD128" s="24">
        <f t="shared" si="34"/>
        <v>24866.250000000004</v>
      </c>
      <c r="AE128" s="24">
        <f t="shared" si="35"/>
        <v>1308.7499999999964</v>
      </c>
      <c r="AF128" s="24">
        <v>0</v>
      </c>
      <c r="AG128" s="33">
        <v>3500</v>
      </c>
      <c r="AH128" s="24"/>
      <c r="AI128" s="24"/>
      <c r="AJ128" s="24"/>
      <c r="AK128" s="24"/>
      <c r="AL128" s="24"/>
      <c r="AM128" s="24" t="s">
        <v>79</v>
      </c>
      <c r="AN128" s="34" t="s">
        <v>840</v>
      </c>
      <c r="AO128" s="35" t="s">
        <v>81</v>
      </c>
      <c r="AP128" s="24">
        <f>240*2</f>
        <v>480</v>
      </c>
      <c r="AQ128" s="36">
        <f t="shared" si="40"/>
        <v>147.69230769230768</v>
      </c>
      <c r="AR128" s="37">
        <v>150</v>
      </c>
      <c r="AS128" s="38">
        <f t="shared" si="41"/>
        <v>2.3076923076923208</v>
      </c>
      <c r="AT128" s="39"/>
      <c r="AU128" s="38">
        <f t="shared" si="42"/>
        <v>2.3076923076923208</v>
      </c>
      <c r="AV128" s="40">
        <v>91.99</v>
      </c>
      <c r="AW128" s="41">
        <f t="shared" si="36"/>
        <v>13798.5</v>
      </c>
      <c r="AX128" s="24">
        <f t="shared" si="49"/>
        <v>69.566179057960071</v>
      </c>
      <c r="AY128" s="24"/>
      <c r="AZ128" s="24"/>
      <c r="BA128" s="24"/>
      <c r="BB128" s="24">
        <f t="shared" si="43"/>
        <v>0</v>
      </c>
      <c r="BC128" s="24">
        <f t="shared" si="44"/>
        <v>7567.7500000000036</v>
      </c>
      <c r="BD128" s="24">
        <v>135</v>
      </c>
      <c r="BE128" s="24">
        <v>135</v>
      </c>
      <c r="BF128" s="24"/>
      <c r="BG128" s="24">
        <f>+AB128*9.5%</f>
        <v>2486.625</v>
      </c>
      <c r="BH128" s="24"/>
      <c r="BI128" s="24"/>
      <c r="BJ128" s="24">
        <f t="shared" si="45"/>
        <v>24.866250000000001</v>
      </c>
      <c r="BK128" s="24">
        <f t="shared" si="46"/>
        <v>10299.508750000005</v>
      </c>
      <c r="BL128" s="24" t="s">
        <v>245</v>
      </c>
      <c r="BM128" s="42">
        <f t="shared" si="37"/>
        <v>2</v>
      </c>
      <c r="BN128" s="24" t="s">
        <v>83</v>
      </c>
      <c r="BO128" s="2" t="s">
        <v>175</v>
      </c>
    </row>
    <row r="129" spans="1:67" s="1" customFormat="1" ht="15" customHeight="1" x14ac:dyDescent="0.3">
      <c r="A129" s="20">
        <v>125</v>
      </c>
      <c r="B129" s="21">
        <v>46091</v>
      </c>
      <c r="C129" s="21">
        <v>46102</v>
      </c>
      <c r="D129" s="52" t="s">
        <v>841</v>
      </c>
      <c r="E129" s="23">
        <v>46104</v>
      </c>
      <c r="F129" s="23" t="s">
        <v>7</v>
      </c>
      <c r="G129" s="24" t="s">
        <v>68</v>
      </c>
      <c r="H129" s="24" t="s">
        <v>69</v>
      </c>
      <c r="I129" s="24" t="s">
        <v>70</v>
      </c>
      <c r="J129" s="25" t="s">
        <v>842</v>
      </c>
      <c r="K129" s="45" t="str">
        <f t="shared" si="38"/>
        <v>WB39B8924</v>
      </c>
      <c r="L129" s="26">
        <v>46092</v>
      </c>
      <c r="M129" s="34" t="s">
        <v>843</v>
      </c>
      <c r="N129" s="27" t="s">
        <v>844</v>
      </c>
      <c r="O129" s="28">
        <v>0</v>
      </c>
      <c r="P129" s="27" t="s">
        <v>845</v>
      </c>
      <c r="Q129" s="29">
        <v>2525358533</v>
      </c>
      <c r="R129" s="30">
        <v>2110804761</v>
      </c>
      <c r="S129" s="31" t="s">
        <v>73</v>
      </c>
      <c r="T129" s="24" t="s">
        <v>91</v>
      </c>
      <c r="U129" s="24" t="s">
        <v>75</v>
      </c>
      <c r="V129" s="32" t="s">
        <v>179</v>
      </c>
      <c r="W129" s="32" t="s">
        <v>180</v>
      </c>
      <c r="X129" s="32" t="s">
        <v>180</v>
      </c>
      <c r="Y129" s="24">
        <v>1047</v>
      </c>
      <c r="Z129" s="24">
        <v>25</v>
      </c>
      <c r="AA129" s="24">
        <f t="shared" si="39"/>
        <v>994.65000000000009</v>
      </c>
      <c r="AB129" s="24">
        <f t="shared" si="32"/>
        <v>26175</v>
      </c>
      <c r="AC129" s="24">
        <f t="shared" si="33"/>
        <v>24866.25</v>
      </c>
      <c r="AD129" s="24">
        <f t="shared" si="34"/>
        <v>24866.250000000004</v>
      </c>
      <c r="AE129" s="24">
        <f t="shared" si="35"/>
        <v>1308.7499999999964</v>
      </c>
      <c r="AF129" s="24">
        <f t="shared" si="59"/>
        <v>248.66250000000005</v>
      </c>
      <c r="AG129" s="33">
        <v>3600</v>
      </c>
      <c r="AH129" s="24"/>
      <c r="AI129" s="24"/>
      <c r="AJ129" s="24"/>
      <c r="AK129" s="24"/>
      <c r="AL129" s="24"/>
      <c r="AM129" s="24" t="s">
        <v>79</v>
      </c>
      <c r="AN129" s="34" t="s">
        <v>846</v>
      </c>
      <c r="AO129" s="35" t="s">
        <v>81</v>
      </c>
      <c r="AP129" s="24">
        <f>250*2</f>
        <v>500</v>
      </c>
      <c r="AQ129" s="36">
        <f t="shared" si="40"/>
        <v>153.84615384615384</v>
      </c>
      <c r="AR129" s="37">
        <v>165</v>
      </c>
      <c r="AS129" s="38">
        <f t="shared" si="41"/>
        <v>11.15384615384616</v>
      </c>
      <c r="AT129" s="39"/>
      <c r="AU129" s="38">
        <f t="shared" si="42"/>
        <v>11.15384615384616</v>
      </c>
      <c r="AV129" s="40">
        <v>91.99</v>
      </c>
      <c r="AW129" s="41">
        <f t="shared" si="36"/>
        <v>15178.349999999999</v>
      </c>
      <c r="AX129" s="24">
        <f t="shared" si="49"/>
        <v>75.517418187302056</v>
      </c>
      <c r="AY129" s="24"/>
      <c r="AZ129" s="24"/>
      <c r="BA129" s="24"/>
      <c r="BB129" s="24">
        <f t="shared" si="43"/>
        <v>0</v>
      </c>
      <c r="BC129" s="24">
        <f t="shared" si="44"/>
        <v>5839.2375000000065</v>
      </c>
      <c r="BD129" s="24"/>
      <c r="BE129" s="24"/>
      <c r="BF129" s="24"/>
      <c r="BG129" s="24">
        <f>+AD129*9.5%</f>
        <v>2362.2937500000003</v>
      </c>
      <c r="BH129" s="24"/>
      <c r="BI129" s="24"/>
      <c r="BJ129" s="24">
        <f t="shared" si="45"/>
        <v>23.622937500000003</v>
      </c>
      <c r="BK129" s="24">
        <f t="shared" si="46"/>
        <v>8177.908312500007</v>
      </c>
      <c r="BL129" s="24" t="s">
        <v>638</v>
      </c>
      <c r="BM129" s="42">
        <f t="shared" si="37"/>
        <v>2</v>
      </c>
      <c r="BN129" s="24" t="s">
        <v>83</v>
      </c>
      <c r="BO129" s="2" t="s">
        <v>175</v>
      </c>
    </row>
    <row r="130" spans="1:67" s="1" customFormat="1" ht="15" customHeight="1" x14ac:dyDescent="0.3">
      <c r="A130" s="20">
        <v>126</v>
      </c>
      <c r="B130" s="21">
        <v>46091</v>
      </c>
      <c r="C130" s="21">
        <v>46097</v>
      </c>
      <c r="D130" s="50" t="s">
        <v>388</v>
      </c>
      <c r="E130" s="23">
        <v>46097</v>
      </c>
      <c r="F130" s="23" t="s">
        <v>7</v>
      </c>
      <c r="G130" s="24" t="s">
        <v>68</v>
      </c>
      <c r="H130" s="24" t="s">
        <v>69</v>
      </c>
      <c r="I130" s="24" t="s">
        <v>166</v>
      </c>
      <c r="J130" s="25" t="s">
        <v>167</v>
      </c>
      <c r="K130" s="45" t="str">
        <f t="shared" si="38"/>
        <v>WB41H0254</v>
      </c>
      <c r="L130" s="26">
        <v>46092</v>
      </c>
      <c r="M130" s="34" t="s">
        <v>847</v>
      </c>
      <c r="N130" s="27" t="s">
        <v>848</v>
      </c>
      <c r="O130" s="28">
        <v>0</v>
      </c>
      <c r="P130" s="27" t="s">
        <v>849</v>
      </c>
      <c r="Q130" s="29">
        <v>2525358574</v>
      </c>
      <c r="R130" s="30">
        <v>2110804792</v>
      </c>
      <c r="S130" s="31" t="s">
        <v>73</v>
      </c>
      <c r="T130" s="24" t="s">
        <v>91</v>
      </c>
      <c r="U130" s="24" t="s">
        <v>75</v>
      </c>
      <c r="V130" s="32" t="s">
        <v>622</v>
      </c>
      <c r="W130" s="32" t="s">
        <v>251</v>
      </c>
      <c r="X130" s="32"/>
      <c r="Y130" s="24">
        <v>961</v>
      </c>
      <c r="Z130" s="24">
        <v>25</v>
      </c>
      <c r="AA130" s="24">
        <f t="shared" si="39"/>
        <v>912.94999999999993</v>
      </c>
      <c r="AB130" s="24">
        <f t="shared" si="32"/>
        <v>24025</v>
      </c>
      <c r="AC130" s="24">
        <f t="shared" si="33"/>
        <v>22823.75</v>
      </c>
      <c r="AD130" s="24">
        <f t="shared" si="34"/>
        <v>22823.75</v>
      </c>
      <c r="AE130" s="24">
        <f t="shared" si="35"/>
        <v>1201.25</v>
      </c>
      <c r="AF130" s="24">
        <v>0</v>
      </c>
      <c r="AG130" s="33">
        <v>4200</v>
      </c>
      <c r="AH130" s="24"/>
      <c r="AI130" s="24"/>
      <c r="AJ130" s="24"/>
      <c r="AK130" s="24">
        <v>115</v>
      </c>
      <c r="AL130" s="24"/>
      <c r="AM130" s="24" t="s">
        <v>79</v>
      </c>
      <c r="AN130" s="34" t="s">
        <v>850</v>
      </c>
      <c r="AO130" s="35" t="s">
        <v>81</v>
      </c>
      <c r="AP130" s="24">
        <f>213*2</f>
        <v>426</v>
      </c>
      <c r="AQ130" s="36">
        <f t="shared" si="40"/>
        <v>131.07692307692307</v>
      </c>
      <c r="AR130" s="37">
        <v>125</v>
      </c>
      <c r="AS130" s="38">
        <f t="shared" si="41"/>
        <v>-6.076923076923066</v>
      </c>
      <c r="AT130" s="39"/>
      <c r="AU130" s="38">
        <f t="shared" si="42"/>
        <v>-6.076923076923066</v>
      </c>
      <c r="AV130" s="40">
        <v>91.99</v>
      </c>
      <c r="AW130" s="41">
        <f t="shared" si="36"/>
        <v>11498.75</v>
      </c>
      <c r="AX130" s="24">
        <f t="shared" si="49"/>
        <v>68.782518210197708</v>
      </c>
      <c r="AY130" s="24"/>
      <c r="AZ130" s="24"/>
      <c r="BA130" s="24"/>
      <c r="BB130" s="24">
        <f t="shared" si="43"/>
        <v>0</v>
      </c>
      <c r="BC130" s="24">
        <f t="shared" si="44"/>
        <v>7010</v>
      </c>
      <c r="BD130" s="24">
        <v>135</v>
      </c>
      <c r="BE130" s="24">
        <v>135</v>
      </c>
      <c r="BF130" s="24"/>
      <c r="BG130" s="24">
        <f>+AB130*9.5%</f>
        <v>2282.375</v>
      </c>
      <c r="BH130" s="24"/>
      <c r="BI130" s="24"/>
      <c r="BJ130" s="24">
        <f t="shared" si="45"/>
        <v>22.82375</v>
      </c>
      <c r="BK130" s="24">
        <f t="shared" si="46"/>
        <v>9539.5512500000004</v>
      </c>
      <c r="BL130" s="24" t="s">
        <v>173</v>
      </c>
      <c r="BM130" s="42">
        <f t="shared" si="37"/>
        <v>2</v>
      </c>
      <c r="BN130" s="24" t="s">
        <v>83</v>
      </c>
      <c r="BO130" s="2" t="s">
        <v>424</v>
      </c>
    </row>
    <row r="131" spans="1:67" s="1" customFormat="1" ht="15" customHeight="1" x14ac:dyDescent="0.3">
      <c r="A131" s="20">
        <v>127</v>
      </c>
      <c r="B131" s="21">
        <v>46091</v>
      </c>
      <c r="C131" s="21">
        <v>46097</v>
      </c>
      <c r="D131" s="50" t="s">
        <v>430</v>
      </c>
      <c r="E131" s="23">
        <v>46097</v>
      </c>
      <c r="F131" s="23" t="s">
        <v>7</v>
      </c>
      <c r="G131" s="24" t="s">
        <v>68</v>
      </c>
      <c r="H131" s="24" t="s">
        <v>69</v>
      </c>
      <c r="I131" s="24" t="s">
        <v>236</v>
      </c>
      <c r="J131" s="25" t="s">
        <v>681</v>
      </c>
      <c r="K131" s="45" t="str">
        <f t="shared" si="38"/>
        <v>WB41J9696</v>
      </c>
      <c r="L131" s="26">
        <v>46092</v>
      </c>
      <c r="M131" s="34" t="s">
        <v>851</v>
      </c>
      <c r="N131" s="27" t="s">
        <v>852</v>
      </c>
      <c r="O131" s="28">
        <v>0</v>
      </c>
      <c r="P131" s="27" t="s">
        <v>853</v>
      </c>
      <c r="Q131" s="29">
        <v>2525358600</v>
      </c>
      <c r="R131" s="30">
        <v>2110804808</v>
      </c>
      <c r="S131" s="31" t="s">
        <v>73</v>
      </c>
      <c r="T131" s="24" t="s">
        <v>241</v>
      </c>
      <c r="U131" s="24" t="s">
        <v>75</v>
      </c>
      <c r="V131" s="32" t="s">
        <v>491</v>
      </c>
      <c r="W131" s="32" t="s">
        <v>180</v>
      </c>
      <c r="X131" s="32"/>
      <c r="Y131" s="24">
        <v>1047</v>
      </c>
      <c r="Z131" s="24">
        <v>30</v>
      </c>
      <c r="AA131" s="24">
        <f t="shared" si="39"/>
        <v>994.65000000000009</v>
      </c>
      <c r="AB131" s="24">
        <f t="shared" si="32"/>
        <v>31410</v>
      </c>
      <c r="AC131" s="24">
        <f t="shared" si="33"/>
        <v>29839.500000000004</v>
      </c>
      <c r="AD131" s="24">
        <f t="shared" si="34"/>
        <v>29839.500000000004</v>
      </c>
      <c r="AE131" s="24">
        <f t="shared" si="35"/>
        <v>1570.4999999999964</v>
      </c>
      <c r="AF131" s="24">
        <v>0</v>
      </c>
      <c r="AG131" s="33">
        <v>4000</v>
      </c>
      <c r="AH131" s="24"/>
      <c r="AI131" s="24"/>
      <c r="AJ131" s="24"/>
      <c r="AK131" s="24"/>
      <c r="AL131" s="24"/>
      <c r="AM131" s="24" t="s">
        <v>79</v>
      </c>
      <c r="AN131" s="34" t="s">
        <v>854</v>
      </c>
      <c r="AO131" s="35" t="s">
        <v>81</v>
      </c>
      <c r="AP131" s="24">
        <f>240*2</f>
        <v>480</v>
      </c>
      <c r="AQ131" s="36">
        <f t="shared" si="40"/>
        <v>147.69230769230768</v>
      </c>
      <c r="AR131" s="37">
        <v>165</v>
      </c>
      <c r="AS131" s="38">
        <f t="shared" si="41"/>
        <v>17.307692307692321</v>
      </c>
      <c r="AT131" s="39"/>
      <c r="AU131" s="38">
        <f t="shared" si="42"/>
        <v>17.307692307692321</v>
      </c>
      <c r="AV131" s="40">
        <v>91.99</v>
      </c>
      <c r="AW131" s="41">
        <f t="shared" si="36"/>
        <v>15178.349999999999</v>
      </c>
      <c r="AX131" s="24">
        <f t="shared" si="49"/>
        <v>64.271686858023742</v>
      </c>
      <c r="AY131" s="24"/>
      <c r="AZ131" s="24"/>
      <c r="BA131" s="24"/>
      <c r="BB131" s="24">
        <f t="shared" si="43"/>
        <v>0</v>
      </c>
      <c r="BC131" s="24">
        <f t="shared" si="44"/>
        <v>10661.150000000005</v>
      </c>
      <c r="BD131" s="24"/>
      <c r="BE131" s="24"/>
      <c r="BF131" s="24"/>
      <c r="BG131" s="24">
        <f>+AB131*9.5%</f>
        <v>2983.95</v>
      </c>
      <c r="BH131" s="24"/>
      <c r="BI131" s="24"/>
      <c r="BJ131" s="24">
        <f t="shared" si="45"/>
        <v>29.839499999999997</v>
      </c>
      <c r="BK131" s="24">
        <f t="shared" si="46"/>
        <v>13615.260500000006</v>
      </c>
      <c r="BL131" s="24" t="s">
        <v>687</v>
      </c>
      <c r="BM131" s="42">
        <f t="shared" si="37"/>
        <v>2</v>
      </c>
      <c r="BN131" s="24" t="s">
        <v>83</v>
      </c>
      <c r="BO131" s="2" t="s">
        <v>175</v>
      </c>
    </row>
    <row r="132" spans="1:67" s="1" customFormat="1" ht="15" customHeight="1" x14ac:dyDescent="0.3">
      <c r="A132" s="20">
        <v>128</v>
      </c>
      <c r="B132" s="21">
        <v>46091</v>
      </c>
      <c r="C132" s="21">
        <v>46102</v>
      </c>
      <c r="D132" s="52" t="s">
        <v>855</v>
      </c>
      <c r="E132" s="23">
        <v>46104</v>
      </c>
      <c r="F132" s="23" t="s">
        <v>7</v>
      </c>
      <c r="G132" s="24" t="s">
        <v>68</v>
      </c>
      <c r="H132" s="24" t="s">
        <v>69</v>
      </c>
      <c r="I132" s="24" t="s">
        <v>70</v>
      </c>
      <c r="J132" s="25" t="s">
        <v>612</v>
      </c>
      <c r="K132" s="45" t="str">
        <f t="shared" si="38"/>
        <v>WB39B2382</v>
      </c>
      <c r="L132" s="26">
        <v>46092</v>
      </c>
      <c r="M132" s="34" t="s">
        <v>856</v>
      </c>
      <c r="N132" s="27" t="s">
        <v>857</v>
      </c>
      <c r="O132" s="28">
        <v>0</v>
      </c>
      <c r="P132" s="27" t="s">
        <v>858</v>
      </c>
      <c r="Q132" s="29">
        <v>2525358532</v>
      </c>
      <c r="R132" s="30">
        <v>2110804760</v>
      </c>
      <c r="S132" s="31" t="s">
        <v>73</v>
      </c>
      <c r="T132" s="24" t="s">
        <v>91</v>
      </c>
      <c r="U132" s="24" t="s">
        <v>75</v>
      </c>
      <c r="V132" s="32" t="s">
        <v>179</v>
      </c>
      <c r="W132" s="32" t="s">
        <v>180</v>
      </c>
      <c r="X132" s="32" t="s">
        <v>180</v>
      </c>
      <c r="Y132" s="24">
        <v>1047</v>
      </c>
      <c r="Z132" s="24">
        <v>25</v>
      </c>
      <c r="AA132" s="24">
        <f t="shared" si="39"/>
        <v>994.65000000000009</v>
      </c>
      <c r="AB132" s="24">
        <f t="shared" si="32"/>
        <v>26175</v>
      </c>
      <c r="AC132" s="24">
        <f t="shared" si="33"/>
        <v>24866.25</v>
      </c>
      <c r="AD132" s="24">
        <f t="shared" si="34"/>
        <v>24866.250000000004</v>
      </c>
      <c r="AE132" s="24">
        <f t="shared" si="35"/>
        <v>1308.7499999999964</v>
      </c>
      <c r="AF132" s="24">
        <f t="shared" si="59"/>
        <v>248.66250000000005</v>
      </c>
      <c r="AG132" s="33">
        <v>5700</v>
      </c>
      <c r="AH132" s="24"/>
      <c r="AI132" s="24"/>
      <c r="AJ132" s="24"/>
      <c r="AK132" s="24"/>
      <c r="AL132" s="24"/>
      <c r="AM132" s="24" t="s">
        <v>79</v>
      </c>
      <c r="AN132" s="34" t="s">
        <v>859</v>
      </c>
      <c r="AO132" s="35" t="s">
        <v>81</v>
      </c>
      <c r="AP132" s="24">
        <f>250*2</f>
        <v>500</v>
      </c>
      <c r="AQ132" s="36">
        <f t="shared" si="40"/>
        <v>153.84615384615384</v>
      </c>
      <c r="AR132" s="37">
        <v>161</v>
      </c>
      <c r="AS132" s="38">
        <f t="shared" si="41"/>
        <v>7.1538461538461604</v>
      </c>
      <c r="AT132" s="39"/>
      <c r="AU132" s="38">
        <f t="shared" si="42"/>
        <v>7.1538461538461604</v>
      </c>
      <c r="AV132" s="40">
        <v>91.99</v>
      </c>
      <c r="AW132" s="41">
        <f t="shared" si="36"/>
        <v>14810.39</v>
      </c>
      <c r="AX132" s="24">
        <f t="shared" si="49"/>
        <v>82.482843211179798</v>
      </c>
      <c r="AY132" s="24"/>
      <c r="AZ132" s="24"/>
      <c r="BA132" s="24"/>
      <c r="BB132" s="24">
        <f t="shared" si="43"/>
        <v>0</v>
      </c>
      <c r="BC132" s="24">
        <f t="shared" si="44"/>
        <v>4107.1975000000057</v>
      </c>
      <c r="BD132" s="24"/>
      <c r="BE132" s="24"/>
      <c r="BF132" s="24"/>
      <c r="BG132" s="24">
        <f>+AD132*9.5%</f>
        <v>2362.2937500000003</v>
      </c>
      <c r="BH132" s="24"/>
      <c r="BI132" s="24"/>
      <c r="BJ132" s="24">
        <f t="shared" si="45"/>
        <v>23.622937500000003</v>
      </c>
      <c r="BK132" s="24">
        <f t="shared" si="46"/>
        <v>6445.8683125000061</v>
      </c>
      <c r="BL132" s="24" t="s">
        <v>618</v>
      </c>
      <c r="BM132" s="42">
        <f t="shared" si="37"/>
        <v>2</v>
      </c>
      <c r="BN132" s="24" t="s">
        <v>83</v>
      </c>
      <c r="BO132" s="2" t="s">
        <v>175</v>
      </c>
    </row>
    <row r="133" spans="1:67" s="1" customFormat="1" ht="15" customHeight="1" x14ac:dyDescent="0.3">
      <c r="A133" s="20">
        <v>129</v>
      </c>
      <c r="B133" s="21">
        <v>46091</v>
      </c>
      <c r="C133" s="21">
        <v>46097</v>
      </c>
      <c r="D133" s="50" t="s">
        <v>193</v>
      </c>
      <c r="E133" s="23">
        <v>46139</v>
      </c>
      <c r="F133" s="23" t="s">
        <v>7</v>
      </c>
      <c r="G133" s="24" t="s">
        <v>68</v>
      </c>
      <c r="H133" s="24" t="s">
        <v>69</v>
      </c>
      <c r="I133" s="24" t="s">
        <v>88</v>
      </c>
      <c r="J133" s="25" t="s">
        <v>194</v>
      </c>
      <c r="K133" s="45" t="str">
        <f t="shared" si="38"/>
        <v>WB67A2373</v>
      </c>
      <c r="L133" s="26">
        <v>46092</v>
      </c>
      <c r="M133" s="34" t="s">
        <v>860</v>
      </c>
      <c r="N133" s="27" t="s">
        <v>861</v>
      </c>
      <c r="O133" s="28">
        <v>0</v>
      </c>
      <c r="P133" s="27" t="s">
        <v>862</v>
      </c>
      <c r="Q133" s="29">
        <v>2525358641</v>
      </c>
      <c r="R133" s="30">
        <v>2110804891</v>
      </c>
      <c r="S133" s="31" t="s">
        <v>73</v>
      </c>
      <c r="T133" s="24" t="s">
        <v>74</v>
      </c>
      <c r="U133" s="24" t="s">
        <v>75</v>
      </c>
      <c r="V133" s="32" t="s">
        <v>198</v>
      </c>
      <c r="W133" s="32" t="s">
        <v>199</v>
      </c>
      <c r="X133" s="32" t="s">
        <v>863</v>
      </c>
      <c r="Y133" s="24">
        <v>499</v>
      </c>
      <c r="Z133" s="24">
        <v>19</v>
      </c>
      <c r="AA133" s="24">
        <f t="shared" si="39"/>
        <v>474.05</v>
      </c>
      <c r="AB133" s="24">
        <f t="shared" ref="AB133:AB196" si="60">+Z133*Y133</f>
        <v>9481</v>
      </c>
      <c r="AC133" s="24">
        <f t="shared" ref="AC133:AC196" si="61">+AB133/100*95</f>
        <v>9006.9500000000007</v>
      </c>
      <c r="AD133" s="24">
        <f t="shared" ref="AD133:AD196" si="62">+AA133*Z133</f>
        <v>9006.9500000000007</v>
      </c>
      <c r="AE133" s="24">
        <f t="shared" ref="AE133:AE196" si="63">+AB133-AD133</f>
        <v>474.04999999999927</v>
      </c>
      <c r="AF133" s="24">
        <f t="shared" si="59"/>
        <v>90.069500000000005</v>
      </c>
      <c r="AG133" s="33">
        <v>3200</v>
      </c>
      <c r="AH133" s="24"/>
      <c r="AI133" s="24"/>
      <c r="AJ133" s="24"/>
      <c r="AK133" s="24"/>
      <c r="AL133" s="24"/>
      <c r="AM133" s="24" t="s">
        <v>79</v>
      </c>
      <c r="AN133" s="34" t="s">
        <v>864</v>
      </c>
      <c r="AO133" s="35" t="s">
        <v>81</v>
      </c>
      <c r="AP133" s="24">
        <f>80*2</f>
        <v>160</v>
      </c>
      <c r="AQ133" s="36">
        <f t="shared" si="40"/>
        <v>49.230769230769234</v>
      </c>
      <c r="AR133" s="37">
        <v>50</v>
      </c>
      <c r="AS133" s="38">
        <f t="shared" si="41"/>
        <v>0.7692307692307665</v>
      </c>
      <c r="AT133" s="39"/>
      <c r="AU133" s="38">
        <f t="shared" si="42"/>
        <v>0.7692307692307665</v>
      </c>
      <c r="AV133" s="40">
        <v>91.99</v>
      </c>
      <c r="AW133" s="41">
        <f t="shared" ref="AW133:AW196" si="64">+AR133*AV133</f>
        <v>4599.5</v>
      </c>
      <c r="AX133" s="24">
        <f t="shared" si="49"/>
        <v>86.594241113806561</v>
      </c>
      <c r="AY133" s="24">
        <v>120</v>
      </c>
      <c r="AZ133" s="24"/>
      <c r="BA133" s="24"/>
      <c r="BB133" s="24">
        <f t="shared" si="43"/>
        <v>0</v>
      </c>
      <c r="BC133" s="24">
        <f t="shared" si="44"/>
        <v>997.38050000000112</v>
      </c>
      <c r="BD133" s="24">
        <v>110</v>
      </c>
      <c r="BE133" s="24">
        <v>110</v>
      </c>
      <c r="BF133" s="24"/>
      <c r="BG133" s="24">
        <f>+AD133*8.5%</f>
        <v>765.59075000000007</v>
      </c>
      <c r="BH133" s="24">
        <f>+AD133*8.5%</f>
        <v>765.59075000000007</v>
      </c>
      <c r="BI133" s="24"/>
      <c r="BJ133" s="24">
        <f t="shared" si="45"/>
        <v>15.311815000000001</v>
      </c>
      <c r="BK133" s="24">
        <f t="shared" si="46"/>
        <v>2733.2501850000012</v>
      </c>
      <c r="BL133" s="24" t="s">
        <v>82</v>
      </c>
      <c r="BM133" s="42">
        <f t="shared" ref="BM133:BM196" si="65">+L133-B133+1</f>
        <v>2</v>
      </c>
      <c r="BN133" s="24" t="s">
        <v>83</v>
      </c>
      <c r="BO133" s="2" t="s">
        <v>424</v>
      </c>
    </row>
    <row r="134" spans="1:67" s="1" customFormat="1" ht="15" customHeight="1" x14ac:dyDescent="0.3">
      <c r="A134" s="20">
        <v>130</v>
      </c>
      <c r="B134" s="21">
        <v>46091</v>
      </c>
      <c r="C134" s="21">
        <v>46097</v>
      </c>
      <c r="D134" s="50" t="s">
        <v>380</v>
      </c>
      <c r="E134" s="23">
        <v>46097</v>
      </c>
      <c r="F134" s="23" t="s">
        <v>7</v>
      </c>
      <c r="G134" s="24" t="s">
        <v>68</v>
      </c>
      <c r="H134" s="24" t="s">
        <v>69</v>
      </c>
      <c r="I134" s="24" t="s">
        <v>131</v>
      </c>
      <c r="J134" s="25" t="s">
        <v>224</v>
      </c>
      <c r="K134" s="45" t="str">
        <f t="shared" ref="K134:K197" si="66">CONCATENATE(H134,I134,J134)</f>
        <v>WB29A9266</v>
      </c>
      <c r="L134" s="26">
        <v>46092</v>
      </c>
      <c r="M134" s="34" t="s">
        <v>865</v>
      </c>
      <c r="N134" s="27" t="s">
        <v>866</v>
      </c>
      <c r="O134" s="28">
        <v>0</v>
      </c>
      <c r="P134" s="27" t="s">
        <v>867</v>
      </c>
      <c r="Q134" s="29">
        <v>2590196304</v>
      </c>
      <c r="R134" s="30">
        <v>2160374341</v>
      </c>
      <c r="S134" s="31" t="s">
        <v>73</v>
      </c>
      <c r="T134" s="24" t="s">
        <v>91</v>
      </c>
      <c r="U134" s="24" t="s">
        <v>347</v>
      </c>
      <c r="V134" s="32" t="s">
        <v>868</v>
      </c>
      <c r="W134" s="32" t="s">
        <v>349</v>
      </c>
      <c r="X134" s="32"/>
      <c r="Y134" s="24">
        <v>780</v>
      </c>
      <c r="Z134" s="24">
        <v>25</v>
      </c>
      <c r="AA134" s="24">
        <f t="shared" ref="AA134:AA197" si="67">+Y134/100*95</f>
        <v>741</v>
      </c>
      <c r="AB134" s="24">
        <f t="shared" si="60"/>
        <v>19500</v>
      </c>
      <c r="AC134" s="24">
        <f t="shared" si="61"/>
        <v>18525</v>
      </c>
      <c r="AD134" s="24">
        <f t="shared" si="62"/>
        <v>18525</v>
      </c>
      <c r="AE134" s="24">
        <f t="shared" si="63"/>
        <v>975</v>
      </c>
      <c r="AF134" s="24">
        <v>0</v>
      </c>
      <c r="AG134" s="33">
        <v>4200</v>
      </c>
      <c r="AH134" s="24"/>
      <c r="AI134" s="24"/>
      <c r="AJ134" s="24"/>
      <c r="AK134" s="24"/>
      <c r="AL134" s="24"/>
      <c r="AM134" s="24" t="s">
        <v>79</v>
      </c>
      <c r="AN134" s="34" t="s">
        <v>869</v>
      </c>
      <c r="AO134" s="35" t="s">
        <v>81</v>
      </c>
      <c r="AP134" s="24">
        <f>200*2</f>
        <v>400</v>
      </c>
      <c r="AQ134" s="36">
        <f t="shared" ref="AQ134:AQ197" si="68">+AP134/3.25</f>
        <v>123.07692307692308</v>
      </c>
      <c r="AR134" s="37">
        <f>10+110</f>
        <v>120</v>
      </c>
      <c r="AS134" s="38">
        <f t="shared" ref="AS134:AS197" si="69">+AR134-AQ134</f>
        <v>-3.0769230769230802</v>
      </c>
      <c r="AT134" s="39"/>
      <c r="AU134" s="38">
        <f t="shared" ref="AU134:AU197" si="70">+AS134-AT134</f>
        <v>-3.0769230769230802</v>
      </c>
      <c r="AV134" s="40">
        <v>91.99</v>
      </c>
      <c r="AW134" s="41">
        <f t="shared" si="64"/>
        <v>11038.8</v>
      </c>
      <c r="AX134" s="24">
        <f t="shared" si="49"/>
        <v>82.260728744939271</v>
      </c>
      <c r="AY134" s="24"/>
      <c r="AZ134" s="24"/>
      <c r="BA134" s="24"/>
      <c r="BB134" s="24">
        <f t="shared" ref="BB134:BB197" si="71">+AZ134*BA134</f>
        <v>0</v>
      </c>
      <c r="BC134" s="24">
        <f t="shared" ref="BC134:BC197" si="72">+AD134-AF134-AG134-AH134-AI134-AJ134-AK134-AW134-AY134-BB134-AL134</f>
        <v>3286.2000000000007</v>
      </c>
      <c r="BD134" s="24">
        <v>200</v>
      </c>
      <c r="BE134" s="24">
        <v>200</v>
      </c>
      <c r="BF134" s="24"/>
      <c r="BG134" s="24">
        <f>+AD134*9.5%</f>
        <v>1759.875</v>
      </c>
      <c r="BH134" s="24"/>
      <c r="BI134" s="24"/>
      <c r="BJ134" s="24">
        <f t="shared" ref="BJ134:BJ197" si="73">+(+BF134+BG134+BH134+BI134)*1%</f>
        <v>17.598749999999999</v>
      </c>
      <c r="BK134" s="24">
        <f t="shared" ref="BK134:BK197" si="74">+BC134+BD134+BE134+BF134+BG134+BH134+BI134-BJ134</f>
        <v>5428.4762500000006</v>
      </c>
      <c r="BL134" s="24" t="s">
        <v>232</v>
      </c>
      <c r="BM134" s="42">
        <f t="shared" si="65"/>
        <v>2</v>
      </c>
      <c r="BN134" s="24" t="s">
        <v>83</v>
      </c>
      <c r="BO134" s="2" t="s">
        <v>500</v>
      </c>
    </row>
    <row r="135" spans="1:67" s="1" customFormat="1" ht="15" customHeight="1" x14ac:dyDescent="0.3">
      <c r="A135" s="20">
        <v>131</v>
      </c>
      <c r="B135" s="21">
        <v>46091</v>
      </c>
      <c r="C135" s="21">
        <v>46097</v>
      </c>
      <c r="D135" s="55" t="s">
        <v>111</v>
      </c>
      <c r="E135" s="23">
        <v>46097</v>
      </c>
      <c r="F135" s="23" t="s">
        <v>7</v>
      </c>
      <c r="G135" s="24" t="s">
        <v>87</v>
      </c>
      <c r="H135" s="24" t="s">
        <v>69</v>
      </c>
      <c r="I135" s="24" t="s">
        <v>88</v>
      </c>
      <c r="J135" s="25" t="s">
        <v>278</v>
      </c>
      <c r="K135" s="45" t="str">
        <f t="shared" si="66"/>
        <v>WB67A4475</v>
      </c>
      <c r="L135" s="26">
        <v>46092</v>
      </c>
      <c r="M135" s="34" t="s">
        <v>870</v>
      </c>
      <c r="N135" s="27" t="s">
        <v>871</v>
      </c>
      <c r="O135" s="28">
        <v>0</v>
      </c>
      <c r="P135" s="27"/>
      <c r="Q135" s="29">
        <v>2525358659</v>
      </c>
      <c r="R135" s="30">
        <v>2110804545</v>
      </c>
      <c r="S135" s="31" t="s">
        <v>73</v>
      </c>
      <c r="T135" s="24" t="s">
        <v>91</v>
      </c>
      <c r="U135" s="24" t="s">
        <v>75</v>
      </c>
      <c r="V135" s="32" t="s">
        <v>483</v>
      </c>
      <c r="W135" s="32" t="s">
        <v>872</v>
      </c>
      <c r="X135" s="32"/>
      <c r="Y135" s="24">
        <v>1063</v>
      </c>
      <c r="Z135" s="24">
        <v>25</v>
      </c>
      <c r="AA135" s="24">
        <f t="shared" si="67"/>
        <v>1009.85</v>
      </c>
      <c r="AB135" s="24">
        <f t="shared" si="60"/>
        <v>26575</v>
      </c>
      <c r="AC135" s="24">
        <f t="shared" si="61"/>
        <v>25246.25</v>
      </c>
      <c r="AD135" s="24">
        <f t="shared" si="62"/>
        <v>25246.25</v>
      </c>
      <c r="AE135" s="24">
        <f t="shared" si="63"/>
        <v>1328.75</v>
      </c>
      <c r="AF135" s="24">
        <v>0</v>
      </c>
      <c r="AG135" s="33">
        <v>4000</v>
      </c>
      <c r="AH135" s="24"/>
      <c r="AI135" s="24"/>
      <c r="AJ135" s="24"/>
      <c r="AK135" s="24"/>
      <c r="AL135" s="24"/>
      <c r="AM135" s="24" t="s">
        <v>79</v>
      </c>
      <c r="AN135" s="34" t="s">
        <v>873</v>
      </c>
      <c r="AO135" s="35" t="s">
        <v>81</v>
      </c>
      <c r="AP135" s="24">
        <f>258*2</f>
        <v>516</v>
      </c>
      <c r="AQ135" s="36">
        <f t="shared" si="68"/>
        <v>158.76923076923077</v>
      </c>
      <c r="AR135" s="37">
        <v>145</v>
      </c>
      <c r="AS135" s="38">
        <f t="shared" si="69"/>
        <v>-13.769230769230774</v>
      </c>
      <c r="AT135" s="39"/>
      <c r="AU135" s="38">
        <f t="shared" si="70"/>
        <v>-13.769230769230774</v>
      </c>
      <c r="AV135" s="40">
        <v>91.99</v>
      </c>
      <c r="AW135" s="41">
        <f t="shared" si="64"/>
        <v>13338.55</v>
      </c>
      <c r="AX135" s="24">
        <f t="shared" si="49"/>
        <v>68.677724414517002</v>
      </c>
      <c r="AY135" s="24"/>
      <c r="AZ135" s="24"/>
      <c r="BA135" s="24"/>
      <c r="BB135" s="24">
        <f t="shared" si="71"/>
        <v>0</v>
      </c>
      <c r="BC135" s="24">
        <f t="shared" si="72"/>
        <v>7907.7000000000007</v>
      </c>
      <c r="BD135" s="24"/>
      <c r="BE135" s="24"/>
      <c r="BF135" s="24"/>
      <c r="BG135" s="24">
        <f>+AB135*9.5%</f>
        <v>2524.625</v>
      </c>
      <c r="BH135" s="24"/>
      <c r="BI135" s="24"/>
      <c r="BJ135" s="24">
        <f t="shared" si="73"/>
        <v>25.24625</v>
      </c>
      <c r="BK135" s="24">
        <f t="shared" si="74"/>
        <v>10407.078750000001</v>
      </c>
      <c r="BL135" s="24" t="s">
        <v>283</v>
      </c>
      <c r="BM135" s="42">
        <f t="shared" si="65"/>
        <v>2</v>
      </c>
      <c r="BN135" s="24" t="s">
        <v>83</v>
      </c>
      <c r="BO135" s="2" t="s">
        <v>84</v>
      </c>
    </row>
    <row r="136" spans="1:67" s="1" customFormat="1" ht="15" customHeight="1" x14ac:dyDescent="0.3">
      <c r="A136" s="20">
        <v>132</v>
      </c>
      <c r="B136" s="21">
        <v>46091</v>
      </c>
      <c r="C136" s="21">
        <v>46118</v>
      </c>
      <c r="D136" s="50" t="s">
        <v>553</v>
      </c>
      <c r="E136" s="23">
        <v>46120</v>
      </c>
      <c r="F136" s="23" t="s">
        <v>7</v>
      </c>
      <c r="G136" s="24" t="s">
        <v>68</v>
      </c>
      <c r="H136" s="24" t="s">
        <v>69</v>
      </c>
      <c r="I136" s="24" t="s">
        <v>70</v>
      </c>
      <c r="J136" s="25" t="s">
        <v>287</v>
      </c>
      <c r="K136" s="45" t="str">
        <f t="shared" si="66"/>
        <v>WB39B1080</v>
      </c>
      <c r="L136" s="26">
        <v>46093</v>
      </c>
      <c r="M136" s="34" t="s">
        <v>874</v>
      </c>
      <c r="N136" s="27" t="s">
        <v>875</v>
      </c>
      <c r="O136" s="28">
        <v>0</v>
      </c>
      <c r="P136" s="27" t="s">
        <v>876</v>
      </c>
      <c r="Q136" s="29">
        <v>2525358662</v>
      </c>
      <c r="R136" s="30">
        <v>2110804920</v>
      </c>
      <c r="S136" s="31" t="s">
        <v>73</v>
      </c>
      <c r="T136" s="24" t="s">
        <v>91</v>
      </c>
      <c r="U136" s="24" t="s">
        <v>75</v>
      </c>
      <c r="V136" s="32" t="s">
        <v>491</v>
      </c>
      <c r="W136" s="32" t="s">
        <v>492</v>
      </c>
      <c r="X136" s="32"/>
      <c r="Y136" s="24">
        <v>1047</v>
      </c>
      <c r="Z136" s="24">
        <v>25</v>
      </c>
      <c r="AA136" s="24">
        <f t="shared" si="67"/>
        <v>994.65000000000009</v>
      </c>
      <c r="AB136" s="61">
        <f t="shared" si="60"/>
        <v>26175</v>
      </c>
      <c r="AC136" s="24">
        <f t="shared" si="61"/>
        <v>24866.25</v>
      </c>
      <c r="AD136" s="24">
        <f t="shared" si="62"/>
        <v>24866.250000000004</v>
      </c>
      <c r="AE136" s="24">
        <f t="shared" si="63"/>
        <v>1308.7499999999964</v>
      </c>
      <c r="AF136" s="24">
        <f t="shared" si="59"/>
        <v>248.66250000000005</v>
      </c>
      <c r="AG136" s="33">
        <v>4500</v>
      </c>
      <c r="AH136" s="24"/>
      <c r="AI136" s="24"/>
      <c r="AJ136" s="24"/>
      <c r="AK136" s="24">
        <v>115</v>
      </c>
      <c r="AL136" s="24"/>
      <c r="AM136" s="24" t="s">
        <v>79</v>
      </c>
      <c r="AN136" s="34" t="s">
        <v>877</v>
      </c>
      <c r="AO136" s="35" t="s">
        <v>81</v>
      </c>
      <c r="AP136" s="24">
        <f>240*2</f>
        <v>480</v>
      </c>
      <c r="AQ136" s="36">
        <f t="shared" si="68"/>
        <v>147.69230769230768</v>
      </c>
      <c r="AR136" s="37">
        <v>165</v>
      </c>
      <c r="AS136" s="38">
        <f t="shared" si="69"/>
        <v>17.307692307692321</v>
      </c>
      <c r="AT136" s="39"/>
      <c r="AU136" s="38">
        <f t="shared" si="70"/>
        <v>17.307692307692321</v>
      </c>
      <c r="AV136" s="40">
        <v>91.99</v>
      </c>
      <c r="AW136" s="41">
        <f t="shared" si="64"/>
        <v>15178.349999999999</v>
      </c>
      <c r="AX136" s="24">
        <f t="shared" si="49"/>
        <v>79.136781782536559</v>
      </c>
      <c r="AY136" s="24"/>
      <c r="AZ136" s="24"/>
      <c r="BA136" s="24"/>
      <c r="BB136" s="24">
        <f t="shared" si="71"/>
        <v>0</v>
      </c>
      <c r="BC136" s="24">
        <f t="shared" si="72"/>
        <v>4824.2375000000065</v>
      </c>
      <c r="BD136" s="24"/>
      <c r="BE136" s="24"/>
      <c r="BF136" s="24"/>
      <c r="BG136" s="24">
        <f>+AD136*9.5%</f>
        <v>2362.2937500000003</v>
      </c>
      <c r="BH136" s="24"/>
      <c r="BI136" s="24"/>
      <c r="BJ136" s="24">
        <f t="shared" si="73"/>
        <v>23.622937500000003</v>
      </c>
      <c r="BK136" s="24">
        <f t="shared" si="74"/>
        <v>7162.908312500007</v>
      </c>
      <c r="BL136" s="24" t="s">
        <v>292</v>
      </c>
      <c r="BM136" s="42">
        <f t="shared" si="65"/>
        <v>3</v>
      </c>
      <c r="BN136" s="24" t="s">
        <v>139</v>
      </c>
      <c r="BO136" s="2" t="s">
        <v>148</v>
      </c>
    </row>
    <row r="137" spans="1:67" s="1" customFormat="1" ht="15" customHeight="1" x14ac:dyDescent="0.3">
      <c r="A137" s="20">
        <v>133</v>
      </c>
      <c r="B137" s="21">
        <v>46091</v>
      </c>
      <c r="C137" s="21">
        <v>46097</v>
      </c>
      <c r="D137" s="52" t="s">
        <v>97</v>
      </c>
      <c r="E137" s="23">
        <v>46104</v>
      </c>
      <c r="F137" s="23" t="s">
        <v>7</v>
      </c>
      <c r="G137" s="24" t="s">
        <v>87</v>
      </c>
      <c r="H137" s="24" t="s">
        <v>69</v>
      </c>
      <c r="I137" s="24" t="s">
        <v>389</v>
      </c>
      <c r="J137" s="25" t="s">
        <v>372</v>
      </c>
      <c r="K137" s="45" t="str">
        <f t="shared" si="66"/>
        <v>WB39G7433</v>
      </c>
      <c r="L137" s="26">
        <v>46092</v>
      </c>
      <c r="M137" s="34" t="s">
        <v>878</v>
      </c>
      <c r="N137" s="27" t="s">
        <v>879</v>
      </c>
      <c r="O137" s="28">
        <v>0</v>
      </c>
      <c r="P137" s="27"/>
      <c r="Q137" s="29">
        <v>2525358692</v>
      </c>
      <c r="R137" s="30">
        <v>2110804552</v>
      </c>
      <c r="S137" s="54" t="s">
        <v>73</v>
      </c>
      <c r="T137" s="24" t="s">
        <v>91</v>
      </c>
      <c r="U137" s="24" t="s">
        <v>75</v>
      </c>
      <c r="V137" s="32" t="s">
        <v>880</v>
      </c>
      <c r="W137" s="32" t="s">
        <v>881</v>
      </c>
      <c r="X137" s="32" t="s">
        <v>882</v>
      </c>
      <c r="Y137" s="24">
        <v>855</v>
      </c>
      <c r="Z137" s="24">
        <v>25</v>
      </c>
      <c r="AA137" s="24">
        <f t="shared" si="67"/>
        <v>812.25000000000011</v>
      </c>
      <c r="AB137" s="24">
        <f t="shared" si="60"/>
        <v>21375</v>
      </c>
      <c r="AC137" s="24">
        <f t="shared" si="61"/>
        <v>20306.25</v>
      </c>
      <c r="AD137" s="24">
        <f t="shared" si="62"/>
        <v>20306.250000000004</v>
      </c>
      <c r="AE137" s="24">
        <f t="shared" si="63"/>
        <v>1068.7499999999964</v>
      </c>
      <c r="AF137" s="24">
        <f>+AD137*1%</f>
        <v>203.06250000000003</v>
      </c>
      <c r="AG137" s="33">
        <v>3700</v>
      </c>
      <c r="AH137" s="24"/>
      <c r="AI137" s="24"/>
      <c r="AJ137" s="24"/>
      <c r="AK137" s="24"/>
      <c r="AL137" s="24"/>
      <c r="AM137" s="24" t="s">
        <v>79</v>
      </c>
      <c r="AN137" s="34" t="s">
        <v>883</v>
      </c>
      <c r="AO137" s="35" t="s">
        <v>81</v>
      </c>
      <c r="AP137" s="24">
        <f>219*2</f>
        <v>438</v>
      </c>
      <c r="AQ137" s="36">
        <f t="shared" si="68"/>
        <v>134.76923076923077</v>
      </c>
      <c r="AR137" s="37">
        <v>135</v>
      </c>
      <c r="AS137" s="38">
        <f t="shared" si="69"/>
        <v>0.2307692307692264</v>
      </c>
      <c r="AT137" s="39"/>
      <c r="AU137" s="38">
        <f t="shared" si="70"/>
        <v>0.2307692307692264</v>
      </c>
      <c r="AV137" s="40">
        <v>91.99</v>
      </c>
      <c r="AW137" s="41">
        <f t="shared" si="64"/>
        <v>12418.65</v>
      </c>
      <c r="AX137" s="24">
        <f t="shared" si="49"/>
        <v>79.377777777777752</v>
      </c>
      <c r="AY137" s="24"/>
      <c r="AZ137" s="24"/>
      <c r="BA137" s="24"/>
      <c r="BB137" s="24">
        <f t="shared" si="71"/>
        <v>0</v>
      </c>
      <c r="BC137" s="24">
        <f t="shared" si="72"/>
        <v>3984.537500000004</v>
      </c>
      <c r="BD137" s="24"/>
      <c r="BE137" s="24"/>
      <c r="BF137" s="24"/>
      <c r="BG137" s="24">
        <f>+AB137*9.5%</f>
        <v>2030.625</v>
      </c>
      <c r="BH137" s="24"/>
      <c r="BI137" s="24"/>
      <c r="BJ137" s="24">
        <f t="shared" si="73"/>
        <v>20.306250000000002</v>
      </c>
      <c r="BK137" s="24">
        <f t="shared" si="74"/>
        <v>5994.8562500000044</v>
      </c>
      <c r="BL137" s="24" t="s">
        <v>379</v>
      </c>
      <c r="BM137" s="42">
        <f t="shared" si="65"/>
        <v>2</v>
      </c>
      <c r="BN137" s="24" t="s">
        <v>83</v>
      </c>
      <c r="BO137" s="2" t="s">
        <v>84</v>
      </c>
    </row>
    <row r="138" spans="1:67" s="1" customFormat="1" ht="15" customHeight="1" x14ac:dyDescent="0.3">
      <c r="A138" s="20">
        <v>134</v>
      </c>
      <c r="B138" s="21">
        <v>46091</v>
      </c>
      <c r="C138" s="21">
        <v>46097</v>
      </c>
      <c r="D138" s="50" t="s">
        <v>884</v>
      </c>
      <c r="E138" s="23">
        <v>46097</v>
      </c>
      <c r="F138" s="23" t="s">
        <v>7</v>
      </c>
      <c r="G138" s="24" t="s">
        <v>68</v>
      </c>
      <c r="H138" s="24" t="s">
        <v>69</v>
      </c>
      <c r="I138" s="24" t="s">
        <v>141</v>
      </c>
      <c r="J138" s="25" t="s">
        <v>246</v>
      </c>
      <c r="K138" s="45" t="str">
        <f t="shared" si="66"/>
        <v>WB41F4393</v>
      </c>
      <c r="L138" s="26">
        <v>46092</v>
      </c>
      <c r="M138" s="34" t="s">
        <v>885</v>
      </c>
      <c r="N138" s="27" t="s">
        <v>886</v>
      </c>
      <c r="O138" s="28">
        <v>0</v>
      </c>
      <c r="P138" s="27" t="s">
        <v>887</v>
      </c>
      <c r="Q138" s="29">
        <v>2525358725</v>
      </c>
      <c r="R138" s="30">
        <v>2110805010</v>
      </c>
      <c r="S138" s="31" t="s">
        <v>73</v>
      </c>
      <c r="T138" s="24" t="s">
        <v>91</v>
      </c>
      <c r="U138" s="24" t="s">
        <v>75</v>
      </c>
      <c r="V138" s="32" t="s">
        <v>888</v>
      </c>
      <c r="W138" s="32" t="s">
        <v>889</v>
      </c>
      <c r="X138" s="32"/>
      <c r="Y138" s="24">
        <v>853</v>
      </c>
      <c r="Z138" s="24">
        <v>25</v>
      </c>
      <c r="AA138" s="24">
        <f t="shared" si="67"/>
        <v>810.34999999999991</v>
      </c>
      <c r="AB138" s="24">
        <f t="shared" si="60"/>
        <v>21325</v>
      </c>
      <c r="AC138" s="24">
        <f t="shared" si="61"/>
        <v>20258.75</v>
      </c>
      <c r="AD138" s="24">
        <f t="shared" si="62"/>
        <v>20258.749999999996</v>
      </c>
      <c r="AE138" s="24">
        <f t="shared" si="63"/>
        <v>1066.2500000000036</v>
      </c>
      <c r="AF138" s="24">
        <f t="shared" si="59"/>
        <v>202.58749999999998</v>
      </c>
      <c r="AG138" s="33">
        <v>4050</v>
      </c>
      <c r="AH138" s="24"/>
      <c r="AI138" s="24"/>
      <c r="AJ138" s="24"/>
      <c r="AK138" s="24"/>
      <c r="AL138" s="24"/>
      <c r="AM138" s="24" t="s">
        <v>79</v>
      </c>
      <c r="AN138" s="34" t="s">
        <v>890</v>
      </c>
      <c r="AO138" s="35" t="s">
        <v>81</v>
      </c>
      <c r="AP138" s="24">
        <f>186*2</f>
        <v>372</v>
      </c>
      <c r="AQ138" s="36">
        <f t="shared" si="68"/>
        <v>114.46153846153847</v>
      </c>
      <c r="AR138" s="37">
        <f>5+110</f>
        <v>115</v>
      </c>
      <c r="AS138" s="38">
        <f t="shared" si="69"/>
        <v>0.538461538461533</v>
      </c>
      <c r="AT138" s="39"/>
      <c r="AU138" s="38">
        <f t="shared" si="70"/>
        <v>0.538461538461533</v>
      </c>
      <c r="AV138" s="40">
        <v>91.99</v>
      </c>
      <c r="AW138" s="41">
        <f t="shared" si="64"/>
        <v>10578.849999999999</v>
      </c>
      <c r="AX138" s="24">
        <f t="shared" si="49"/>
        <v>72.210032701918919</v>
      </c>
      <c r="AY138" s="24"/>
      <c r="AZ138" s="24"/>
      <c r="BA138" s="24"/>
      <c r="BB138" s="24">
        <f t="shared" si="71"/>
        <v>0</v>
      </c>
      <c r="BC138" s="24">
        <f t="shared" si="72"/>
        <v>5427.3124999999964</v>
      </c>
      <c r="BD138" s="24"/>
      <c r="BE138" s="24"/>
      <c r="BF138" s="24"/>
      <c r="BG138" s="24">
        <f>+AB138*9.5%</f>
        <v>2025.875</v>
      </c>
      <c r="BH138" s="24"/>
      <c r="BI138" s="24"/>
      <c r="BJ138" s="24">
        <f t="shared" si="73"/>
        <v>20.258749999999999</v>
      </c>
      <c r="BK138" s="24">
        <f t="shared" si="74"/>
        <v>7432.9287499999964</v>
      </c>
      <c r="BL138" s="24" t="s">
        <v>253</v>
      </c>
      <c r="BM138" s="42">
        <f t="shared" si="65"/>
        <v>2</v>
      </c>
      <c r="BN138" s="24" t="s">
        <v>83</v>
      </c>
      <c r="BO138" s="2" t="s">
        <v>148</v>
      </c>
    </row>
    <row r="139" spans="1:67" s="1" customFormat="1" ht="15" customHeight="1" x14ac:dyDescent="0.3">
      <c r="A139" s="20">
        <v>135</v>
      </c>
      <c r="B139" s="21">
        <v>46091</v>
      </c>
      <c r="C139" s="21">
        <v>46097</v>
      </c>
      <c r="D139" s="50" t="s">
        <v>343</v>
      </c>
      <c r="E139" s="23">
        <v>46097</v>
      </c>
      <c r="F139" s="23" t="s">
        <v>7</v>
      </c>
      <c r="G139" s="24" t="s">
        <v>68</v>
      </c>
      <c r="H139" s="24" t="s">
        <v>69</v>
      </c>
      <c r="I139" s="24" t="s">
        <v>389</v>
      </c>
      <c r="J139" s="25" t="s">
        <v>390</v>
      </c>
      <c r="K139" s="45" t="str">
        <f t="shared" si="66"/>
        <v>WB39G6846</v>
      </c>
      <c r="L139" s="26">
        <v>46092</v>
      </c>
      <c r="M139" s="34" t="s">
        <v>891</v>
      </c>
      <c r="N139" s="27" t="s">
        <v>892</v>
      </c>
      <c r="O139" s="28">
        <v>0</v>
      </c>
      <c r="P139" s="64" t="s">
        <v>893</v>
      </c>
      <c r="Q139" s="29">
        <v>2590196328</v>
      </c>
      <c r="R139" s="30">
        <v>2160374395</v>
      </c>
      <c r="S139" s="31" t="s">
        <v>73</v>
      </c>
      <c r="T139" s="24" t="s">
        <v>91</v>
      </c>
      <c r="U139" s="24" t="s">
        <v>347</v>
      </c>
      <c r="V139" s="32" t="s">
        <v>811</v>
      </c>
      <c r="W139" s="32" t="s">
        <v>349</v>
      </c>
      <c r="X139" s="32" t="s">
        <v>894</v>
      </c>
      <c r="Y139" s="24">
        <v>809</v>
      </c>
      <c r="Z139" s="24">
        <v>25</v>
      </c>
      <c r="AA139" s="24">
        <f t="shared" si="67"/>
        <v>768.55</v>
      </c>
      <c r="AB139" s="24">
        <f t="shared" si="60"/>
        <v>20225</v>
      </c>
      <c r="AC139" s="24">
        <f t="shared" si="61"/>
        <v>19213.75</v>
      </c>
      <c r="AD139" s="24">
        <f t="shared" si="62"/>
        <v>19213.75</v>
      </c>
      <c r="AE139" s="24">
        <f t="shared" si="63"/>
        <v>1011.25</v>
      </c>
      <c r="AF139" s="24">
        <v>0</v>
      </c>
      <c r="AG139" s="33">
        <v>4000</v>
      </c>
      <c r="AH139" s="24"/>
      <c r="AI139" s="24"/>
      <c r="AJ139" s="24"/>
      <c r="AK139" s="24"/>
      <c r="AL139" s="24"/>
      <c r="AM139" s="24" t="s">
        <v>79</v>
      </c>
      <c r="AN139" s="34" t="s">
        <v>895</v>
      </c>
      <c r="AO139" s="35" t="s">
        <v>81</v>
      </c>
      <c r="AP139" s="24">
        <f>152*2</f>
        <v>304</v>
      </c>
      <c r="AQ139" s="36">
        <f t="shared" si="68"/>
        <v>93.538461538461533</v>
      </c>
      <c r="AR139" s="37">
        <v>100</v>
      </c>
      <c r="AS139" s="38">
        <f t="shared" si="69"/>
        <v>6.461538461538467</v>
      </c>
      <c r="AT139" s="39"/>
      <c r="AU139" s="38">
        <f t="shared" si="70"/>
        <v>6.461538461538467</v>
      </c>
      <c r="AV139" s="40">
        <v>91.99</v>
      </c>
      <c r="AW139" s="41">
        <f t="shared" si="64"/>
        <v>9199</v>
      </c>
      <c r="AX139" s="24">
        <f t="shared" si="49"/>
        <v>68.695595602107858</v>
      </c>
      <c r="AY139" s="24"/>
      <c r="AZ139" s="24">
        <v>2</v>
      </c>
      <c r="BA139" s="24">
        <v>476</v>
      </c>
      <c r="BB139" s="65">
        <f t="shared" si="71"/>
        <v>952</v>
      </c>
      <c r="BC139" s="24">
        <f t="shared" si="72"/>
        <v>5062.75</v>
      </c>
      <c r="BD139" s="24">
        <v>750</v>
      </c>
      <c r="BE139" s="24"/>
      <c r="BF139" s="24"/>
      <c r="BG139" s="24">
        <v>0</v>
      </c>
      <c r="BH139" s="24"/>
      <c r="BI139" s="24"/>
      <c r="BJ139" s="24">
        <f t="shared" si="73"/>
        <v>0</v>
      </c>
      <c r="BK139" s="24">
        <f t="shared" si="74"/>
        <v>5812.75</v>
      </c>
      <c r="BL139" s="24" t="s">
        <v>116</v>
      </c>
      <c r="BM139" s="42">
        <f t="shared" si="65"/>
        <v>2</v>
      </c>
      <c r="BN139" s="24" t="s">
        <v>83</v>
      </c>
      <c r="BO139" s="2" t="s">
        <v>500</v>
      </c>
    </row>
    <row r="140" spans="1:67" s="1" customFormat="1" ht="15" customHeight="1" x14ac:dyDescent="0.3">
      <c r="A140" s="20">
        <v>136</v>
      </c>
      <c r="B140" s="21">
        <v>46091</v>
      </c>
      <c r="C140" s="21">
        <v>46097</v>
      </c>
      <c r="D140" s="50" t="s">
        <v>380</v>
      </c>
      <c r="E140" s="23">
        <v>46097</v>
      </c>
      <c r="F140" s="23" t="s">
        <v>7</v>
      </c>
      <c r="G140" s="24" t="s">
        <v>68</v>
      </c>
      <c r="H140" s="24" t="s">
        <v>69</v>
      </c>
      <c r="I140" s="24" t="s">
        <v>236</v>
      </c>
      <c r="J140" s="25" t="s">
        <v>237</v>
      </c>
      <c r="K140" s="45" t="str">
        <f t="shared" si="66"/>
        <v>WB41J9798</v>
      </c>
      <c r="L140" s="26">
        <v>46092</v>
      </c>
      <c r="M140" s="34" t="s">
        <v>896</v>
      </c>
      <c r="N140" s="27" t="s">
        <v>897</v>
      </c>
      <c r="O140" s="28">
        <v>0</v>
      </c>
      <c r="P140" s="27" t="s">
        <v>898</v>
      </c>
      <c r="Q140" s="29">
        <v>2590196319</v>
      </c>
      <c r="R140" s="30">
        <v>2160374374</v>
      </c>
      <c r="S140" s="31" t="s">
        <v>73</v>
      </c>
      <c r="T140" s="24" t="s">
        <v>241</v>
      </c>
      <c r="U140" s="24" t="s">
        <v>347</v>
      </c>
      <c r="V140" s="32" t="s">
        <v>386</v>
      </c>
      <c r="W140" s="32" t="s">
        <v>349</v>
      </c>
      <c r="X140" s="32"/>
      <c r="Y140" s="24">
        <v>1002</v>
      </c>
      <c r="Z140" s="24">
        <v>30</v>
      </c>
      <c r="AA140" s="24">
        <f t="shared" si="67"/>
        <v>951.9</v>
      </c>
      <c r="AB140" s="24">
        <f t="shared" si="60"/>
        <v>30060</v>
      </c>
      <c r="AC140" s="24">
        <f t="shared" si="61"/>
        <v>28557.000000000004</v>
      </c>
      <c r="AD140" s="24">
        <f t="shared" si="62"/>
        <v>28557</v>
      </c>
      <c r="AE140" s="24">
        <f t="shared" si="63"/>
        <v>1503</v>
      </c>
      <c r="AF140" s="24">
        <v>0</v>
      </c>
      <c r="AG140" s="33">
        <v>4000</v>
      </c>
      <c r="AH140" s="24"/>
      <c r="AI140" s="24"/>
      <c r="AJ140" s="24"/>
      <c r="AK140" s="24">
        <v>115</v>
      </c>
      <c r="AL140" s="24"/>
      <c r="AM140" s="24" t="s">
        <v>79</v>
      </c>
      <c r="AN140" s="34" t="s">
        <v>899</v>
      </c>
      <c r="AO140" s="35" t="s">
        <v>81</v>
      </c>
      <c r="AP140" s="24">
        <f>269*2</f>
        <v>538</v>
      </c>
      <c r="AQ140" s="36">
        <f t="shared" si="68"/>
        <v>165.53846153846155</v>
      </c>
      <c r="AR140" s="37">
        <v>185</v>
      </c>
      <c r="AS140" s="38">
        <f t="shared" si="69"/>
        <v>19.461538461538453</v>
      </c>
      <c r="AT140" s="39"/>
      <c r="AU140" s="38">
        <f t="shared" si="70"/>
        <v>19.461538461538453</v>
      </c>
      <c r="AV140" s="40">
        <v>91.99</v>
      </c>
      <c r="AW140" s="41">
        <f t="shared" si="64"/>
        <v>17018.149999999998</v>
      </c>
      <c r="AX140" s="24">
        <f t="shared" si="49"/>
        <v>73.60069335014181</v>
      </c>
      <c r="AY140" s="24"/>
      <c r="AZ140" s="24"/>
      <c r="BA140" s="24"/>
      <c r="BB140" s="24">
        <f t="shared" si="71"/>
        <v>0</v>
      </c>
      <c r="BC140" s="24">
        <f t="shared" si="72"/>
        <v>7423.8500000000022</v>
      </c>
      <c r="BD140" s="24"/>
      <c r="BE140" s="24"/>
      <c r="BF140" s="24"/>
      <c r="BG140" s="24">
        <f t="shared" ref="BG140:BG151" si="75">+AB140*9.5%</f>
        <v>2855.7</v>
      </c>
      <c r="BH140" s="24"/>
      <c r="BI140" s="24"/>
      <c r="BJ140" s="24">
        <f t="shared" si="73"/>
        <v>28.556999999999999</v>
      </c>
      <c r="BK140" s="24">
        <f t="shared" si="74"/>
        <v>10250.993000000002</v>
      </c>
      <c r="BL140" s="24" t="s">
        <v>245</v>
      </c>
      <c r="BM140" s="42">
        <f t="shared" si="65"/>
        <v>2</v>
      </c>
      <c r="BN140" s="24" t="s">
        <v>83</v>
      </c>
      <c r="BO140" s="2" t="s">
        <v>148</v>
      </c>
    </row>
    <row r="141" spans="1:67" s="1" customFormat="1" ht="15" customHeight="1" x14ac:dyDescent="0.3">
      <c r="A141" s="20">
        <v>137</v>
      </c>
      <c r="B141" s="21">
        <v>46091</v>
      </c>
      <c r="C141" s="21">
        <v>46097</v>
      </c>
      <c r="D141" s="50" t="s">
        <v>380</v>
      </c>
      <c r="E141" s="23">
        <v>46097</v>
      </c>
      <c r="F141" s="23" t="s">
        <v>7</v>
      </c>
      <c r="G141" s="24" t="s">
        <v>68</v>
      </c>
      <c r="H141" s="24" t="s">
        <v>69</v>
      </c>
      <c r="I141" s="24" t="s">
        <v>513</v>
      </c>
      <c r="J141" s="25" t="s">
        <v>514</v>
      </c>
      <c r="K141" s="45" t="str">
        <f t="shared" si="66"/>
        <v>WB67B3669</v>
      </c>
      <c r="L141" s="26">
        <v>46092</v>
      </c>
      <c r="M141" s="34" t="s">
        <v>900</v>
      </c>
      <c r="N141" s="27" t="s">
        <v>901</v>
      </c>
      <c r="O141" s="28">
        <v>0</v>
      </c>
      <c r="P141" s="27" t="s">
        <v>902</v>
      </c>
      <c r="Q141" s="29">
        <v>2590196326</v>
      </c>
      <c r="R141" s="30">
        <v>2160374390</v>
      </c>
      <c r="S141" s="31" t="s">
        <v>73</v>
      </c>
      <c r="T141" s="24" t="s">
        <v>241</v>
      </c>
      <c r="U141" s="24" t="s">
        <v>347</v>
      </c>
      <c r="V141" s="32" t="s">
        <v>903</v>
      </c>
      <c r="W141" s="32" t="s">
        <v>349</v>
      </c>
      <c r="X141" s="32"/>
      <c r="Y141" s="24">
        <v>845</v>
      </c>
      <c r="Z141" s="24">
        <v>30</v>
      </c>
      <c r="AA141" s="24">
        <f t="shared" si="67"/>
        <v>802.74999999999989</v>
      </c>
      <c r="AB141" s="24">
        <f t="shared" si="60"/>
        <v>25350</v>
      </c>
      <c r="AC141" s="24">
        <f t="shared" si="61"/>
        <v>24082.5</v>
      </c>
      <c r="AD141" s="24">
        <f t="shared" si="62"/>
        <v>24082.499999999996</v>
      </c>
      <c r="AE141" s="24">
        <f t="shared" si="63"/>
        <v>1267.5000000000036</v>
      </c>
      <c r="AF141" s="24">
        <v>0</v>
      </c>
      <c r="AG141" s="33">
        <v>4000</v>
      </c>
      <c r="AH141" s="24"/>
      <c r="AI141" s="24"/>
      <c r="AJ141" s="24"/>
      <c r="AK141" s="24"/>
      <c r="AL141" s="24"/>
      <c r="AM141" s="24" t="s">
        <v>79</v>
      </c>
      <c r="AN141" s="34" t="s">
        <v>904</v>
      </c>
      <c r="AO141" s="35" t="s">
        <v>81</v>
      </c>
      <c r="AP141" s="24">
        <f>162*2</f>
        <v>324</v>
      </c>
      <c r="AQ141" s="36">
        <f t="shared" si="68"/>
        <v>99.692307692307693</v>
      </c>
      <c r="AR141" s="37">
        <v>240.01</v>
      </c>
      <c r="AS141" s="38">
        <f t="shared" si="69"/>
        <v>140.31769230769231</v>
      </c>
      <c r="AT141" s="39"/>
      <c r="AU141" s="38">
        <f t="shared" si="70"/>
        <v>140.31769230769231</v>
      </c>
      <c r="AV141" s="40">
        <v>91.99</v>
      </c>
      <c r="AW141" s="41">
        <f t="shared" si="64"/>
        <v>22078.519899999999</v>
      </c>
      <c r="AX141" s="24">
        <f t="shared" si="49"/>
        <v>108.28825869407248</v>
      </c>
      <c r="AY141" s="24"/>
      <c r="AZ141" s="24"/>
      <c r="BA141" s="24"/>
      <c r="BB141" s="24">
        <f t="shared" si="71"/>
        <v>0</v>
      </c>
      <c r="BC141" s="24">
        <f t="shared" si="72"/>
        <v>-1996.019900000003</v>
      </c>
      <c r="BD141" s="24"/>
      <c r="BE141" s="24"/>
      <c r="BF141" s="24"/>
      <c r="BG141" s="24">
        <f t="shared" si="75"/>
        <v>2408.25</v>
      </c>
      <c r="BH141" s="24"/>
      <c r="BI141" s="24"/>
      <c r="BJ141" s="24">
        <f t="shared" si="73"/>
        <v>24.0825</v>
      </c>
      <c r="BK141" s="24">
        <f t="shared" si="74"/>
        <v>388.14759999999706</v>
      </c>
      <c r="BL141" s="24" t="s">
        <v>173</v>
      </c>
      <c r="BM141" s="42">
        <f t="shared" si="65"/>
        <v>2</v>
      </c>
      <c r="BN141" s="24" t="s">
        <v>83</v>
      </c>
      <c r="BO141" s="2" t="s">
        <v>148</v>
      </c>
    </row>
    <row r="142" spans="1:67" s="1" customFormat="1" ht="15" customHeight="1" x14ac:dyDescent="0.3">
      <c r="A142" s="20">
        <v>138</v>
      </c>
      <c r="B142" s="21">
        <v>46091</v>
      </c>
      <c r="C142" s="21">
        <v>46097</v>
      </c>
      <c r="D142" s="52" t="s">
        <v>629</v>
      </c>
      <c r="E142" s="23">
        <v>46105</v>
      </c>
      <c r="F142" s="23" t="s">
        <v>7</v>
      </c>
      <c r="G142" s="24" t="s">
        <v>68</v>
      </c>
      <c r="H142" s="24" t="s">
        <v>69</v>
      </c>
      <c r="I142" s="24" t="s">
        <v>381</v>
      </c>
      <c r="J142" s="25" t="s">
        <v>382</v>
      </c>
      <c r="K142" s="45" t="str">
        <f t="shared" si="66"/>
        <v>WB41K2967</v>
      </c>
      <c r="L142" s="26">
        <v>46093</v>
      </c>
      <c r="M142" s="34" t="s">
        <v>905</v>
      </c>
      <c r="N142" s="27" t="s">
        <v>906</v>
      </c>
      <c r="O142" s="28">
        <v>0</v>
      </c>
      <c r="P142" s="27" t="s">
        <v>907</v>
      </c>
      <c r="Q142" s="29">
        <v>2525358807</v>
      </c>
      <c r="R142" s="30">
        <v>2110805114</v>
      </c>
      <c r="S142" s="54" t="s">
        <v>73</v>
      </c>
      <c r="T142" s="24" t="s">
        <v>241</v>
      </c>
      <c r="U142" s="24" t="s">
        <v>75</v>
      </c>
      <c r="V142" s="32" t="s">
        <v>908</v>
      </c>
      <c r="W142" s="32" t="s">
        <v>909</v>
      </c>
      <c r="X142" s="32" t="s">
        <v>910</v>
      </c>
      <c r="Y142" s="24">
        <v>1063</v>
      </c>
      <c r="Z142" s="24">
        <v>20</v>
      </c>
      <c r="AA142" s="24">
        <f t="shared" si="67"/>
        <v>1009.85</v>
      </c>
      <c r="AB142" s="24">
        <f t="shared" si="60"/>
        <v>21260</v>
      </c>
      <c r="AC142" s="24">
        <f t="shared" si="61"/>
        <v>20197</v>
      </c>
      <c r="AD142" s="24">
        <f t="shared" si="62"/>
        <v>20197</v>
      </c>
      <c r="AE142" s="24">
        <f t="shared" si="63"/>
        <v>1063</v>
      </c>
      <c r="AF142" s="24">
        <f t="shared" si="59"/>
        <v>201.97</v>
      </c>
      <c r="AG142" s="33">
        <v>3500</v>
      </c>
      <c r="AH142" s="24"/>
      <c r="AI142" s="24"/>
      <c r="AJ142" s="24"/>
      <c r="AK142" s="24">
        <v>115</v>
      </c>
      <c r="AL142" s="24"/>
      <c r="AM142" s="24" t="s">
        <v>79</v>
      </c>
      <c r="AN142" s="34" t="s">
        <v>911</v>
      </c>
      <c r="AO142" s="35" t="s">
        <v>81</v>
      </c>
      <c r="AP142" s="24">
        <f>251*2</f>
        <v>502</v>
      </c>
      <c r="AQ142" s="36">
        <f t="shared" si="68"/>
        <v>154.46153846153845</v>
      </c>
      <c r="AR142" s="37">
        <v>165</v>
      </c>
      <c r="AS142" s="38">
        <f t="shared" si="69"/>
        <v>10.538461538461547</v>
      </c>
      <c r="AT142" s="39"/>
      <c r="AU142" s="38">
        <f t="shared" si="70"/>
        <v>10.538461538461547</v>
      </c>
      <c r="AV142" s="40">
        <v>91.99</v>
      </c>
      <c r="AW142" s="41">
        <f t="shared" si="64"/>
        <v>15178.349999999999</v>
      </c>
      <c r="AX142" s="24">
        <f t="shared" si="49"/>
        <v>92.480813982274583</v>
      </c>
      <c r="AY142" s="24"/>
      <c r="AZ142" s="24"/>
      <c r="BA142" s="24"/>
      <c r="BB142" s="24">
        <f t="shared" si="71"/>
        <v>0</v>
      </c>
      <c r="BC142" s="24">
        <f t="shared" si="72"/>
        <v>1201.6800000000003</v>
      </c>
      <c r="BD142" s="24"/>
      <c r="BE142" s="24"/>
      <c r="BF142" s="24"/>
      <c r="BG142" s="24">
        <f t="shared" si="75"/>
        <v>2019.7</v>
      </c>
      <c r="BH142" s="24"/>
      <c r="BI142" s="24"/>
      <c r="BJ142" s="24">
        <f t="shared" si="73"/>
        <v>20.196999999999999</v>
      </c>
      <c r="BK142" s="24">
        <f t="shared" si="74"/>
        <v>3201.183</v>
      </c>
      <c r="BL142" s="24" t="s">
        <v>261</v>
      </c>
      <c r="BM142" s="42">
        <f t="shared" si="65"/>
        <v>3</v>
      </c>
      <c r="BN142" s="24" t="s">
        <v>139</v>
      </c>
      <c r="BO142" s="2" t="s">
        <v>148</v>
      </c>
    </row>
    <row r="143" spans="1:67" s="1" customFormat="1" ht="15" customHeight="1" x14ac:dyDescent="0.3">
      <c r="A143" s="20">
        <v>139</v>
      </c>
      <c r="B143" s="21">
        <v>46091</v>
      </c>
      <c r="C143" s="21">
        <v>46097</v>
      </c>
      <c r="D143" s="52" t="s">
        <v>629</v>
      </c>
      <c r="E143" s="23">
        <v>46105</v>
      </c>
      <c r="F143" s="23" t="s">
        <v>7</v>
      </c>
      <c r="G143" s="24" t="s">
        <v>68</v>
      </c>
      <c r="H143" s="24" t="s">
        <v>69</v>
      </c>
      <c r="I143" s="24" t="s">
        <v>381</v>
      </c>
      <c r="J143" s="25" t="s">
        <v>382</v>
      </c>
      <c r="K143" s="45" t="str">
        <f t="shared" si="66"/>
        <v>WB41K2967</v>
      </c>
      <c r="L143" s="26">
        <v>46093</v>
      </c>
      <c r="M143" s="34" t="s">
        <v>912</v>
      </c>
      <c r="N143" s="27" t="s">
        <v>913</v>
      </c>
      <c r="O143" s="28">
        <v>0</v>
      </c>
      <c r="P143" s="27" t="s">
        <v>914</v>
      </c>
      <c r="Q143" s="29">
        <v>2525358805</v>
      </c>
      <c r="R143" s="30">
        <v>2110805112</v>
      </c>
      <c r="S143" s="54" t="s">
        <v>73</v>
      </c>
      <c r="T143" s="24" t="s">
        <v>241</v>
      </c>
      <c r="U143" s="24" t="s">
        <v>75</v>
      </c>
      <c r="V143" s="32" t="s">
        <v>908</v>
      </c>
      <c r="W143" s="32" t="s">
        <v>909</v>
      </c>
      <c r="X143" s="32"/>
      <c r="Y143" s="24">
        <v>1063</v>
      </c>
      <c r="Z143" s="24">
        <v>10</v>
      </c>
      <c r="AA143" s="24">
        <f t="shared" si="67"/>
        <v>1009.85</v>
      </c>
      <c r="AB143" s="24">
        <f t="shared" si="60"/>
        <v>10630</v>
      </c>
      <c r="AC143" s="24">
        <f t="shared" si="61"/>
        <v>10098.5</v>
      </c>
      <c r="AD143" s="24">
        <f t="shared" si="62"/>
        <v>10098.5</v>
      </c>
      <c r="AE143" s="24">
        <f t="shared" si="63"/>
        <v>531.5</v>
      </c>
      <c r="AF143" s="24">
        <f t="shared" si="59"/>
        <v>100.985</v>
      </c>
      <c r="AG143" s="31"/>
      <c r="AH143" s="24"/>
      <c r="AI143" s="24"/>
      <c r="AJ143" s="24"/>
      <c r="AK143" s="24"/>
      <c r="AL143" s="24"/>
      <c r="AM143" s="24">
        <v>0</v>
      </c>
      <c r="AN143" s="34" t="s">
        <v>213</v>
      </c>
      <c r="AO143" s="35"/>
      <c r="AP143" s="24"/>
      <c r="AQ143" s="36">
        <f t="shared" si="68"/>
        <v>0</v>
      </c>
      <c r="AR143" s="16"/>
      <c r="AS143" s="47">
        <f t="shared" si="69"/>
        <v>0</v>
      </c>
      <c r="AT143" s="31"/>
      <c r="AU143" s="47">
        <f t="shared" si="70"/>
        <v>0</v>
      </c>
      <c r="AV143" s="48">
        <v>91.99</v>
      </c>
      <c r="AW143" s="24">
        <f t="shared" si="64"/>
        <v>0</v>
      </c>
      <c r="AX143" s="24">
        <f t="shared" si="49"/>
        <v>0</v>
      </c>
      <c r="AY143" s="24"/>
      <c r="AZ143" s="24"/>
      <c r="BA143" s="24"/>
      <c r="BB143" s="24">
        <f t="shared" si="71"/>
        <v>0</v>
      </c>
      <c r="BC143" s="24">
        <f t="shared" si="72"/>
        <v>9997.5149999999994</v>
      </c>
      <c r="BD143" s="24"/>
      <c r="BE143" s="24"/>
      <c r="BF143" s="24"/>
      <c r="BG143" s="24">
        <f t="shared" si="75"/>
        <v>1009.85</v>
      </c>
      <c r="BH143" s="24"/>
      <c r="BI143" s="24"/>
      <c r="BJ143" s="24">
        <f t="shared" si="73"/>
        <v>10.0985</v>
      </c>
      <c r="BK143" s="24">
        <f t="shared" si="74"/>
        <v>10997.2665</v>
      </c>
      <c r="BL143" s="24" t="s">
        <v>261</v>
      </c>
      <c r="BM143" s="42">
        <f t="shared" si="65"/>
        <v>3</v>
      </c>
      <c r="BN143" s="24" t="s">
        <v>139</v>
      </c>
      <c r="BO143" s="2" t="s">
        <v>148</v>
      </c>
    </row>
    <row r="144" spans="1:67" s="1" customFormat="1" ht="15" customHeight="1" x14ac:dyDescent="0.3">
      <c r="A144" s="20">
        <v>140</v>
      </c>
      <c r="B144" s="21">
        <v>46091</v>
      </c>
      <c r="C144" s="21">
        <v>46097</v>
      </c>
      <c r="D144" s="50" t="s">
        <v>531</v>
      </c>
      <c r="E144" s="23">
        <v>46097</v>
      </c>
      <c r="F144" s="23" t="s">
        <v>7</v>
      </c>
      <c r="G144" s="24" t="s">
        <v>68</v>
      </c>
      <c r="H144" s="24" t="s">
        <v>69</v>
      </c>
      <c r="I144" s="24" t="s">
        <v>263</v>
      </c>
      <c r="J144" s="25" t="s">
        <v>264</v>
      </c>
      <c r="K144" s="45" t="str">
        <f t="shared" si="66"/>
        <v>WB41G1024</v>
      </c>
      <c r="L144" s="26">
        <v>46093</v>
      </c>
      <c r="M144" s="34" t="s">
        <v>915</v>
      </c>
      <c r="N144" s="27" t="s">
        <v>916</v>
      </c>
      <c r="O144" s="28">
        <v>0</v>
      </c>
      <c r="P144" s="27" t="s">
        <v>917</v>
      </c>
      <c r="Q144" s="29">
        <v>2525358728</v>
      </c>
      <c r="R144" s="30">
        <v>2110805012</v>
      </c>
      <c r="S144" s="31" t="s">
        <v>73</v>
      </c>
      <c r="T144" s="24" t="s">
        <v>91</v>
      </c>
      <c r="U144" s="24" t="s">
        <v>75</v>
      </c>
      <c r="V144" s="32" t="s">
        <v>918</v>
      </c>
      <c r="W144" s="32" t="s">
        <v>919</v>
      </c>
      <c r="X144" s="32"/>
      <c r="Y144" s="24">
        <v>1057</v>
      </c>
      <c r="Z144" s="24">
        <v>13</v>
      </c>
      <c r="AA144" s="24">
        <f t="shared" si="67"/>
        <v>1004.15</v>
      </c>
      <c r="AB144" s="24">
        <f t="shared" si="60"/>
        <v>13741</v>
      </c>
      <c r="AC144" s="24">
        <f t="shared" si="61"/>
        <v>13053.949999999999</v>
      </c>
      <c r="AD144" s="24">
        <f t="shared" si="62"/>
        <v>13053.949999999999</v>
      </c>
      <c r="AE144" s="24">
        <f t="shared" si="63"/>
        <v>687.05000000000109</v>
      </c>
      <c r="AF144" s="24">
        <v>0</v>
      </c>
      <c r="AG144" s="33">
        <v>4000</v>
      </c>
      <c r="AH144" s="24"/>
      <c r="AI144" s="24"/>
      <c r="AJ144" s="24"/>
      <c r="AK144" s="24"/>
      <c r="AL144" s="24"/>
      <c r="AM144" s="24" t="s">
        <v>79</v>
      </c>
      <c r="AN144" s="34" t="s">
        <v>920</v>
      </c>
      <c r="AO144" s="35" t="s">
        <v>81</v>
      </c>
      <c r="AP144" s="24">
        <f>244*2</f>
        <v>488</v>
      </c>
      <c r="AQ144" s="36">
        <f t="shared" si="68"/>
        <v>150.15384615384616</v>
      </c>
      <c r="AR144" s="37">
        <v>150</v>
      </c>
      <c r="AS144" s="38">
        <f t="shared" si="69"/>
        <v>-0.15384615384616041</v>
      </c>
      <c r="AT144" s="39"/>
      <c r="AU144" s="38">
        <f t="shared" si="70"/>
        <v>-0.15384615384616041</v>
      </c>
      <c r="AV144" s="40">
        <v>91.88</v>
      </c>
      <c r="AW144" s="41">
        <f t="shared" si="64"/>
        <v>13782</v>
      </c>
      <c r="AX144" s="24">
        <f t="shared" si="49"/>
        <v>136.21930526775421</v>
      </c>
      <c r="AY144" s="24"/>
      <c r="AZ144" s="24"/>
      <c r="BA144" s="24"/>
      <c r="BB144" s="24">
        <f t="shared" si="71"/>
        <v>0</v>
      </c>
      <c r="BC144" s="24">
        <f t="shared" si="72"/>
        <v>-4728.0500000000011</v>
      </c>
      <c r="BD144" s="24">
        <v>135</v>
      </c>
      <c r="BE144" s="24">
        <v>135</v>
      </c>
      <c r="BF144" s="24"/>
      <c r="BG144" s="24">
        <f t="shared" si="75"/>
        <v>1305.395</v>
      </c>
      <c r="BH144" s="24"/>
      <c r="BI144" s="24"/>
      <c r="BJ144" s="24">
        <f t="shared" si="73"/>
        <v>13.05395</v>
      </c>
      <c r="BK144" s="24">
        <f t="shared" si="74"/>
        <v>-3165.7089500000011</v>
      </c>
      <c r="BL144" s="24" t="s">
        <v>96</v>
      </c>
      <c r="BM144" s="42">
        <f t="shared" si="65"/>
        <v>3</v>
      </c>
      <c r="BN144" s="24" t="s">
        <v>139</v>
      </c>
      <c r="BO144" s="2" t="s">
        <v>148</v>
      </c>
    </row>
    <row r="145" spans="1:67" s="1" customFormat="1" ht="15" customHeight="1" x14ac:dyDescent="0.3">
      <c r="A145" s="20">
        <v>141</v>
      </c>
      <c r="B145" s="21">
        <v>46091</v>
      </c>
      <c r="C145" s="21">
        <v>46097</v>
      </c>
      <c r="D145" s="50" t="s">
        <v>531</v>
      </c>
      <c r="E145" s="23">
        <v>46097</v>
      </c>
      <c r="F145" s="23" t="s">
        <v>7</v>
      </c>
      <c r="G145" s="24" t="s">
        <v>68</v>
      </c>
      <c r="H145" s="24" t="s">
        <v>69</v>
      </c>
      <c r="I145" s="24" t="s">
        <v>263</v>
      </c>
      <c r="J145" s="25" t="s">
        <v>264</v>
      </c>
      <c r="K145" s="45" t="str">
        <f t="shared" si="66"/>
        <v>WB41G1024</v>
      </c>
      <c r="L145" s="26">
        <v>46093</v>
      </c>
      <c r="M145" s="34" t="s">
        <v>921</v>
      </c>
      <c r="N145" s="27" t="s">
        <v>922</v>
      </c>
      <c r="O145" s="28">
        <v>0</v>
      </c>
      <c r="P145" s="27" t="s">
        <v>923</v>
      </c>
      <c r="Q145" s="29">
        <v>2525358727</v>
      </c>
      <c r="R145" s="30">
        <v>2110805011</v>
      </c>
      <c r="S145" s="31" t="s">
        <v>73</v>
      </c>
      <c r="T145" s="24" t="s">
        <v>91</v>
      </c>
      <c r="U145" s="24" t="s">
        <v>75</v>
      </c>
      <c r="V145" s="32" t="s">
        <v>918</v>
      </c>
      <c r="W145" s="32" t="s">
        <v>919</v>
      </c>
      <c r="X145" s="32"/>
      <c r="Y145" s="24">
        <v>1057</v>
      </c>
      <c r="Z145" s="24">
        <v>12</v>
      </c>
      <c r="AA145" s="24">
        <f t="shared" si="67"/>
        <v>1004.15</v>
      </c>
      <c r="AB145" s="24">
        <f t="shared" si="60"/>
        <v>12684</v>
      </c>
      <c r="AC145" s="24">
        <f t="shared" si="61"/>
        <v>12049.800000000001</v>
      </c>
      <c r="AD145" s="24">
        <f t="shared" si="62"/>
        <v>12049.8</v>
      </c>
      <c r="AE145" s="24">
        <f t="shared" si="63"/>
        <v>634.20000000000073</v>
      </c>
      <c r="AF145" s="24">
        <v>0</v>
      </c>
      <c r="AG145" s="31"/>
      <c r="AH145" s="24"/>
      <c r="AI145" s="24"/>
      <c r="AJ145" s="24"/>
      <c r="AK145" s="24">
        <v>115</v>
      </c>
      <c r="AL145" s="24"/>
      <c r="AM145" s="24">
        <v>0</v>
      </c>
      <c r="AN145" s="34" t="s">
        <v>213</v>
      </c>
      <c r="AO145" s="35"/>
      <c r="AP145" s="24"/>
      <c r="AQ145" s="36">
        <f t="shared" si="68"/>
        <v>0</v>
      </c>
      <c r="AR145" s="16"/>
      <c r="AS145" s="47">
        <f t="shared" si="69"/>
        <v>0</v>
      </c>
      <c r="AT145" s="31"/>
      <c r="AU145" s="47">
        <f t="shared" si="70"/>
        <v>0</v>
      </c>
      <c r="AV145" s="48">
        <v>91.99</v>
      </c>
      <c r="AW145" s="24">
        <f t="shared" si="64"/>
        <v>0</v>
      </c>
      <c r="AX145" s="24">
        <f t="shared" si="49"/>
        <v>0</v>
      </c>
      <c r="AY145" s="24"/>
      <c r="AZ145" s="24"/>
      <c r="BA145" s="24"/>
      <c r="BB145" s="24">
        <f t="shared" si="71"/>
        <v>0</v>
      </c>
      <c r="BC145" s="24">
        <f t="shared" si="72"/>
        <v>11934.8</v>
      </c>
      <c r="BD145" s="24"/>
      <c r="BE145" s="24"/>
      <c r="BF145" s="24"/>
      <c r="BG145" s="24">
        <f t="shared" si="75"/>
        <v>1204.98</v>
      </c>
      <c r="BH145" s="24"/>
      <c r="BI145" s="24"/>
      <c r="BJ145" s="24">
        <f t="shared" si="73"/>
        <v>12.049800000000001</v>
      </c>
      <c r="BK145" s="24">
        <f t="shared" si="74"/>
        <v>13127.730199999998</v>
      </c>
      <c r="BL145" s="24" t="s">
        <v>96</v>
      </c>
      <c r="BM145" s="42">
        <f t="shared" si="65"/>
        <v>3</v>
      </c>
      <c r="BN145" s="24" t="s">
        <v>139</v>
      </c>
      <c r="BO145" s="2" t="s">
        <v>148</v>
      </c>
    </row>
    <row r="146" spans="1:67" s="1" customFormat="1" ht="15" customHeight="1" x14ac:dyDescent="0.3">
      <c r="A146" s="20">
        <v>142</v>
      </c>
      <c r="B146" s="21">
        <v>46091</v>
      </c>
      <c r="C146" s="21">
        <v>46097</v>
      </c>
      <c r="D146" s="52" t="s">
        <v>718</v>
      </c>
      <c r="E146" s="23">
        <v>46105</v>
      </c>
      <c r="F146" s="23" t="s">
        <v>7</v>
      </c>
      <c r="G146" s="24" t="s">
        <v>68</v>
      </c>
      <c r="H146" s="24" t="s">
        <v>69</v>
      </c>
      <c r="I146" s="24" t="s">
        <v>166</v>
      </c>
      <c r="J146" s="25" t="s">
        <v>924</v>
      </c>
      <c r="K146" s="45" t="str">
        <f t="shared" si="66"/>
        <v>WB41H1234</v>
      </c>
      <c r="L146" s="26">
        <v>46092</v>
      </c>
      <c r="M146" s="34" t="s">
        <v>925</v>
      </c>
      <c r="N146" s="27" t="s">
        <v>926</v>
      </c>
      <c r="O146" s="28">
        <v>0</v>
      </c>
      <c r="P146" s="27" t="s">
        <v>927</v>
      </c>
      <c r="Q146" s="29">
        <v>2525358811</v>
      </c>
      <c r="R146" s="30">
        <v>2110805117</v>
      </c>
      <c r="S146" s="54" t="s">
        <v>73</v>
      </c>
      <c r="T146" s="24" t="s">
        <v>91</v>
      </c>
      <c r="U146" s="24" t="s">
        <v>75</v>
      </c>
      <c r="V146" s="32" t="s">
        <v>491</v>
      </c>
      <c r="W146" s="32" t="s">
        <v>838</v>
      </c>
      <c r="X146" s="32" t="s">
        <v>928</v>
      </c>
      <c r="Y146" s="24">
        <v>1047</v>
      </c>
      <c r="Z146" s="24">
        <v>15</v>
      </c>
      <c r="AA146" s="24">
        <f t="shared" si="67"/>
        <v>994.65000000000009</v>
      </c>
      <c r="AB146" s="24">
        <f t="shared" si="60"/>
        <v>15705</v>
      </c>
      <c r="AC146" s="24">
        <f t="shared" si="61"/>
        <v>14919.750000000002</v>
      </c>
      <c r="AD146" s="24">
        <f t="shared" si="62"/>
        <v>14919.750000000002</v>
      </c>
      <c r="AE146" s="24">
        <f t="shared" si="63"/>
        <v>785.24999999999818</v>
      </c>
      <c r="AF146" s="24">
        <v>0</v>
      </c>
      <c r="AG146" s="33">
        <v>3500</v>
      </c>
      <c r="AH146" s="24"/>
      <c r="AI146" s="24"/>
      <c r="AJ146" s="24"/>
      <c r="AK146" s="24">
        <v>115</v>
      </c>
      <c r="AL146" s="24"/>
      <c r="AM146" s="24" t="s">
        <v>79</v>
      </c>
      <c r="AN146" s="34" t="s">
        <v>929</v>
      </c>
      <c r="AO146" s="35" t="s">
        <v>81</v>
      </c>
      <c r="AP146" s="24">
        <f>240*2</f>
        <v>480</v>
      </c>
      <c r="AQ146" s="36">
        <f t="shared" si="68"/>
        <v>147.69230769230768</v>
      </c>
      <c r="AR146" s="37">
        <v>165</v>
      </c>
      <c r="AS146" s="38">
        <f t="shared" si="69"/>
        <v>17.307692307692321</v>
      </c>
      <c r="AT146" s="39"/>
      <c r="AU146" s="38">
        <f t="shared" si="70"/>
        <v>17.307692307692321</v>
      </c>
      <c r="AV146" s="40">
        <v>91.99</v>
      </c>
      <c r="AW146" s="41">
        <f t="shared" si="64"/>
        <v>15178.349999999999</v>
      </c>
      <c r="AX146" s="24">
        <f t="shared" si="49"/>
        <v>125.19211112786739</v>
      </c>
      <c r="AY146" s="24"/>
      <c r="AZ146" s="24"/>
      <c r="BA146" s="24"/>
      <c r="BB146" s="24">
        <f t="shared" si="71"/>
        <v>0</v>
      </c>
      <c r="BC146" s="24">
        <f t="shared" si="72"/>
        <v>-3873.5999999999967</v>
      </c>
      <c r="BD146" s="24"/>
      <c r="BE146" s="24"/>
      <c r="BF146" s="24"/>
      <c r="BG146" s="24">
        <f t="shared" si="75"/>
        <v>1491.9749999999999</v>
      </c>
      <c r="BH146" s="24"/>
      <c r="BI146" s="24"/>
      <c r="BJ146" s="24">
        <f t="shared" si="73"/>
        <v>14.919749999999999</v>
      </c>
      <c r="BK146" s="24">
        <f t="shared" si="74"/>
        <v>-2396.5447499999968</v>
      </c>
      <c r="BL146" s="24" t="s">
        <v>687</v>
      </c>
      <c r="BM146" s="42">
        <f t="shared" si="65"/>
        <v>2</v>
      </c>
      <c r="BN146" s="24" t="s">
        <v>83</v>
      </c>
      <c r="BO146" s="2" t="s">
        <v>84</v>
      </c>
    </row>
    <row r="147" spans="1:67" s="1" customFormat="1" ht="15" customHeight="1" x14ac:dyDescent="0.3">
      <c r="A147" s="20">
        <v>143</v>
      </c>
      <c r="B147" s="21">
        <v>46091</v>
      </c>
      <c r="C147" s="21">
        <v>46097</v>
      </c>
      <c r="D147" s="52" t="s">
        <v>718</v>
      </c>
      <c r="E147" s="23">
        <v>46105</v>
      </c>
      <c r="F147" s="23" t="s">
        <v>7</v>
      </c>
      <c r="G147" s="24" t="s">
        <v>68</v>
      </c>
      <c r="H147" s="24" t="s">
        <v>69</v>
      </c>
      <c r="I147" s="24" t="s">
        <v>166</v>
      </c>
      <c r="J147" s="25" t="s">
        <v>924</v>
      </c>
      <c r="K147" s="45" t="str">
        <f t="shared" si="66"/>
        <v>WB41H1234</v>
      </c>
      <c r="L147" s="26">
        <v>46092</v>
      </c>
      <c r="M147" s="34" t="s">
        <v>930</v>
      </c>
      <c r="N147" s="27" t="s">
        <v>931</v>
      </c>
      <c r="O147" s="28">
        <v>0</v>
      </c>
      <c r="P147" s="27" t="s">
        <v>932</v>
      </c>
      <c r="Q147" s="29">
        <v>2525358812</v>
      </c>
      <c r="R147" s="30">
        <v>2110805119</v>
      </c>
      <c r="S147" s="54" t="s">
        <v>73</v>
      </c>
      <c r="T147" s="24" t="s">
        <v>91</v>
      </c>
      <c r="U147" s="24" t="s">
        <v>75</v>
      </c>
      <c r="V147" s="32" t="s">
        <v>491</v>
      </c>
      <c r="W147" s="32" t="s">
        <v>838</v>
      </c>
      <c r="X147" s="32"/>
      <c r="Y147" s="24">
        <v>1047</v>
      </c>
      <c r="Z147" s="24">
        <v>10</v>
      </c>
      <c r="AA147" s="24">
        <f t="shared" si="67"/>
        <v>994.65000000000009</v>
      </c>
      <c r="AB147" s="24">
        <f t="shared" si="60"/>
        <v>10470</v>
      </c>
      <c r="AC147" s="24">
        <f t="shared" si="61"/>
        <v>9946.5</v>
      </c>
      <c r="AD147" s="24">
        <f t="shared" si="62"/>
        <v>9946.5</v>
      </c>
      <c r="AE147" s="24">
        <f t="shared" si="63"/>
        <v>523.5</v>
      </c>
      <c r="AF147" s="24">
        <v>0</v>
      </c>
      <c r="AG147" s="31"/>
      <c r="AH147" s="24"/>
      <c r="AI147" s="24"/>
      <c r="AJ147" s="24"/>
      <c r="AK147" s="24"/>
      <c r="AL147" s="24"/>
      <c r="AM147" s="24">
        <v>0</v>
      </c>
      <c r="AN147" s="34" t="s">
        <v>213</v>
      </c>
      <c r="AO147" s="35"/>
      <c r="AP147" s="24"/>
      <c r="AQ147" s="36">
        <f t="shared" si="68"/>
        <v>0</v>
      </c>
      <c r="AR147" s="16"/>
      <c r="AS147" s="47">
        <f t="shared" si="69"/>
        <v>0</v>
      </c>
      <c r="AT147" s="31"/>
      <c r="AU147" s="47">
        <f t="shared" si="70"/>
        <v>0</v>
      </c>
      <c r="AV147" s="48">
        <v>91.99</v>
      </c>
      <c r="AW147" s="24">
        <f t="shared" si="64"/>
        <v>0</v>
      </c>
      <c r="AX147" s="24">
        <f t="shared" si="49"/>
        <v>0</v>
      </c>
      <c r="AY147" s="24"/>
      <c r="AZ147" s="24"/>
      <c r="BA147" s="24"/>
      <c r="BB147" s="24">
        <f t="shared" si="71"/>
        <v>0</v>
      </c>
      <c r="BC147" s="24">
        <f t="shared" si="72"/>
        <v>9946.5</v>
      </c>
      <c r="BD147" s="24"/>
      <c r="BE147" s="24"/>
      <c r="BF147" s="24"/>
      <c r="BG147" s="24">
        <f t="shared" si="75"/>
        <v>994.65</v>
      </c>
      <c r="BH147" s="24"/>
      <c r="BI147" s="24"/>
      <c r="BJ147" s="24">
        <f t="shared" si="73"/>
        <v>9.9465000000000003</v>
      </c>
      <c r="BK147" s="24">
        <f t="shared" si="74"/>
        <v>10931.2035</v>
      </c>
      <c r="BL147" s="24" t="s">
        <v>687</v>
      </c>
      <c r="BM147" s="42">
        <f t="shared" si="65"/>
        <v>2</v>
      </c>
      <c r="BN147" s="24" t="s">
        <v>83</v>
      </c>
      <c r="BO147" s="2" t="s">
        <v>84</v>
      </c>
    </row>
    <row r="148" spans="1:67" s="1" customFormat="1" ht="15" customHeight="1" x14ac:dyDescent="0.3">
      <c r="A148" s="20">
        <v>144</v>
      </c>
      <c r="B148" s="21">
        <v>46091</v>
      </c>
      <c r="C148" s="21">
        <v>46097</v>
      </c>
      <c r="D148" s="52" t="s">
        <v>602</v>
      </c>
      <c r="E148" s="23">
        <v>46105</v>
      </c>
      <c r="F148" s="23" t="s">
        <v>7</v>
      </c>
      <c r="G148" s="24" t="s">
        <v>68</v>
      </c>
      <c r="H148" s="24" t="s">
        <v>69</v>
      </c>
      <c r="I148" s="24" t="s">
        <v>70</v>
      </c>
      <c r="J148" s="25" t="s">
        <v>150</v>
      </c>
      <c r="K148" s="45" t="str">
        <f t="shared" si="66"/>
        <v>WB39B9201</v>
      </c>
      <c r="L148" s="26">
        <v>46093</v>
      </c>
      <c r="M148" s="34" t="s">
        <v>933</v>
      </c>
      <c r="N148" s="27" t="s">
        <v>934</v>
      </c>
      <c r="O148" s="28">
        <v>0</v>
      </c>
      <c r="P148" s="27" t="s">
        <v>935</v>
      </c>
      <c r="Q148" s="29">
        <v>2525358710</v>
      </c>
      <c r="R148" s="30">
        <v>2110804983</v>
      </c>
      <c r="S148" s="54" t="s">
        <v>73</v>
      </c>
      <c r="T148" s="24" t="s">
        <v>91</v>
      </c>
      <c r="U148" s="24" t="s">
        <v>75</v>
      </c>
      <c r="V148" s="32" t="s">
        <v>320</v>
      </c>
      <c r="W148" s="32" t="s">
        <v>321</v>
      </c>
      <c r="X148" s="32" t="s">
        <v>322</v>
      </c>
      <c r="Y148" s="24">
        <v>1057</v>
      </c>
      <c r="Z148" s="24">
        <v>13</v>
      </c>
      <c r="AA148" s="24">
        <f t="shared" si="67"/>
        <v>1004.15</v>
      </c>
      <c r="AB148" s="24">
        <f t="shared" si="60"/>
        <v>13741</v>
      </c>
      <c r="AC148" s="24">
        <f t="shared" si="61"/>
        <v>13053.949999999999</v>
      </c>
      <c r="AD148" s="24">
        <f t="shared" si="62"/>
        <v>13053.949999999999</v>
      </c>
      <c r="AE148" s="24">
        <f t="shared" si="63"/>
        <v>687.05000000000109</v>
      </c>
      <c r="AF148" s="24">
        <v>0</v>
      </c>
      <c r="AG148" s="33">
        <v>4300</v>
      </c>
      <c r="AH148" s="24"/>
      <c r="AI148" s="24">
        <v>8385</v>
      </c>
      <c r="AJ148" s="24">
        <v>150</v>
      </c>
      <c r="AK148" s="24"/>
      <c r="AL148" s="24"/>
      <c r="AM148" s="24" t="s">
        <v>79</v>
      </c>
      <c r="AN148" s="34" t="s">
        <v>936</v>
      </c>
      <c r="AO148" s="35" t="s">
        <v>81</v>
      </c>
      <c r="AP148" s="24">
        <f>243*2</f>
        <v>486</v>
      </c>
      <c r="AQ148" s="36">
        <f t="shared" si="68"/>
        <v>149.53846153846155</v>
      </c>
      <c r="AR148" s="37">
        <v>140</v>
      </c>
      <c r="AS148" s="38">
        <f t="shared" si="69"/>
        <v>-9.5384615384615472</v>
      </c>
      <c r="AT148" s="39"/>
      <c r="AU148" s="38">
        <f t="shared" si="70"/>
        <v>-9.5384615384615472</v>
      </c>
      <c r="AV148" s="40">
        <v>91.88</v>
      </c>
      <c r="AW148" s="41">
        <f t="shared" si="64"/>
        <v>12863.199999999999</v>
      </c>
      <c r="AX148" s="24">
        <f t="shared" si="49"/>
        <v>131.4789776274614</v>
      </c>
      <c r="AY148" s="24"/>
      <c r="AZ148" s="24"/>
      <c r="BA148" s="24"/>
      <c r="BB148" s="24">
        <f t="shared" si="71"/>
        <v>0</v>
      </c>
      <c r="BC148" s="24">
        <f t="shared" si="72"/>
        <v>-12644.25</v>
      </c>
      <c r="BD148" s="24">
        <v>135</v>
      </c>
      <c r="BE148" s="24">
        <v>135</v>
      </c>
      <c r="BF148" s="24"/>
      <c r="BG148" s="24">
        <f t="shared" si="75"/>
        <v>1305.395</v>
      </c>
      <c r="BH148" s="24"/>
      <c r="BI148" s="24"/>
      <c r="BJ148" s="24">
        <f t="shared" si="73"/>
        <v>13.05395</v>
      </c>
      <c r="BK148" s="24">
        <f t="shared" si="74"/>
        <v>-11081.908949999999</v>
      </c>
      <c r="BL148" s="24" t="s">
        <v>155</v>
      </c>
      <c r="BM148" s="42">
        <f t="shared" si="65"/>
        <v>3</v>
      </c>
      <c r="BN148" s="24" t="s">
        <v>139</v>
      </c>
      <c r="BO148" s="2" t="s">
        <v>84</v>
      </c>
    </row>
    <row r="149" spans="1:67" s="1" customFormat="1" ht="15" customHeight="1" x14ac:dyDescent="0.3">
      <c r="A149" s="20">
        <v>145</v>
      </c>
      <c r="B149" s="21">
        <v>46091</v>
      </c>
      <c r="C149" s="21">
        <v>46097</v>
      </c>
      <c r="D149" s="52" t="s">
        <v>602</v>
      </c>
      <c r="E149" s="23">
        <v>46105</v>
      </c>
      <c r="F149" s="23" t="s">
        <v>7</v>
      </c>
      <c r="G149" s="24" t="s">
        <v>68</v>
      </c>
      <c r="H149" s="24" t="s">
        <v>69</v>
      </c>
      <c r="I149" s="24" t="s">
        <v>70</v>
      </c>
      <c r="J149" s="25" t="s">
        <v>150</v>
      </c>
      <c r="K149" s="45" t="str">
        <f t="shared" si="66"/>
        <v>WB39B9201</v>
      </c>
      <c r="L149" s="26">
        <v>46093</v>
      </c>
      <c r="M149" s="34" t="s">
        <v>937</v>
      </c>
      <c r="N149" s="27" t="s">
        <v>938</v>
      </c>
      <c r="O149" s="28">
        <v>0</v>
      </c>
      <c r="P149" s="27" t="s">
        <v>939</v>
      </c>
      <c r="Q149" s="29">
        <v>2525358709</v>
      </c>
      <c r="R149" s="30">
        <v>2110804982</v>
      </c>
      <c r="S149" s="54" t="s">
        <v>73</v>
      </c>
      <c r="T149" s="24" t="s">
        <v>91</v>
      </c>
      <c r="U149" s="24" t="s">
        <v>75</v>
      </c>
      <c r="V149" s="32" t="s">
        <v>320</v>
      </c>
      <c r="W149" s="32" t="s">
        <v>321</v>
      </c>
      <c r="X149" s="32"/>
      <c r="Y149" s="24">
        <v>1057</v>
      </c>
      <c r="Z149" s="24">
        <v>12</v>
      </c>
      <c r="AA149" s="24">
        <f t="shared" si="67"/>
        <v>1004.15</v>
      </c>
      <c r="AB149" s="24">
        <f t="shared" si="60"/>
        <v>12684</v>
      </c>
      <c r="AC149" s="24">
        <f t="shared" si="61"/>
        <v>12049.800000000001</v>
      </c>
      <c r="AD149" s="24">
        <f t="shared" si="62"/>
        <v>12049.8</v>
      </c>
      <c r="AE149" s="24">
        <f t="shared" si="63"/>
        <v>634.20000000000073</v>
      </c>
      <c r="AF149" s="24">
        <v>0</v>
      </c>
      <c r="AG149" s="31"/>
      <c r="AH149" s="24"/>
      <c r="AI149" s="24"/>
      <c r="AJ149" s="24"/>
      <c r="AK149" s="24"/>
      <c r="AL149" s="24"/>
      <c r="AM149" s="24">
        <v>0</v>
      </c>
      <c r="AN149" s="34" t="s">
        <v>213</v>
      </c>
      <c r="AO149" s="35"/>
      <c r="AP149" s="24"/>
      <c r="AQ149" s="36">
        <f t="shared" si="68"/>
        <v>0</v>
      </c>
      <c r="AR149" s="16"/>
      <c r="AS149" s="47">
        <f t="shared" si="69"/>
        <v>0</v>
      </c>
      <c r="AT149" s="31"/>
      <c r="AU149" s="47">
        <f t="shared" si="70"/>
        <v>0</v>
      </c>
      <c r="AV149" s="48">
        <v>91.99</v>
      </c>
      <c r="AW149" s="24">
        <f t="shared" si="64"/>
        <v>0</v>
      </c>
      <c r="AX149" s="24">
        <f t="shared" si="49"/>
        <v>0</v>
      </c>
      <c r="AY149" s="24"/>
      <c r="AZ149" s="24"/>
      <c r="BA149" s="24"/>
      <c r="BB149" s="24">
        <f t="shared" si="71"/>
        <v>0</v>
      </c>
      <c r="BC149" s="24">
        <f t="shared" si="72"/>
        <v>12049.8</v>
      </c>
      <c r="BD149" s="24"/>
      <c r="BE149" s="24"/>
      <c r="BF149" s="24"/>
      <c r="BG149" s="24">
        <f t="shared" si="75"/>
        <v>1204.98</v>
      </c>
      <c r="BH149" s="24"/>
      <c r="BI149" s="24"/>
      <c r="BJ149" s="24">
        <f t="shared" si="73"/>
        <v>12.049800000000001</v>
      </c>
      <c r="BK149" s="24">
        <f t="shared" si="74"/>
        <v>13242.730199999998</v>
      </c>
      <c r="BL149" s="24" t="s">
        <v>155</v>
      </c>
      <c r="BM149" s="42">
        <f t="shared" si="65"/>
        <v>3</v>
      </c>
      <c r="BN149" s="24" t="s">
        <v>139</v>
      </c>
      <c r="BO149" s="2" t="s">
        <v>84</v>
      </c>
    </row>
    <row r="150" spans="1:67" s="1" customFormat="1" ht="15" customHeight="1" x14ac:dyDescent="0.3">
      <c r="A150" s="20">
        <v>146</v>
      </c>
      <c r="B150" s="21">
        <v>46091</v>
      </c>
      <c r="C150" s="21">
        <v>46097</v>
      </c>
      <c r="D150" s="50" t="s">
        <v>884</v>
      </c>
      <c r="E150" s="23">
        <v>46097</v>
      </c>
      <c r="F150" s="23" t="s">
        <v>7</v>
      </c>
      <c r="G150" s="24" t="s">
        <v>68</v>
      </c>
      <c r="H150" s="24" t="s">
        <v>69</v>
      </c>
      <c r="I150" s="24" t="s">
        <v>166</v>
      </c>
      <c r="J150" s="25" t="s">
        <v>360</v>
      </c>
      <c r="K150" s="45" t="str">
        <f t="shared" si="66"/>
        <v>WB41H6585</v>
      </c>
      <c r="L150" s="26">
        <v>46092</v>
      </c>
      <c r="M150" s="34" t="s">
        <v>940</v>
      </c>
      <c r="N150" s="27" t="s">
        <v>941</v>
      </c>
      <c r="O150" s="28">
        <v>0</v>
      </c>
      <c r="P150" s="27" t="s">
        <v>942</v>
      </c>
      <c r="Q150" s="29">
        <v>2525358701</v>
      </c>
      <c r="R150" s="30">
        <v>2110804975</v>
      </c>
      <c r="S150" s="31" t="s">
        <v>73</v>
      </c>
      <c r="T150" s="24" t="s">
        <v>91</v>
      </c>
      <c r="U150" s="24" t="s">
        <v>75</v>
      </c>
      <c r="V150" s="32" t="s">
        <v>943</v>
      </c>
      <c r="W150" s="32" t="s">
        <v>944</v>
      </c>
      <c r="X150" s="32"/>
      <c r="Y150" s="24">
        <v>990</v>
      </c>
      <c r="Z150" s="24">
        <v>15</v>
      </c>
      <c r="AA150" s="24">
        <f t="shared" si="67"/>
        <v>940.5</v>
      </c>
      <c r="AB150" s="24">
        <f t="shared" si="60"/>
        <v>14850</v>
      </c>
      <c r="AC150" s="24">
        <f t="shared" si="61"/>
        <v>14107.5</v>
      </c>
      <c r="AD150" s="24">
        <f t="shared" si="62"/>
        <v>14107.5</v>
      </c>
      <c r="AE150" s="24">
        <f t="shared" si="63"/>
        <v>742.5</v>
      </c>
      <c r="AF150" s="24">
        <v>0</v>
      </c>
      <c r="AG150" s="33">
        <v>3500</v>
      </c>
      <c r="AH150" s="24"/>
      <c r="AI150" s="24"/>
      <c r="AJ150" s="24"/>
      <c r="AK150" s="24"/>
      <c r="AL150" s="24"/>
      <c r="AM150" s="24" t="s">
        <v>79</v>
      </c>
      <c r="AN150" s="34" t="s">
        <v>945</v>
      </c>
      <c r="AO150" s="35" t="s">
        <v>81</v>
      </c>
      <c r="AP150" s="24">
        <f>207*2</f>
        <v>414</v>
      </c>
      <c r="AQ150" s="36">
        <f t="shared" si="68"/>
        <v>127.38461538461539</v>
      </c>
      <c r="AR150" s="37">
        <v>110</v>
      </c>
      <c r="AS150" s="38">
        <f t="shared" si="69"/>
        <v>-17.384615384615387</v>
      </c>
      <c r="AT150" s="39"/>
      <c r="AU150" s="38">
        <f t="shared" si="70"/>
        <v>-17.384615384615387</v>
      </c>
      <c r="AV150" s="40">
        <v>91.88</v>
      </c>
      <c r="AW150" s="41">
        <f t="shared" si="64"/>
        <v>10106.799999999999</v>
      </c>
      <c r="AX150" s="24">
        <f t="shared" si="49"/>
        <v>96.450824029771397</v>
      </c>
      <c r="AY150" s="24"/>
      <c r="AZ150" s="24"/>
      <c r="BA150" s="24"/>
      <c r="BB150" s="24">
        <f t="shared" si="71"/>
        <v>0</v>
      </c>
      <c r="BC150" s="24">
        <f t="shared" si="72"/>
        <v>500.70000000000073</v>
      </c>
      <c r="BD150" s="24">
        <v>135</v>
      </c>
      <c r="BE150" s="24">
        <v>135</v>
      </c>
      <c r="BF150" s="24"/>
      <c r="BG150" s="24">
        <f t="shared" si="75"/>
        <v>1410.75</v>
      </c>
      <c r="BH150" s="24"/>
      <c r="BI150" s="24"/>
      <c r="BJ150" s="24">
        <f t="shared" si="73"/>
        <v>14.1075</v>
      </c>
      <c r="BK150" s="24">
        <f t="shared" si="74"/>
        <v>2167.3425000000007</v>
      </c>
      <c r="BL150" s="24" t="s">
        <v>365</v>
      </c>
      <c r="BM150" s="42">
        <f t="shared" si="65"/>
        <v>2</v>
      </c>
      <c r="BN150" s="24" t="s">
        <v>83</v>
      </c>
      <c r="BO150" s="2" t="s">
        <v>84</v>
      </c>
    </row>
    <row r="151" spans="1:67" s="1" customFormat="1" ht="15" customHeight="1" x14ac:dyDescent="0.3">
      <c r="A151" s="20">
        <v>147</v>
      </c>
      <c r="B151" s="21">
        <v>46091</v>
      </c>
      <c r="C151" s="21">
        <v>46097</v>
      </c>
      <c r="D151" s="50" t="s">
        <v>884</v>
      </c>
      <c r="E151" s="23">
        <v>46097</v>
      </c>
      <c r="F151" s="23" t="s">
        <v>7</v>
      </c>
      <c r="G151" s="24" t="s">
        <v>68</v>
      </c>
      <c r="H151" s="24" t="s">
        <v>69</v>
      </c>
      <c r="I151" s="24" t="s">
        <v>166</v>
      </c>
      <c r="J151" s="25" t="s">
        <v>360</v>
      </c>
      <c r="K151" s="45" t="str">
        <f t="shared" si="66"/>
        <v>WB41H6585</v>
      </c>
      <c r="L151" s="26">
        <v>46092</v>
      </c>
      <c r="M151" s="34" t="s">
        <v>946</v>
      </c>
      <c r="N151" s="27" t="s">
        <v>947</v>
      </c>
      <c r="O151" s="28">
        <v>0</v>
      </c>
      <c r="P151" s="27" t="s">
        <v>948</v>
      </c>
      <c r="Q151" s="29">
        <v>2525358700</v>
      </c>
      <c r="R151" s="30">
        <v>2110804974</v>
      </c>
      <c r="S151" s="31" t="s">
        <v>73</v>
      </c>
      <c r="T151" s="24" t="s">
        <v>91</v>
      </c>
      <c r="U151" s="24" t="s">
        <v>75</v>
      </c>
      <c r="V151" s="32" t="s">
        <v>943</v>
      </c>
      <c r="W151" s="32" t="s">
        <v>944</v>
      </c>
      <c r="X151" s="32"/>
      <c r="Y151" s="24">
        <v>990</v>
      </c>
      <c r="Z151" s="24">
        <v>10</v>
      </c>
      <c r="AA151" s="24">
        <f t="shared" si="67"/>
        <v>940.5</v>
      </c>
      <c r="AB151" s="24">
        <f t="shared" si="60"/>
        <v>9900</v>
      </c>
      <c r="AC151" s="24">
        <f t="shared" si="61"/>
        <v>9405</v>
      </c>
      <c r="AD151" s="24">
        <f t="shared" si="62"/>
        <v>9405</v>
      </c>
      <c r="AE151" s="24">
        <f t="shared" si="63"/>
        <v>495</v>
      </c>
      <c r="AF151" s="24">
        <v>0</v>
      </c>
      <c r="AG151" s="31"/>
      <c r="AH151" s="24"/>
      <c r="AI151" s="24"/>
      <c r="AJ151" s="24"/>
      <c r="AK151" s="24">
        <v>115</v>
      </c>
      <c r="AL151" s="24"/>
      <c r="AM151" s="24">
        <v>0</v>
      </c>
      <c r="AN151" s="34" t="s">
        <v>213</v>
      </c>
      <c r="AO151" s="35"/>
      <c r="AP151" s="24"/>
      <c r="AQ151" s="36">
        <f t="shared" si="68"/>
        <v>0</v>
      </c>
      <c r="AR151" s="16"/>
      <c r="AS151" s="47">
        <f t="shared" si="69"/>
        <v>0</v>
      </c>
      <c r="AT151" s="31"/>
      <c r="AU151" s="47">
        <f t="shared" si="70"/>
        <v>0</v>
      </c>
      <c r="AV151" s="48">
        <v>91.99</v>
      </c>
      <c r="AW151" s="24">
        <f t="shared" si="64"/>
        <v>0</v>
      </c>
      <c r="AX151" s="24">
        <f t="shared" ref="AX151:AX214" si="76">((AG151+AW151)/AD151)*100</f>
        <v>0</v>
      </c>
      <c r="AY151" s="24"/>
      <c r="AZ151" s="24"/>
      <c r="BA151" s="24"/>
      <c r="BB151" s="24">
        <f t="shared" si="71"/>
        <v>0</v>
      </c>
      <c r="BC151" s="24">
        <f t="shared" si="72"/>
        <v>9290</v>
      </c>
      <c r="BD151" s="24"/>
      <c r="BE151" s="24"/>
      <c r="BF151" s="24"/>
      <c r="BG151" s="24">
        <f t="shared" si="75"/>
        <v>940.5</v>
      </c>
      <c r="BH151" s="24"/>
      <c r="BI151" s="24"/>
      <c r="BJ151" s="24">
        <f t="shared" si="73"/>
        <v>9.4049999999999994</v>
      </c>
      <c r="BK151" s="24">
        <f t="shared" si="74"/>
        <v>10221.094999999999</v>
      </c>
      <c r="BL151" s="24" t="s">
        <v>365</v>
      </c>
      <c r="BM151" s="42">
        <f t="shared" si="65"/>
        <v>2</v>
      </c>
      <c r="BN151" s="24" t="s">
        <v>83</v>
      </c>
      <c r="BO151" s="2" t="s">
        <v>84</v>
      </c>
    </row>
    <row r="152" spans="1:67" s="1" customFormat="1" ht="15" customHeight="1" x14ac:dyDescent="0.3">
      <c r="A152" s="20">
        <v>148</v>
      </c>
      <c r="B152" s="21">
        <v>46091</v>
      </c>
      <c r="C152" s="21">
        <v>46097</v>
      </c>
      <c r="D152" s="50" t="s">
        <v>388</v>
      </c>
      <c r="E152" s="23">
        <v>46097</v>
      </c>
      <c r="F152" s="23" t="s">
        <v>7</v>
      </c>
      <c r="G152" s="24" t="s">
        <v>68</v>
      </c>
      <c r="H152" s="24" t="s">
        <v>69</v>
      </c>
      <c r="I152" s="24" t="s">
        <v>70</v>
      </c>
      <c r="J152" s="25" t="s">
        <v>674</v>
      </c>
      <c r="K152" s="45" t="str">
        <f t="shared" si="66"/>
        <v>WB39B3049</v>
      </c>
      <c r="L152" s="26">
        <v>46093</v>
      </c>
      <c r="M152" s="34" t="s">
        <v>949</v>
      </c>
      <c r="N152" s="27" t="s">
        <v>950</v>
      </c>
      <c r="O152" s="28">
        <v>0</v>
      </c>
      <c r="P152" s="27" t="s">
        <v>951</v>
      </c>
      <c r="Q152" s="29">
        <v>2525358738</v>
      </c>
      <c r="R152" s="30">
        <v>2110805020</v>
      </c>
      <c r="S152" s="31" t="s">
        <v>73</v>
      </c>
      <c r="T152" s="24" t="s">
        <v>91</v>
      </c>
      <c r="U152" s="24" t="s">
        <v>75</v>
      </c>
      <c r="V152" s="32" t="s">
        <v>179</v>
      </c>
      <c r="W152" s="32" t="s">
        <v>180</v>
      </c>
      <c r="X152" s="32"/>
      <c r="Y152" s="24">
        <v>1047</v>
      </c>
      <c r="Z152" s="24">
        <v>25</v>
      </c>
      <c r="AA152" s="24">
        <f t="shared" si="67"/>
        <v>994.65000000000009</v>
      </c>
      <c r="AB152" s="24">
        <f t="shared" si="60"/>
        <v>26175</v>
      </c>
      <c r="AC152" s="24">
        <f t="shared" si="61"/>
        <v>24866.25</v>
      </c>
      <c r="AD152" s="24">
        <f t="shared" si="62"/>
        <v>24866.250000000004</v>
      </c>
      <c r="AE152" s="24">
        <f t="shared" si="63"/>
        <v>1308.7499999999964</v>
      </c>
      <c r="AF152" s="24">
        <f t="shared" si="59"/>
        <v>248.66250000000005</v>
      </c>
      <c r="AG152" s="33">
        <v>5200</v>
      </c>
      <c r="AH152" s="24"/>
      <c r="AI152" s="24">
        <v>5000</v>
      </c>
      <c r="AJ152" s="24"/>
      <c r="AK152" s="24"/>
      <c r="AL152" s="24"/>
      <c r="AM152" s="24" t="s">
        <v>79</v>
      </c>
      <c r="AN152" s="34" t="s">
        <v>952</v>
      </c>
      <c r="AO152" s="35" t="s">
        <v>81</v>
      </c>
      <c r="AP152" s="24">
        <f>250*2</f>
        <v>500</v>
      </c>
      <c r="AQ152" s="36">
        <f t="shared" si="68"/>
        <v>153.84615384615384</v>
      </c>
      <c r="AR152" s="37">
        <v>165</v>
      </c>
      <c r="AS152" s="38">
        <f t="shared" si="69"/>
        <v>11.15384615384616</v>
      </c>
      <c r="AT152" s="39"/>
      <c r="AU152" s="38">
        <f t="shared" si="70"/>
        <v>11.15384615384616</v>
      </c>
      <c r="AV152" s="40">
        <v>91.99</v>
      </c>
      <c r="AW152" s="41">
        <f t="shared" si="64"/>
        <v>15178.349999999999</v>
      </c>
      <c r="AX152" s="24">
        <f t="shared" si="76"/>
        <v>81.951842356607827</v>
      </c>
      <c r="AY152" s="24"/>
      <c r="AZ152" s="24"/>
      <c r="BA152" s="24"/>
      <c r="BB152" s="24">
        <f t="shared" si="71"/>
        <v>0</v>
      </c>
      <c r="BC152" s="24">
        <f t="shared" si="72"/>
        <v>-760.76249999999345</v>
      </c>
      <c r="BD152" s="24"/>
      <c r="BE152" s="24"/>
      <c r="BF152" s="24"/>
      <c r="BG152" s="24">
        <f>+AD152*9.5%</f>
        <v>2362.2937500000003</v>
      </c>
      <c r="BH152" s="24"/>
      <c r="BI152" s="24"/>
      <c r="BJ152" s="24">
        <f t="shared" si="73"/>
        <v>23.622937500000003</v>
      </c>
      <c r="BK152" s="24">
        <f t="shared" si="74"/>
        <v>1577.9083125000068</v>
      </c>
      <c r="BL152" s="24" t="s">
        <v>680</v>
      </c>
      <c r="BM152" s="42">
        <f t="shared" si="65"/>
        <v>3</v>
      </c>
      <c r="BN152" s="24" t="s">
        <v>139</v>
      </c>
      <c r="BO152" s="2" t="s">
        <v>84</v>
      </c>
    </row>
    <row r="153" spans="1:67" s="1" customFormat="1" ht="15" customHeight="1" x14ac:dyDescent="0.3">
      <c r="A153" s="20">
        <v>149</v>
      </c>
      <c r="B153" s="21">
        <v>46092</v>
      </c>
      <c r="C153" s="21">
        <v>46097</v>
      </c>
      <c r="D153" s="50" t="s">
        <v>388</v>
      </c>
      <c r="E153" s="23">
        <v>46097</v>
      </c>
      <c r="F153" s="23" t="s">
        <v>7</v>
      </c>
      <c r="G153" s="24" t="s">
        <v>68</v>
      </c>
      <c r="H153" s="24" t="s">
        <v>69</v>
      </c>
      <c r="I153" s="24" t="s">
        <v>800</v>
      </c>
      <c r="J153" s="25" t="s">
        <v>801</v>
      </c>
      <c r="K153" s="45" t="str">
        <f t="shared" si="66"/>
        <v>WB41P4782</v>
      </c>
      <c r="L153" s="21">
        <v>46092</v>
      </c>
      <c r="M153" s="34" t="s">
        <v>953</v>
      </c>
      <c r="N153" s="27" t="s">
        <v>954</v>
      </c>
      <c r="O153" s="28">
        <v>0</v>
      </c>
      <c r="P153" s="27" t="s">
        <v>955</v>
      </c>
      <c r="Q153" s="29">
        <v>2525359806</v>
      </c>
      <c r="R153" s="30">
        <v>2110806043</v>
      </c>
      <c r="S153" s="31" t="s">
        <v>73</v>
      </c>
      <c r="T153" s="24" t="s">
        <v>188</v>
      </c>
      <c r="U153" s="24" t="s">
        <v>75</v>
      </c>
      <c r="V153" s="32" t="s">
        <v>956</v>
      </c>
      <c r="W153" s="32" t="s">
        <v>957</v>
      </c>
      <c r="X153" s="32"/>
      <c r="Y153" s="24">
        <v>681</v>
      </c>
      <c r="Z153" s="24">
        <v>13</v>
      </c>
      <c r="AA153" s="24">
        <f>+Y153/100*93</f>
        <v>633.32999999999993</v>
      </c>
      <c r="AB153" s="24">
        <f t="shared" si="60"/>
        <v>8853</v>
      </c>
      <c r="AC153" s="24">
        <f t="shared" si="61"/>
        <v>8410.35</v>
      </c>
      <c r="AD153" s="24">
        <f t="shared" si="62"/>
        <v>8233.2899999999991</v>
      </c>
      <c r="AE153" s="24">
        <f t="shared" si="63"/>
        <v>619.71000000000095</v>
      </c>
      <c r="AF153" s="24">
        <f t="shared" si="59"/>
        <v>82.332899999999995</v>
      </c>
      <c r="AG153" s="33">
        <v>1450</v>
      </c>
      <c r="AH153" s="24"/>
      <c r="AI153" s="24"/>
      <c r="AJ153" s="24"/>
      <c r="AK153" s="24"/>
      <c r="AL153" s="24"/>
      <c r="AM153" s="24" t="s">
        <v>79</v>
      </c>
      <c r="AN153" s="34" t="s">
        <v>958</v>
      </c>
      <c r="AO153" s="35" t="s">
        <v>81</v>
      </c>
      <c r="AP153" s="24">
        <f>143*2</f>
        <v>286</v>
      </c>
      <c r="AQ153" s="36">
        <f t="shared" si="68"/>
        <v>88</v>
      </c>
      <c r="AR153" s="37">
        <v>54</v>
      </c>
      <c r="AS153" s="38">
        <f t="shared" si="69"/>
        <v>-34</v>
      </c>
      <c r="AT153" s="39"/>
      <c r="AU153" s="38">
        <f t="shared" si="70"/>
        <v>-34</v>
      </c>
      <c r="AV153" s="40">
        <v>91.99</v>
      </c>
      <c r="AW153" s="41">
        <f t="shared" si="64"/>
        <v>4967.46</v>
      </c>
      <c r="AX153" s="24">
        <f t="shared" si="76"/>
        <v>77.945268537850609</v>
      </c>
      <c r="AY153" s="24"/>
      <c r="AZ153" s="24"/>
      <c r="BA153" s="24"/>
      <c r="BB153" s="24">
        <f t="shared" si="71"/>
        <v>0</v>
      </c>
      <c r="BC153" s="24">
        <f t="shared" si="72"/>
        <v>1733.4970999999987</v>
      </c>
      <c r="BD153" s="24">
        <v>40</v>
      </c>
      <c r="BE153" s="24">
        <v>40</v>
      </c>
      <c r="BF153" s="24"/>
      <c r="BG153" s="24">
        <f>+AB153*9.5%</f>
        <v>841.03499999999997</v>
      </c>
      <c r="BH153" s="24"/>
      <c r="BI153" s="24"/>
      <c r="BJ153" s="24">
        <f t="shared" si="73"/>
        <v>8.4103499999999993</v>
      </c>
      <c r="BK153" s="24">
        <f t="shared" si="74"/>
        <v>2646.1217499999984</v>
      </c>
      <c r="BL153" s="24" t="s">
        <v>807</v>
      </c>
      <c r="BM153" s="42">
        <f t="shared" si="65"/>
        <v>1</v>
      </c>
      <c r="BN153" s="24" t="s">
        <v>610</v>
      </c>
      <c r="BO153" s="2" t="s">
        <v>84</v>
      </c>
    </row>
    <row r="154" spans="1:67" s="1" customFormat="1" ht="15" customHeight="1" x14ac:dyDescent="0.3">
      <c r="A154" s="20">
        <v>150</v>
      </c>
      <c r="B154" s="21">
        <v>46092</v>
      </c>
      <c r="C154" s="21">
        <v>46097</v>
      </c>
      <c r="D154" s="62" t="s">
        <v>697</v>
      </c>
      <c r="E154" s="23">
        <v>46116</v>
      </c>
      <c r="F154" s="23" t="s">
        <v>7</v>
      </c>
      <c r="G154" s="24" t="s">
        <v>68</v>
      </c>
      <c r="H154" s="24" t="s">
        <v>69</v>
      </c>
      <c r="I154" s="24" t="s">
        <v>112</v>
      </c>
      <c r="J154" s="25" t="s">
        <v>558</v>
      </c>
      <c r="K154" s="45" t="str">
        <f t="shared" si="66"/>
        <v>WB39A5858</v>
      </c>
      <c r="L154" s="21">
        <v>46092</v>
      </c>
      <c r="M154" s="34" t="s">
        <v>959</v>
      </c>
      <c r="N154" s="27" t="s">
        <v>960</v>
      </c>
      <c r="O154" s="28">
        <v>0</v>
      </c>
      <c r="P154" s="27" t="s">
        <v>961</v>
      </c>
      <c r="Q154" s="29">
        <v>2525359804</v>
      </c>
      <c r="R154" s="30">
        <v>2110806037</v>
      </c>
      <c r="S154" s="63" t="s">
        <v>73</v>
      </c>
      <c r="T154" s="24" t="s">
        <v>74</v>
      </c>
      <c r="U154" s="24" t="s">
        <v>75</v>
      </c>
      <c r="V154" s="32" t="s">
        <v>510</v>
      </c>
      <c r="W154" s="32" t="s">
        <v>208</v>
      </c>
      <c r="X154" s="32" t="s">
        <v>962</v>
      </c>
      <c r="Y154" s="24">
        <v>499</v>
      </c>
      <c r="Z154" s="24">
        <v>19</v>
      </c>
      <c r="AA154" s="24">
        <f t="shared" si="67"/>
        <v>474.05</v>
      </c>
      <c r="AB154" s="24">
        <f t="shared" si="60"/>
        <v>9481</v>
      </c>
      <c r="AC154" s="24">
        <f t="shared" si="61"/>
        <v>9006.9500000000007</v>
      </c>
      <c r="AD154" s="24">
        <f t="shared" si="62"/>
        <v>9006.9500000000007</v>
      </c>
      <c r="AE154" s="24">
        <f t="shared" si="63"/>
        <v>474.04999999999927</v>
      </c>
      <c r="AF154" s="24">
        <v>0</v>
      </c>
      <c r="AG154" s="33">
        <v>2900</v>
      </c>
      <c r="AH154" s="24"/>
      <c r="AI154" s="24"/>
      <c r="AJ154" s="24"/>
      <c r="AK154" s="24"/>
      <c r="AL154" s="24"/>
      <c r="AM154" s="24" t="s">
        <v>79</v>
      </c>
      <c r="AN154" s="34" t="s">
        <v>963</v>
      </c>
      <c r="AO154" s="35" t="s">
        <v>81</v>
      </c>
      <c r="AP154" s="24">
        <f>77*2</f>
        <v>154</v>
      </c>
      <c r="AQ154" s="36">
        <f t="shared" si="68"/>
        <v>47.384615384615387</v>
      </c>
      <c r="AR154" s="37">
        <v>47</v>
      </c>
      <c r="AS154" s="38">
        <f t="shared" si="69"/>
        <v>-0.3846153846153868</v>
      </c>
      <c r="AT154" s="39"/>
      <c r="AU154" s="38">
        <f t="shared" si="70"/>
        <v>-0.3846153846153868</v>
      </c>
      <c r="AV154" s="40">
        <v>91.99</v>
      </c>
      <c r="AW154" s="41">
        <f t="shared" si="64"/>
        <v>4323.53</v>
      </c>
      <c r="AX154" s="24">
        <f t="shared" si="76"/>
        <v>80.1995125986044</v>
      </c>
      <c r="AY154" s="24"/>
      <c r="AZ154" s="24"/>
      <c r="BA154" s="24"/>
      <c r="BB154" s="24">
        <f t="shared" si="71"/>
        <v>0</v>
      </c>
      <c r="BC154" s="24">
        <f t="shared" si="72"/>
        <v>1783.420000000001</v>
      </c>
      <c r="BD154" s="24">
        <v>110</v>
      </c>
      <c r="BE154" s="24">
        <v>110</v>
      </c>
      <c r="BF154" s="24"/>
      <c r="BG154" s="24">
        <f>+AB154*9.5%</f>
        <v>900.69500000000005</v>
      </c>
      <c r="BH154" s="24">
        <f>+AB154*8.5%</f>
        <v>805.8850000000001</v>
      </c>
      <c r="BI154" s="24"/>
      <c r="BJ154" s="24">
        <f t="shared" si="73"/>
        <v>17.065800000000003</v>
      </c>
      <c r="BK154" s="24">
        <f t="shared" si="74"/>
        <v>3692.9342000000015</v>
      </c>
      <c r="BL154" s="24" t="s">
        <v>565</v>
      </c>
      <c r="BM154" s="42">
        <f t="shared" si="65"/>
        <v>1</v>
      </c>
      <c r="BN154" s="24" t="s">
        <v>610</v>
      </c>
      <c r="BO154" s="2" t="s">
        <v>148</v>
      </c>
    </row>
    <row r="155" spans="1:67" s="1" customFormat="1" ht="15" customHeight="1" x14ac:dyDescent="0.3">
      <c r="A155" s="20">
        <v>151</v>
      </c>
      <c r="B155" s="21">
        <v>46092</v>
      </c>
      <c r="C155" s="21">
        <v>46097</v>
      </c>
      <c r="D155" s="52" t="s">
        <v>214</v>
      </c>
      <c r="E155" s="23">
        <v>46104</v>
      </c>
      <c r="F155" s="23" t="s">
        <v>7</v>
      </c>
      <c r="G155" s="24" t="s">
        <v>68</v>
      </c>
      <c r="H155" s="24" t="s">
        <v>69</v>
      </c>
      <c r="I155" s="24" t="s">
        <v>70</v>
      </c>
      <c r="J155" s="25" t="s">
        <v>650</v>
      </c>
      <c r="K155" s="45" t="str">
        <f t="shared" si="66"/>
        <v>WB39B0926</v>
      </c>
      <c r="L155" s="26">
        <v>46093</v>
      </c>
      <c r="M155" s="34" t="s">
        <v>964</v>
      </c>
      <c r="N155" s="27" t="s">
        <v>965</v>
      </c>
      <c r="O155" s="28">
        <v>0</v>
      </c>
      <c r="P155" s="27" t="s">
        <v>966</v>
      </c>
      <c r="Q155" s="66">
        <v>2525359860</v>
      </c>
      <c r="R155" s="30">
        <v>2110806216</v>
      </c>
      <c r="S155" s="54" t="s">
        <v>73</v>
      </c>
      <c r="T155" s="24" t="s">
        <v>91</v>
      </c>
      <c r="U155" s="24" t="s">
        <v>75</v>
      </c>
      <c r="V155" s="32" t="s">
        <v>510</v>
      </c>
      <c r="W155" s="32" t="s">
        <v>220</v>
      </c>
      <c r="X155" s="32" t="s">
        <v>967</v>
      </c>
      <c r="Y155" s="24">
        <v>499</v>
      </c>
      <c r="Z155" s="24">
        <v>25</v>
      </c>
      <c r="AA155" s="24">
        <f t="shared" si="67"/>
        <v>474.05</v>
      </c>
      <c r="AB155" s="24">
        <f t="shared" si="60"/>
        <v>12475</v>
      </c>
      <c r="AC155" s="24">
        <f t="shared" si="61"/>
        <v>11851.25</v>
      </c>
      <c r="AD155" s="24">
        <f t="shared" si="62"/>
        <v>11851.25</v>
      </c>
      <c r="AE155" s="24">
        <f t="shared" si="63"/>
        <v>623.75</v>
      </c>
      <c r="AF155" s="24">
        <v>0</v>
      </c>
      <c r="AG155" s="33">
        <v>5000</v>
      </c>
      <c r="AH155" s="24"/>
      <c r="AI155" s="24"/>
      <c r="AJ155" s="24"/>
      <c r="AK155" s="24"/>
      <c r="AL155" s="24"/>
      <c r="AM155" s="24" t="s">
        <v>79</v>
      </c>
      <c r="AN155" s="34" t="s">
        <v>968</v>
      </c>
      <c r="AO155" s="35" t="s">
        <v>81</v>
      </c>
      <c r="AP155" s="24">
        <f>77*2</f>
        <v>154</v>
      </c>
      <c r="AQ155" s="36">
        <f t="shared" si="68"/>
        <v>47.384615384615387</v>
      </c>
      <c r="AR155" s="37">
        <v>45</v>
      </c>
      <c r="AS155" s="38">
        <f t="shared" si="69"/>
        <v>-2.3846153846153868</v>
      </c>
      <c r="AT155" s="39"/>
      <c r="AU155" s="38">
        <f t="shared" si="70"/>
        <v>-2.3846153846153868</v>
      </c>
      <c r="AV155" s="40">
        <v>91.99</v>
      </c>
      <c r="AW155" s="41">
        <f t="shared" si="64"/>
        <v>4139.55</v>
      </c>
      <c r="AX155" s="24">
        <f t="shared" si="76"/>
        <v>77.118869317582522</v>
      </c>
      <c r="AY155" s="24"/>
      <c r="AZ155" s="24"/>
      <c r="BA155" s="24"/>
      <c r="BB155" s="24">
        <f t="shared" si="71"/>
        <v>0</v>
      </c>
      <c r="BC155" s="24">
        <f t="shared" si="72"/>
        <v>2711.7</v>
      </c>
      <c r="BD155" s="24">
        <v>135</v>
      </c>
      <c r="BE155" s="24">
        <v>135</v>
      </c>
      <c r="BF155" s="24"/>
      <c r="BG155" s="24">
        <f>+AB155*9.5%</f>
        <v>1185.125</v>
      </c>
      <c r="BH155" s="24"/>
      <c r="BI155" s="24"/>
      <c r="BJ155" s="24">
        <f t="shared" si="73"/>
        <v>11.85125</v>
      </c>
      <c r="BK155" s="24">
        <f t="shared" si="74"/>
        <v>4154.9737500000001</v>
      </c>
      <c r="BL155" s="24" t="s">
        <v>657</v>
      </c>
      <c r="BM155" s="42">
        <f t="shared" si="65"/>
        <v>2</v>
      </c>
      <c r="BN155" s="24" t="s">
        <v>83</v>
      </c>
      <c r="BO155" s="2" t="s">
        <v>129</v>
      </c>
    </row>
    <row r="156" spans="1:67" s="1" customFormat="1" ht="15" customHeight="1" x14ac:dyDescent="0.3">
      <c r="A156" s="20">
        <v>152</v>
      </c>
      <c r="B156" s="21">
        <v>46092</v>
      </c>
      <c r="C156" s="21">
        <v>46102</v>
      </c>
      <c r="D156" s="52" t="s">
        <v>254</v>
      </c>
      <c r="E156" s="23">
        <v>46104</v>
      </c>
      <c r="F156" s="23" t="s">
        <v>7</v>
      </c>
      <c r="G156" s="24" t="s">
        <v>68</v>
      </c>
      <c r="H156" s="24" t="s">
        <v>69</v>
      </c>
      <c r="I156" s="24" t="s">
        <v>70</v>
      </c>
      <c r="J156" s="25" t="s">
        <v>630</v>
      </c>
      <c r="K156" s="45" t="str">
        <f t="shared" si="66"/>
        <v>WB39B8879</v>
      </c>
      <c r="L156" s="26">
        <v>46093</v>
      </c>
      <c r="M156" s="34" t="s">
        <v>969</v>
      </c>
      <c r="N156" s="27" t="s">
        <v>970</v>
      </c>
      <c r="O156" s="28">
        <v>0</v>
      </c>
      <c r="P156" s="27" t="s">
        <v>971</v>
      </c>
      <c r="Q156" s="66">
        <v>2525359921</v>
      </c>
      <c r="R156" s="30">
        <v>2110806310</v>
      </c>
      <c r="S156" s="31" t="s">
        <v>73</v>
      </c>
      <c r="T156" s="24" t="s">
        <v>91</v>
      </c>
      <c r="U156" s="24" t="s">
        <v>75</v>
      </c>
      <c r="V156" s="32" t="s">
        <v>472</v>
      </c>
      <c r="W156" s="32" t="s">
        <v>473</v>
      </c>
      <c r="X156" s="32" t="s">
        <v>473</v>
      </c>
      <c r="Y156" s="24">
        <v>1151</v>
      </c>
      <c r="Z156" s="24">
        <v>25</v>
      </c>
      <c r="AA156" s="24">
        <f t="shared" si="67"/>
        <v>1093.45</v>
      </c>
      <c r="AB156" s="24">
        <f t="shared" si="60"/>
        <v>28775</v>
      </c>
      <c r="AC156" s="24">
        <f t="shared" si="61"/>
        <v>27336.25</v>
      </c>
      <c r="AD156" s="24">
        <f t="shared" si="62"/>
        <v>27336.25</v>
      </c>
      <c r="AE156" s="24">
        <f t="shared" si="63"/>
        <v>1438.75</v>
      </c>
      <c r="AF156" s="24">
        <f t="shared" si="59"/>
        <v>273.36250000000001</v>
      </c>
      <c r="AG156" s="33">
        <v>3600</v>
      </c>
      <c r="AH156" s="24"/>
      <c r="AI156" s="24">
        <v>10000</v>
      </c>
      <c r="AJ156" s="24"/>
      <c r="AK156" s="24"/>
      <c r="AL156" s="24"/>
      <c r="AM156" s="24" t="s">
        <v>79</v>
      </c>
      <c r="AN156" s="34" t="s">
        <v>972</v>
      </c>
      <c r="AO156" s="35" t="s">
        <v>973</v>
      </c>
      <c r="AP156" s="24">
        <f>297*2</f>
        <v>594</v>
      </c>
      <c r="AQ156" s="36">
        <f t="shared" si="68"/>
        <v>182.76923076923077</v>
      </c>
      <c r="AR156" s="67">
        <v>180</v>
      </c>
      <c r="AS156" s="68">
        <f t="shared" si="69"/>
        <v>-2.7692307692307736</v>
      </c>
      <c r="AT156" s="69"/>
      <c r="AU156" s="68">
        <f t="shared" si="70"/>
        <v>-2.7692307692307736</v>
      </c>
      <c r="AV156" s="70">
        <v>91.99</v>
      </c>
      <c r="AW156" s="65">
        <f t="shared" si="64"/>
        <v>16558.2</v>
      </c>
      <c r="AX156" s="24">
        <f t="shared" si="76"/>
        <v>73.741643422195807</v>
      </c>
      <c r="AY156" s="24"/>
      <c r="AZ156" s="24"/>
      <c r="BA156" s="24"/>
      <c r="BB156" s="24">
        <f t="shared" si="71"/>
        <v>0</v>
      </c>
      <c r="BC156" s="24">
        <f t="shared" si="72"/>
        <v>-3095.3125</v>
      </c>
      <c r="BD156" s="24"/>
      <c r="BE156" s="24"/>
      <c r="BF156" s="24"/>
      <c r="BG156" s="24">
        <f>+AD156*9.5%</f>
        <v>2596.9437499999999</v>
      </c>
      <c r="BH156" s="24"/>
      <c r="BI156" s="24"/>
      <c r="BJ156" s="24">
        <f t="shared" si="73"/>
        <v>25.969437499999998</v>
      </c>
      <c r="BK156" s="24">
        <f t="shared" si="74"/>
        <v>-524.33818750000012</v>
      </c>
      <c r="BL156" s="24" t="s">
        <v>638</v>
      </c>
      <c r="BM156" s="42">
        <f t="shared" si="65"/>
        <v>2</v>
      </c>
      <c r="BN156" s="24" t="s">
        <v>83</v>
      </c>
      <c r="BO156" s="2" t="s">
        <v>84</v>
      </c>
    </row>
    <row r="157" spans="1:67" s="1" customFormat="1" ht="15" customHeight="1" x14ac:dyDescent="0.3">
      <c r="A157" s="20">
        <v>153</v>
      </c>
      <c r="B157" s="21">
        <v>46092</v>
      </c>
      <c r="C157" s="21">
        <v>46097</v>
      </c>
      <c r="D157" s="50" t="s">
        <v>430</v>
      </c>
      <c r="E157" s="23">
        <v>46097</v>
      </c>
      <c r="F157" s="23" t="s">
        <v>7</v>
      </c>
      <c r="G157" s="24" t="s">
        <v>68</v>
      </c>
      <c r="H157" s="24" t="s">
        <v>69</v>
      </c>
      <c r="I157" s="24" t="s">
        <v>112</v>
      </c>
      <c r="J157" s="25" t="s">
        <v>157</v>
      </c>
      <c r="K157" s="45" t="str">
        <f t="shared" si="66"/>
        <v>WB39A6898</v>
      </c>
      <c r="L157" s="26">
        <v>46093</v>
      </c>
      <c r="M157" s="34" t="s">
        <v>974</v>
      </c>
      <c r="N157" s="27" t="s">
        <v>975</v>
      </c>
      <c r="O157" s="28">
        <v>0</v>
      </c>
      <c r="P157" s="27" t="s">
        <v>976</v>
      </c>
      <c r="Q157" s="66">
        <v>2525359937</v>
      </c>
      <c r="R157" s="30">
        <v>2110806283</v>
      </c>
      <c r="S157" s="31" t="s">
        <v>73</v>
      </c>
      <c r="T157" s="24" t="s">
        <v>74</v>
      </c>
      <c r="U157" s="24" t="s">
        <v>75</v>
      </c>
      <c r="V157" s="32" t="s">
        <v>977</v>
      </c>
      <c r="W157" s="32" t="s">
        <v>978</v>
      </c>
      <c r="X157" s="32"/>
      <c r="Y157" s="24">
        <v>623</v>
      </c>
      <c r="Z157" s="24">
        <v>19</v>
      </c>
      <c r="AA157" s="24">
        <f t="shared" si="67"/>
        <v>591.85</v>
      </c>
      <c r="AB157" s="24">
        <f t="shared" si="60"/>
        <v>11837</v>
      </c>
      <c r="AC157" s="24">
        <f t="shared" si="61"/>
        <v>11245.15</v>
      </c>
      <c r="AD157" s="24">
        <f t="shared" si="62"/>
        <v>11245.15</v>
      </c>
      <c r="AE157" s="24">
        <f t="shared" si="63"/>
        <v>591.85000000000036</v>
      </c>
      <c r="AF157" s="24">
        <f t="shared" si="59"/>
        <v>112.4515</v>
      </c>
      <c r="AG157" s="33">
        <v>3800</v>
      </c>
      <c r="AH157" s="24"/>
      <c r="AI157" s="24"/>
      <c r="AJ157" s="24"/>
      <c r="AK157" s="24"/>
      <c r="AL157" s="24"/>
      <c r="AM157" s="24" t="s">
        <v>79</v>
      </c>
      <c r="AN157" s="34" t="s">
        <v>979</v>
      </c>
      <c r="AO157" s="35" t="s">
        <v>973</v>
      </c>
      <c r="AP157" s="24">
        <f>131*2</f>
        <v>262</v>
      </c>
      <c r="AQ157" s="36">
        <f t="shared" si="68"/>
        <v>80.615384615384613</v>
      </c>
      <c r="AR157" s="67">
        <v>55</v>
      </c>
      <c r="AS157" s="47">
        <f t="shared" si="69"/>
        <v>-25.615384615384613</v>
      </c>
      <c r="AT157" s="31"/>
      <c r="AU157" s="47">
        <f t="shared" si="70"/>
        <v>-25.615384615384613</v>
      </c>
      <c r="AV157" s="70">
        <v>91.99</v>
      </c>
      <c r="AW157" s="65">
        <f t="shared" si="64"/>
        <v>5059.45</v>
      </c>
      <c r="AX157" s="24">
        <f t="shared" si="76"/>
        <v>78.784631596732822</v>
      </c>
      <c r="AY157" s="24"/>
      <c r="AZ157" s="24"/>
      <c r="BA157" s="24"/>
      <c r="BB157" s="24">
        <f t="shared" si="71"/>
        <v>0</v>
      </c>
      <c r="BC157" s="24">
        <f t="shared" si="72"/>
        <v>2273.2485000000006</v>
      </c>
      <c r="BD157" s="24">
        <v>110</v>
      </c>
      <c r="BE157" s="24">
        <v>110</v>
      </c>
      <c r="BF157" s="24"/>
      <c r="BG157" s="24">
        <f>+AD157*8.5%</f>
        <v>955.83775000000003</v>
      </c>
      <c r="BH157" s="24">
        <f>+AD157*8.5%</f>
        <v>955.83775000000003</v>
      </c>
      <c r="BI157" s="24"/>
      <c r="BJ157" s="24">
        <f t="shared" si="73"/>
        <v>19.116755000000001</v>
      </c>
      <c r="BK157" s="24">
        <f t="shared" si="74"/>
        <v>4385.8072450000009</v>
      </c>
      <c r="BL157" s="24" t="s">
        <v>163</v>
      </c>
      <c r="BM157" s="42">
        <f t="shared" si="65"/>
        <v>2</v>
      </c>
      <c r="BN157" s="24" t="s">
        <v>83</v>
      </c>
      <c r="BO157" s="2" t="s">
        <v>84</v>
      </c>
    </row>
    <row r="158" spans="1:67" s="1" customFormat="1" ht="15" customHeight="1" x14ac:dyDescent="0.3">
      <c r="A158" s="20">
        <v>154</v>
      </c>
      <c r="B158" s="21">
        <v>46092</v>
      </c>
      <c r="C158" s="21">
        <v>46097</v>
      </c>
      <c r="D158" s="52" t="s">
        <v>523</v>
      </c>
      <c r="E158" s="23">
        <v>46105</v>
      </c>
      <c r="F158" s="23" t="s">
        <v>7</v>
      </c>
      <c r="G158" s="24" t="s">
        <v>68</v>
      </c>
      <c r="H158" s="24" t="s">
        <v>69</v>
      </c>
      <c r="I158" s="24" t="s">
        <v>131</v>
      </c>
      <c r="J158" s="25" t="s">
        <v>132</v>
      </c>
      <c r="K158" s="45" t="str">
        <f t="shared" si="66"/>
        <v>WB29A8166</v>
      </c>
      <c r="L158" s="26">
        <v>46093</v>
      </c>
      <c r="M158" s="34" t="s">
        <v>980</v>
      </c>
      <c r="N158" s="27" t="s">
        <v>981</v>
      </c>
      <c r="O158" s="28">
        <v>0</v>
      </c>
      <c r="P158" s="27" t="s">
        <v>982</v>
      </c>
      <c r="Q158" s="66">
        <v>2525359952</v>
      </c>
      <c r="R158" s="30">
        <v>2110806350</v>
      </c>
      <c r="S158" s="54" t="s">
        <v>73</v>
      </c>
      <c r="T158" s="24" t="s">
        <v>91</v>
      </c>
      <c r="U158" s="24" t="s">
        <v>75</v>
      </c>
      <c r="V158" s="32" t="s">
        <v>983</v>
      </c>
      <c r="W158" s="32" t="s">
        <v>528</v>
      </c>
      <c r="X158" s="32" t="s">
        <v>984</v>
      </c>
      <c r="Y158" s="24">
        <v>961</v>
      </c>
      <c r="Z158" s="24">
        <v>25</v>
      </c>
      <c r="AA158" s="24">
        <f t="shared" si="67"/>
        <v>912.94999999999993</v>
      </c>
      <c r="AB158" s="24">
        <f t="shared" si="60"/>
        <v>24025</v>
      </c>
      <c r="AC158" s="24">
        <f t="shared" si="61"/>
        <v>22823.75</v>
      </c>
      <c r="AD158" s="24">
        <f t="shared" si="62"/>
        <v>22823.75</v>
      </c>
      <c r="AE158" s="24">
        <f t="shared" si="63"/>
        <v>1201.25</v>
      </c>
      <c r="AF158" s="24">
        <v>0</v>
      </c>
      <c r="AG158" s="33">
        <v>6700</v>
      </c>
      <c r="AH158" s="24"/>
      <c r="AI158" s="24"/>
      <c r="AJ158" s="24"/>
      <c r="AK158" s="24"/>
      <c r="AL158" s="24"/>
      <c r="AM158" s="24" t="s">
        <v>79</v>
      </c>
      <c r="AN158" s="34" t="s">
        <v>985</v>
      </c>
      <c r="AO158" s="35" t="s">
        <v>973</v>
      </c>
      <c r="AP158" s="24">
        <f>214*2</f>
        <v>428</v>
      </c>
      <c r="AQ158" s="36">
        <f t="shared" si="68"/>
        <v>131.69230769230768</v>
      </c>
      <c r="AR158" s="67">
        <v>135</v>
      </c>
      <c r="AS158" s="68">
        <f t="shared" si="69"/>
        <v>3.3076923076923208</v>
      </c>
      <c r="AT158" s="69"/>
      <c r="AU158" s="68">
        <f t="shared" si="70"/>
        <v>3.3076923076923208</v>
      </c>
      <c r="AV158" s="70">
        <v>91.99</v>
      </c>
      <c r="AW158" s="65">
        <f t="shared" si="64"/>
        <v>12418.65</v>
      </c>
      <c r="AX158" s="24">
        <f t="shared" si="76"/>
        <v>83.766471329207519</v>
      </c>
      <c r="AY158" s="24"/>
      <c r="AZ158" s="24"/>
      <c r="BA158" s="24"/>
      <c r="BB158" s="24">
        <f t="shared" si="71"/>
        <v>0</v>
      </c>
      <c r="BC158" s="24">
        <f t="shared" si="72"/>
        <v>3705.1000000000004</v>
      </c>
      <c r="BD158" s="24">
        <v>135</v>
      </c>
      <c r="BE158" s="24">
        <v>135</v>
      </c>
      <c r="BF158" s="24"/>
      <c r="BG158" s="24">
        <f>+AB158*9.5%</f>
        <v>2282.375</v>
      </c>
      <c r="BH158" s="24"/>
      <c r="BI158" s="24"/>
      <c r="BJ158" s="24">
        <f t="shared" si="73"/>
        <v>22.82375</v>
      </c>
      <c r="BK158" s="24">
        <f t="shared" si="74"/>
        <v>6234.6512500000008</v>
      </c>
      <c r="BL158" s="24" t="s">
        <v>138</v>
      </c>
      <c r="BM158" s="42">
        <f t="shared" si="65"/>
        <v>2</v>
      </c>
      <c r="BN158" s="24" t="s">
        <v>83</v>
      </c>
      <c r="BO158" s="2" t="s">
        <v>148</v>
      </c>
    </row>
    <row r="159" spans="1:67" s="1" customFormat="1" ht="15" customHeight="1" x14ac:dyDescent="0.3">
      <c r="A159" s="20">
        <v>155</v>
      </c>
      <c r="B159" s="21">
        <v>46092</v>
      </c>
      <c r="C159" s="21">
        <v>46097</v>
      </c>
      <c r="D159" s="56" t="s">
        <v>176</v>
      </c>
      <c r="E159" s="23">
        <v>46097</v>
      </c>
      <c r="F159" s="23" t="s">
        <v>7</v>
      </c>
      <c r="G159" s="24" t="s">
        <v>68</v>
      </c>
      <c r="H159" s="24" t="s">
        <v>69</v>
      </c>
      <c r="I159" s="24" t="s">
        <v>397</v>
      </c>
      <c r="J159" s="25" t="s">
        <v>398</v>
      </c>
      <c r="K159" s="45" t="str">
        <f t="shared" si="66"/>
        <v>WB33C6016</v>
      </c>
      <c r="L159" s="26">
        <v>46093</v>
      </c>
      <c r="M159" s="34" t="s">
        <v>986</v>
      </c>
      <c r="N159" s="27" t="s">
        <v>987</v>
      </c>
      <c r="O159" s="28">
        <v>0</v>
      </c>
      <c r="P159" s="27" t="s">
        <v>988</v>
      </c>
      <c r="Q159" s="29">
        <v>2525359961</v>
      </c>
      <c r="R159" s="30">
        <v>2110806352</v>
      </c>
      <c r="S159" s="31" t="s">
        <v>73</v>
      </c>
      <c r="T159" s="24" t="s">
        <v>74</v>
      </c>
      <c r="U159" s="24" t="s">
        <v>75</v>
      </c>
      <c r="V159" s="32" t="s">
        <v>989</v>
      </c>
      <c r="W159" s="32" t="s">
        <v>990</v>
      </c>
      <c r="X159" s="32"/>
      <c r="Y159" s="24">
        <v>654</v>
      </c>
      <c r="Z159" s="24">
        <v>19</v>
      </c>
      <c r="AA159" s="24">
        <f t="shared" si="67"/>
        <v>621.29999999999995</v>
      </c>
      <c r="AB159" s="24">
        <f t="shared" si="60"/>
        <v>12426</v>
      </c>
      <c r="AC159" s="24">
        <f t="shared" si="61"/>
        <v>11804.7</v>
      </c>
      <c r="AD159" s="24">
        <f t="shared" si="62"/>
        <v>11804.699999999999</v>
      </c>
      <c r="AE159" s="24">
        <f t="shared" si="63"/>
        <v>621.30000000000109</v>
      </c>
      <c r="AF159" s="24">
        <f t="shared" si="59"/>
        <v>118.047</v>
      </c>
      <c r="AG159" s="33">
        <v>2800</v>
      </c>
      <c r="AH159" s="24"/>
      <c r="AI159" s="24">
        <v>1300</v>
      </c>
      <c r="AJ159" s="24"/>
      <c r="AK159" s="24"/>
      <c r="AL159" s="24"/>
      <c r="AM159" s="24" t="s">
        <v>79</v>
      </c>
      <c r="AN159" s="34" t="s">
        <v>991</v>
      </c>
      <c r="AO159" s="35" t="s">
        <v>973</v>
      </c>
      <c r="AP159" s="24">
        <f>122*2</f>
        <v>244</v>
      </c>
      <c r="AQ159" s="36">
        <f t="shared" si="68"/>
        <v>75.07692307692308</v>
      </c>
      <c r="AR159" s="67">
        <v>70</v>
      </c>
      <c r="AS159" s="68">
        <f t="shared" si="69"/>
        <v>-5.0769230769230802</v>
      </c>
      <c r="AT159" s="69"/>
      <c r="AU159" s="68">
        <f t="shared" si="70"/>
        <v>-5.0769230769230802</v>
      </c>
      <c r="AV159" s="70">
        <v>91.99</v>
      </c>
      <c r="AW159" s="65">
        <f t="shared" si="64"/>
        <v>6439.2999999999993</v>
      </c>
      <c r="AX159" s="24">
        <f t="shared" si="76"/>
        <v>78.267978008759215</v>
      </c>
      <c r="AY159" s="24"/>
      <c r="AZ159" s="24"/>
      <c r="BA159" s="24"/>
      <c r="BB159" s="24">
        <f t="shared" si="71"/>
        <v>0</v>
      </c>
      <c r="BC159" s="24">
        <f t="shared" si="72"/>
        <v>1147.3529999999992</v>
      </c>
      <c r="BD159" s="24">
        <v>110</v>
      </c>
      <c r="BE159" s="24">
        <v>110</v>
      </c>
      <c r="BF159" s="24"/>
      <c r="BG159" s="24">
        <f>+AD159*8.5%</f>
        <v>1003.3995</v>
      </c>
      <c r="BH159" s="24">
        <f>+AD159*8.5%</f>
        <v>1003.3995</v>
      </c>
      <c r="BI159" s="24"/>
      <c r="BJ159" s="24">
        <f t="shared" si="73"/>
        <v>20.067990000000002</v>
      </c>
      <c r="BK159" s="24">
        <f t="shared" si="74"/>
        <v>3354.0840099999991</v>
      </c>
      <c r="BL159" s="24" t="s">
        <v>405</v>
      </c>
      <c r="BM159" s="42">
        <f t="shared" si="65"/>
        <v>2</v>
      </c>
      <c r="BN159" s="24" t="s">
        <v>83</v>
      </c>
      <c r="BO159" s="2" t="s">
        <v>84</v>
      </c>
    </row>
    <row r="160" spans="1:67" s="1" customFormat="1" ht="15" customHeight="1" x14ac:dyDescent="0.3">
      <c r="A160" s="20">
        <v>156</v>
      </c>
      <c r="B160" s="21">
        <v>46092</v>
      </c>
      <c r="C160" s="21">
        <v>46097</v>
      </c>
      <c r="D160" s="50" t="s">
        <v>884</v>
      </c>
      <c r="E160" s="23">
        <v>46097</v>
      </c>
      <c r="F160" s="23" t="s">
        <v>7</v>
      </c>
      <c r="G160" s="24" t="s">
        <v>68</v>
      </c>
      <c r="H160" s="24" t="s">
        <v>69</v>
      </c>
      <c r="I160" s="24" t="s">
        <v>112</v>
      </c>
      <c r="J160" s="25" t="s">
        <v>487</v>
      </c>
      <c r="K160" s="45" t="str">
        <f t="shared" si="66"/>
        <v>WB39A9434</v>
      </c>
      <c r="L160" s="26">
        <v>46093</v>
      </c>
      <c r="M160" s="34" t="s">
        <v>992</v>
      </c>
      <c r="N160" s="27" t="s">
        <v>993</v>
      </c>
      <c r="O160" s="28">
        <v>0</v>
      </c>
      <c r="P160" s="27" t="s">
        <v>994</v>
      </c>
      <c r="Q160" s="29">
        <v>2525359936</v>
      </c>
      <c r="R160" s="30">
        <v>2110806282</v>
      </c>
      <c r="S160" s="31" t="s">
        <v>73</v>
      </c>
      <c r="T160" s="24" t="s">
        <v>91</v>
      </c>
      <c r="U160" s="24" t="s">
        <v>75</v>
      </c>
      <c r="V160" s="32" t="s">
        <v>616</v>
      </c>
      <c r="W160" s="32" t="s">
        <v>492</v>
      </c>
      <c r="X160" s="32"/>
      <c r="Y160" s="24">
        <v>934</v>
      </c>
      <c r="Z160" s="24">
        <v>5</v>
      </c>
      <c r="AA160" s="24">
        <f t="shared" si="67"/>
        <v>887.3</v>
      </c>
      <c r="AB160" s="24">
        <f t="shared" si="60"/>
        <v>4670</v>
      </c>
      <c r="AC160" s="24">
        <f t="shared" si="61"/>
        <v>4436.5</v>
      </c>
      <c r="AD160" s="24">
        <f t="shared" si="62"/>
        <v>4436.5</v>
      </c>
      <c r="AE160" s="24">
        <f t="shared" si="63"/>
        <v>233.5</v>
      </c>
      <c r="AF160" s="24">
        <f t="shared" si="59"/>
        <v>44.365000000000002</v>
      </c>
      <c r="AG160" s="33">
        <v>5500</v>
      </c>
      <c r="AH160" s="24"/>
      <c r="AI160" s="24"/>
      <c r="AJ160" s="24"/>
      <c r="AK160" s="24"/>
      <c r="AL160" s="24"/>
      <c r="AM160" s="24" t="s">
        <v>79</v>
      </c>
      <c r="AN160" s="34" t="s">
        <v>995</v>
      </c>
      <c r="AO160" s="35" t="s">
        <v>973</v>
      </c>
      <c r="AP160" s="24">
        <f>240*2</f>
        <v>480</v>
      </c>
      <c r="AQ160" s="36">
        <f t="shared" si="68"/>
        <v>147.69230769230768</v>
      </c>
      <c r="AR160" s="67">
        <v>165</v>
      </c>
      <c r="AS160" s="68">
        <f t="shared" si="69"/>
        <v>17.307692307692321</v>
      </c>
      <c r="AT160" s="69"/>
      <c r="AU160" s="68">
        <f t="shared" si="70"/>
        <v>17.307692307692321</v>
      </c>
      <c r="AV160" s="70">
        <v>91.99</v>
      </c>
      <c r="AW160" s="65">
        <f t="shared" si="64"/>
        <v>15178.349999999999</v>
      </c>
      <c r="AX160" s="24">
        <f t="shared" si="76"/>
        <v>466.09602163867913</v>
      </c>
      <c r="AY160" s="24"/>
      <c r="AZ160" s="24"/>
      <c r="BA160" s="24"/>
      <c r="BB160" s="24">
        <f t="shared" si="71"/>
        <v>0</v>
      </c>
      <c r="BC160" s="24">
        <f t="shared" si="72"/>
        <v>-16286.214999999998</v>
      </c>
      <c r="BD160" s="24"/>
      <c r="BE160" s="24"/>
      <c r="BF160" s="24"/>
      <c r="BG160" s="24">
        <f t="shared" ref="BG160:BG161" si="77">+AB160*9.5%</f>
        <v>443.65</v>
      </c>
      <c r="BH160" s="24"/>
      <c r="BI160" s="24"/>
      <c r="BJ160" s="24">
        <f t="shared" si="73"/>
        <v>4.4364999999999997</v>
      </c>
      <c r="BK160" s="24">
        <f t="shared" si="74"/>
        <v>-15847.001499999998</v>
      </c>
      <c r="BL160" s="24" t="s">
        <v>494</v>
      </c>
      <c r="BM160" s="42">
        <f t="shared" si="65"/>
        <v>2</v>
      </c>
      <c r="BN160" s="24" t="s">
        <v>83</v>
      </c>
      <c r="BO160" s="2" t="s">
        <v>84</v>
      </c>
    </row>
    <row r="161" spans="1:67" s="1" customFormat="1" ht="15" customHeight="1" x14ac:dyDescent="0.3">
      <c r="A161" s="20">
        <v>157</v>
      </c>
      <c r="B161" s="21">
        <v>46092</v>
      </c>
      <c r="C161" s="21">
        <v>46097</v>
      </c>
      <c r="D161" s="50" t="s">
        <v>884</v>
      </c>
      <c r="E161" s="23">
        <v>46097</v>
      </c>
      <c r="F161" s="23" t="s">
        <v>7</v>
      </c>
      <c r="G161" s="24" t="s">
        <v>68</v>
      </c>
      <c r="H161" s="24" t="s">
        <v>69</v>
      </c>
      <c r="I161" s="24" t="s">
        <v>112</v>
      </c>
      <c r="J161" s="25" t="s">
        <v>487</v>
      </c>
      <c r="K161" s="45" t="str">
        <f t="shared" si="66"/>
        <v>WB39A9434</v>
      </c>
      <c r="L161" s="26">
        <v>46093</v>
      </c>
      <c r="M161" s="34" t="s">
        <v>996</v>
      </c>
      <c r="N161" s="27" t="s">
        <v>997</v>
      </c>
      <c r="O161" s="28">
        <v>0</v>
      </c>
      <c r="P161" s="27" t="s">
        <v>998</v>
      </c>
      <c r="Q161" s="29">
        <v>2525359935</v>
      </c>
      <c r="R161" s="30">
        <v>2110806281</v>
      </c>
      <c r="S161" s="31" t="s">
        <v>73</v>
      </c>
      <c r="T161" s="24" t="s">
        <v>91</v>
      </c>
      <c r="U161" s="24" t="s">
        <v>75</v>
      </c>
      <c r="V161" s="32" t="s">
        <v>999</v>
      </c>
      <c r="W161" s="32" t="s">
        <v>492</v>
      </c>
      <c r="X161" s="32"/>
      <c r="Y161" s="24">
        <v>1047</v>
      </c>
      <c r="Z161" s="24">
        <v>20</v>
      </c>
      <c r="AA161" s="24">
        <f t="shared" si="67"/>
        <v>994.65000000000009</v>
      </c>
      <c r="AB161" s="24">
        <f t="shared" si="60"/>
        <v>20940</v>
      </c>
      <c r="AC161" s="24">
        <f t="shared" si="61"/>
        <v>19893</v>
      </c>
      <c r="AD161" s="24">
        <f t="shared" si="62"/>
        <v>19893</v>
      </c>
      <c r="AE161" s="24">
        <f t="shared" si="63"/>
        <v>1047</v>
      </c>
      <c r="AF161" s="24">
        <f t="shared" si="59"/>
        <v>198.93</v>
      </c>
      <c r="AG161" s="31"/>
      <c r="AH161" s="24"/>
      <c r="AI161" s="24"/>
      <c r="AJ161" s="24"/>
      <c r="AK161" s="24">
        <v>115</v>
      </c>
      <c r="AL161" s="24"/>
      <c r="AM161" s="24" t="s">
        <v>79</v>
      </c>
      <c r="AN161" s="34"/>
      <c r="AO161" s="35"/>
      <c r="AP161" s="24"/>
      <c r="AQ161" s="36">
        <f t="shared" si="68"/>
        <v>0</v>
      </c>
      <c r="AR161" s="16"/>
      <c r="AS161" s="47">
        <f t="shared" si="69"/>
        <v>0</v>
      </c>
      <c r="AT161" s="31"/>
      <c r="AU161" s="47">
        <f t="shared" si="70"/>
        <v>0</v>
      </c>
      <c r="AV161" s="48">
        <v>91.99</v>
      </c>
      <c r="AW161" s="24">
        <f t="shared" si="64"/>
        <v>0</v>
      </c>
      <c r="AX161" s="24">
        <f t="shared" si="76"/>
        <v>0</v>
      </c>
      <c r="AY161" s="24"/>
      <c r="AZ161" s="24"/>
      <c r="BA161" s="24"/>
      <c r="BB161" s="24">
        <f t="shared" si="71"/>
        <v>0</v>
      </c>
      <c r="BC161" s="24">
        <f t="shared" si="72"/>
        <v>19579.07</v>
      </c>
      <c r="BD161" s="24"/>
      <c r="BE161" s="24"/>
      <c r="BF161" s="24"/>
      <c r="BG161" s="24">
        <f t="shared" si="77"/>
        <v>1989.3</v>
      </c>
      <c r="BH161" s="24"/>
      <c r="BI161" s="24"/>
      <c r="BJ161" s="24">
        <f t="shared" si="73"/>
        <v>19.893000000000001</v>
      </c>
      <c r="BK161" s="24">
        <f t="shared" si="74"/>
        <v>21548.476999999999</v>
      </c>
      <c r="BL161" s="24" t="s">
        <v>494</v>
      </c>
      <c r="BM161" s="42">
        <f t="shared" si="65"/>
        <v>2</v>
      </c>
      <c r="BN161" s="24" t="s">
        <v>83</v>
      </c>
      <c r="BO161" s="2" t="s">
        <v>84</v>
      </c>
    </row>
    <row r="162" spans="1:67" s="1" customFormat="1" ht="15" customHeight="1" x14ac:dyDescent="0.3">
      <c r="A162" s="20">
        <v>158</v>
      </c>
      <c r="B162" s="21">
        <v>46092</v>
      </c>
      <c r="C162" s="21">
        <v>46094</v>
      </c>
      <c r="D162" s="56" t="s">
        <v>1000</v>
      </c>
      <c r="E162" s="23">
        <v>46097</v>
      </c>
      <c r="F162" s="23" t="s">
        <v>7</v>
      </c>
      <c r="G162" s="24" t="s">
        <v>68</v>
      </c>
      <c r="H162" s="24" t="s">
        <v>69</v>
      </c>
      <c r="I162" s="24" t="s">
        <v>70</v>
      </c>
      <c r="J162" s="25" t="s">
        <v>177</v>
      </c>
      <c r="K162" s="45" t="str">
        <f t="shared" si="66"/>
        <v>WB39B8916</v>
      </c>
      <c r="L162" s="26">
        <v>46093</v>
      </c>
      <c r="M162" s="34" t="s">
        <v>1001</v>
      </c>
      <c r="N162" s="27" t="s">
        <v>1002</v>
      </c>
      <c r="O162" s="28">
        <v>0</v>
      </c>
      <c r="P162" s="27" t="s">
        <v>1003</v>
      </c>
      <c r="Q162" s="29">
        <v>2525360043</v>
      </c>
      <c r="R162" s="30">
        <v>2110806474</v>
      </c>
      <c r="S162" s="31" t="s">
        <v>73</v>
      </c>
      <c r="T162" s="24" t="s">
        <v>91</v>
      </c>
      <c r="U162" s="24" t="s">
        <v>75</v>
      </c>
      <c r="V162" s="32" t="s">
        <v>1004</v>
      </c>
      <c r="W162" s="32" t="s">
        <v>1005</v>
      </c>
      <c r="X162" s="32" t="s">
        <v>1005</v>
      </c>
      <c r="Y162" s="24">
        <v>778</v>
      </c>
      <c r="Z162" s="24">
        <v>15</v>
      </c>
      <c r="AA162" s="24">
        <f t="shared" si="67"/>
        <v>739.1</v>
      </c>
      <c r="AB162" s="24">
        <f t="shared" si="60"/>
        <v>11670</v>
      </c>
      <c r="AC162" s="24">
        <f t="shared" si="61"/>
        <v>11086.5</v>
      </c>
      <c r="AD162" s="24">
        <f t="shared" si="62"/>
        <v>11086.5</v>
      </c>
      <c r="AE162" s="24">
        <f t="shared" si="63"/>
        <v>583.5</v>
      </c>
      <c r="AF162" s="24">
        <f t="shared" si="59"/>
        <v>110.86500000000001</v>
      </c>
      <c r="AG162" s="33">
        <v>4200</v>
      </c>
      <c r="AH162" s="24"/>
      <c r="AI162" s="24">
        <v>11500</v>
      </c>
      <c r="AJ162" s="24"/>
      <c r="AK162" s="24">
        <v>115</v>
      </c>
      <c r="AL162" s="24"/>
      <c r="AM162" s="24" t="s">
        <v>79</v>
      </c>
      <c r="AN162" s="34" t="s">
        <v>1006</v>
      </c>
      <c r="AO162" s="35" t="s">
        <v>973</v>
      </c>
      <c r="AP162" s="24">
        <f>178*2</f>
        <v>356</v>
      </c>
      <c r="AQ162" s="36">
        <f t="shared" si="68"/>
        <v>109.53846153846153</v>
      </c>
      <c r="AR162" s="67">
        <v>110</v>
      </c>
      <c r="AS162" s="68">
        <f t="shared" si="69"/>
        <v>0.461538461538467</v>
      </c>
      <c r="AT162" s="69"/>
      <c r="AU162" s="68">
        <f t="shared" si="70"/>
        <v>0.461538461538467</v>
      </c>
      <c r="AV162" s="70">
        <v>91.99</v>
      </c>
      <c r="AW162" s="65">
        <f t="shared" si="64"/>
        <v>10118.9</v>
      </c>
      <c r="AX162" s="24">
        <f t="shared" si="76"/>
        <v>129.15618094078383</v>
      </c>
      <c r="AY162" s="24"/>
      <c r="AZ162" s="24"/>
      <c r="BA162" s="24"/>
      <c r="BB162" s="24">
        <f t="shared" si="71"/>
        <v>0</v>
      </c>
      <c r="BC162" s="24">
        <f t="shared" si="72"/>
        <v>-14958.264999999999</v>
      </c>
      <c r="BD162" s="24">
        <v>120</v>
      </c>
      <c r="BE162" s="24">
        <v>120</v>
      </c>
      <c r="BF162" s="24"/>
      <c r="BG162" s="24">
        <f t="shared" ref="BG162:BG163" si="78">+AD162*9.5%</f>
        <v>1053.2175</v>
      </c>
      <c r="BH162" s="24"/>
      <c r="BI162" s="24"/>
      <c r="BJ162" s="24">
        <f t="shared" si="73"/>
        <v>10.532175000000001</v>
      </c>
      <c r="BK162" s="24">
        <f t="shared" si="74"/>
        <v>-13675.579674999999</v>
      </c>
      <c r="BL162" s="24" t="s">
        <v>182</v>
      </c>
      <c r="BM162" s="42">
        <f t="shared" si="65"/>
        <v>2</v>
      </c>
      <c r="BN162" s="24" t="s">
        <v>83</v>
      </c>
      <c r="BO162" s="2" t="s">
        <v>84</v>
      </c>
    </row>
    <row r="163" spans="1:67" s="1" customFormat="1" ht="15" customHeight="1" x14ac:dyDescent="0.3">
      <c r="A163" s="20">
        <v>159</v>
      </c>
      <c r="B163" s="21">
        <v>46092</v>
      </c>
      <c r="C163" s="21">
        <v>46094</v>
      </c>
      <c r="D163" s="56" t="s">
        <v>1000</v>
      </c>
      <c r="E163" s="23">
        <v>46097</v>
      </c>
      <c r="F163" s="23" t="s">
        <v>7</v>
      </c>
      <c r="G163" s="24" t="s">
        <v>68</v>
      </c>
      <c r="H163" s="24" t="s">
        <v>69</v>
      </c>
      <c r="I163" s="24" t="s">
        <v>70</v>
      </c>
      <c r="J163" s="25" t="s">
        <v>177</v>
      </c>
      <c r="K163" s="45" t="str">
        <f t="shared" si="66"/>
        <v>WB39B8916</v>
      </c>
      <c r="L163" s="26">
        <v>46093</v>
      </c>
      <c r="M163" s="34" t="s">
        <v>1007</v>
      </c>
      <c r="N163" s="27" t="s">
        <v>1008</v>
      </c>
      <c r="O163" s="28">
        <v>0</v>
      </c>
      <c r="P163" s="27" t="s">
        <v>1009</v>
      </c>
      <c r="Q163" s="29">
        <v>2525360044</v>
      </c>
      <c r="R163" s="30">
        <v>2110806476</v>
      </c>
      <c r="S163" s="31" t="s">
        <v>73</v>
      </c>
      <c r="T163" s="24" t="s">
        <v>91</v>
      </c>
      <c r="U163" s="24" t="s">
        <v>75</v>
      </c>
      <c r="V163" s="32" t="s">
        <v>1004</v>
      </c>
      <c r="W163" s="32" t="s">
        <v>1005</v>
      </c>
      <c r="X163" s="32" t="s">
        <v>1005</v>
      </c>
      <c r="Y163" s="24">
        <v>778</v>
      </c>
      <c r="Z163" s="24">
        <v>10</v>
      </c>
      <c r="AA163" s="24">
        <f t="shared" si="67"/>
        <v>739.1</v>
      </c>
      <c r="AB163" s="24">
        <f t="shared" si="60"/>
        <v>7780</v>
      </c>
      <c r="AC163" s="24">
        <f t="shared" si="61"/>
        <v>7391</v>
      </c>
      <c r="AD163" s="24">
        <f t="shared" si="62"/>
        <v>7391</v>
      </c>
      <c r="AE163" s="24">
        <f t="shared" si="63"/>
        <v>389</v>
      </c>
      <c r="AF163" s="24">
        <f t="shared" si="59"/>
        <v>73.91</v>
      </c>
      <c r="AG163" s="31"/>
      <c r="AH163" s="24"/>
      <c r="AI163" s="24"/>
      <c r="AJ163" s="24"/>
      <c r="AK163" s="24"/>
      <c r="AL163" s="24"/>
      <c r="AM163" s="24" t="s">
        <v>79</v>
      </c>
      <c r="AN163" s="34"/>
      <c r="AO163" s="35"/>
      <c r="AP163" s="24"/>
      <c r="AQ163" s="36">
        <f t="shared" si="68"/>
        <v>0</v>
      </c>
      <c r="AR163" s="16"/>
      <c r="AS163" s="47">
        <f t="shared" si="69"/>
        <v>0</v>
      </c>
      <c r="AT163" s="31"/>
      <c r="AU163" s="47">
        <f t="shared" si="70"/>
        <v>0</v>
      </c>
      <c r="AV163" s="48">
        <v>91.99</v>
      </c>
      <c r="AW163" s="24">
        <f t="shared" si="64"/>
        <v>0</v>
      </c>
      <c r="AX163" s="24">
        <f t="shared" si="76"/>
        <v>0</v>
      </c>
      <c r="AY163" s="24"/>
      <c r="AZ163" s="24"/>
      <c r="BA163" s="24"/>
      <c r="BB163" s="24">
        <f t="shared" si="71"/>
        <v>0</v>
      </c>
      <c r="BC163" s="24">
        <f t="shared" si="72"/>
        <v>7317.09</v>
      </c>
      <c r="BD163" s="24"/>
      <c r="BE163" s="24"/>
      <c r="BF163" s="24"/>
      <c r="BG163" s="24">
        <f t="shared" si="78"/>
        <v>702.14499999999998</v>
      </c>
      <c r="BH163" s="24"/>
      <c r="BI163" s="24"/>
      <c r="BJ163" s="24">
        <f t="shared" si="73"/>
        <v>7.0214499999999997</v>
      </c>
      <c r="BK163" s="24">
        <f t="shared" si="74"/>
        <v>8012.2135500000004</v>
      </c>
      <c r="BL163" s="24" t="s">
        <v>182</v>
      </c>
      <c r="BM163" s="42">
        <f t="shared" si="65"/>
        <v>2</v>
      </c>
      <c r="BN163" s="24" t="s">
        <v>83</v>
      </c>
      <c r="BO163" s="2" t="s">
        <v>84</v>
      </c>
    </row>
    <row r="164" spans="1:67" s="1" customFormat="1" ht="15" customHeight="1" x14ac:dyDescent="0.3">
      <c r="A164" s="20">
        <v>160</v>
      </c>
      <c r="B164" s="21">
        <v>46092</v>
      </c>
      <c r="C164" s="21">
        <v>46102</v>
      </c>
      <c r="D164" s="52" t="s">
        <v>254</v>
      </c>
      <c r="E164" s="23">
        <v>46104</v>
      </c>
      <c r="F164" s="23" t="s">
        <v>7</v>
      </c>
      <c r="G164" s="24" t="s">
        <v>68</v>
      </c>
      <c r="H164" s="24" t="s">
        <v>69</v>
      </c>
      <c r="I164" s="24" t="s">
        <v>729</v>
      </c>
      <c r="J164" s="25" t="s">
        <v>730</v>
      </c>
      <c r="K164" s="45" t="str">
        <f t="shared" si="66"/>
        <v>WB53B7628</v>
      </c>
      <c r="L164" s="26">
        <v>46093</v>
      </c>
      <c r="M164" s="34" t="s">
        <v>1010</v>
      </c>
      <c r="N164" s="27" t="s">
        <v>1011</v>
      </c>
      <c r="O164" s="28">
        <v>0</v>
      </c>
      <c r="P164" s="27" t="s">
        <v>1012</v>
      </c>
      <c r="Q164" s="66">
        <v>2525360179</v>
      </c>
      <c r="R164" s="30">
        <v>2110806730</v>
      </c>
      <c r="S164" s="31" t="s">
        <v>73</v>
      </c>
      <c r="T164" s="24" t="s">
        <v>91</v>
      </c>
      <c r="U164" s="24" t="s">
        <v>75</v>
      </c>
      <c r="V164" s="32" t="s">
        <v>1013</v>
      </c>
      <c r="W164" s="32" t="s">
        <v>574</v>
      </c>
      <c r="X164" s="32" t="s">
        <v>574</v>
      </c>
      <c r="Y164" s="24">
        <v>972</v>
      </c>
      <c r="Z164" s="24">
        <v>25</v>
      </c>
      <c r="AA164" s="24">
        <f t="shared" si="67"/>
        <v>923.40000000000009</v>
      </c>
      <c r="AB164" s="24">
        <f t="shared" si="60"/>
        <v>24300</v>
      </c>
      <c r="AC164" s="24">
        <f t="shared" si="61"/>
        <v>23085</v>
      </c>
      <c r="AD164" s="24">
        <f t="shared" si="62"/>
        <v>23085.000000000004</v>
      </c>
      <c r="AE164" s="24">
        <f t="shared" si="63"/>
        <v>1214.9999999999964</v>
      </c>
      <c r="AF164" s="24">
        <v>0</v>
      </c>
      <c r="AG164" s="33">
        <v>3500</v>
      </c>
      <c r="AH164" s="24"/>
      <c r="AI164" s="24"/>
      <c r="AJ164" s="24"/>
      <c r="AK164" s="24">
        <v>115</v>
      </c>
      <c r="AL164" s="24"/>
      <c r="AM164" s="24" t="s">
        <v>79</v>
      </c>
      <c r="AN164" s="34" t="s">
        <v>1014</v>
      </c>
      <c r="AO164" s="35" t="s">
        <v>973</v>
      </c>
      <c r="AP164" s="24">
        <f>237*2</f>
        <v>474</v>
      </c>
      <c r="AQ164" s="36">
        <f t="shared" si="68"/>
        <v>145.84615384615384</v>
      </c>
      <c r="AR164" s="67">
        <v>155</v>
      </c>
      <c r="AS164" s="68">
        <f t="shared" si="69"/>
        <v>9.1538461538461604</v>
      </c>
      <c r="AT164" s="69"/>
      <c r="AU164" s="68">
        <f t="shared" si="70"/>
        <v>9.1538461538461604</v>
      </c>
      <c r="AV164" s="70">
        <v>91.88</v>
      </c>
      <c r="AW164" s="65">
        <f t="shared" si="64"/>
        <v>14241.4</v>
      </c>
      <c r="AX164" s="24">
        <f t="shared" si="76"/>
        <v>76.85250162443144</v>
      </c>
      <c r="AY164" s="24"/>
      <c r="AZ164" s="24"/>
      <c r="BA164" s="24"/>
      <c r="BB164" s="24">
        <f t="shared" si="71"/>
        <v>0</v>
      </c>
      <c r="BC164" s="24">
        <f t="shared" si="72"/>
        <v>5228.600000000004</v>
      </c>
      <c r="BD164" s="24"/>
      <c r="BE164" s="24"/>
      <c r="BF164" s="24"/>
      <c r="BG164" s="24">
        <f>+AB164*9.5%</f>
        <v>2308.5</v>
      </c>
      <c r="BH164" s="24"/>
      <c r="BI164" s="24"/>
      <c r="BJ164" s="24">
        <f t="shared" si="73"/>
        <v>23.085000000000001</v>
      </c>
      <c r="BK164" s="24">
        <f t="shared" si="74"/>
        <v>7514.015000000004</v>
      </c>
      <c r="BL164" s="24" t="s">
        <v>735</v>
      </c>
      <c r="BM164" s="42">
        <f t="shared" si="65"/>
        <v>2</v>
      </c>
      <c r="BN164" s="24" t="s">
        <v>83</v>
      </c>
      <c r="BO164" s="2" t="s">
        <v>148</v>
      </c>
    </row>
    <row r="165" spans="1:67" s="1" customFormat="1" ht="15" customHeight="1" x14ac:dyDescent="0.3">
      <c r="A165" s="20">
        <v>161</v>
      </c>
      <c r="B165" s="21">
        <v>46092</v>
      </c>
      <c r="C165" s="21">
        <v>46102</v>
      </c>
      <c r="D165" s="56" t="s">
        <v>1015</v>
      </c>
      <c r="E165" s="23">
        <v>46107</v>
      </c>
      <c r="F165" s="23" t="s">
        <v>7</v>
      </c>
      <c r="G165" s="24" t="s">
        <v>68</v>
      </c>
      <c r="H165" s="24" t="s">
        <v>69</v>
      </c>
      <c r="I165" s="24" t="s">
        <v>98</v>
      </c>
      <c r="J165" s="25" t="s">
        <v>99</v>
      </c>
      <c r="K165" s="45" t="str">
        <f t="shared" si="66"/>
        <v>WB65D7397</v>
      </c>
      <c r="L165" s="26">
        <v>46094</v>
      </c>
      <c r="M165" s="34" t="s">
        <v>1016</v>
      </c>
      <c r="N165" s="27" t="s">
        <v>1017</v>
      </c>
      <c r="O165" s="28">
        <v>0</v>
      </c>
      <c r="P165" s="27" t="s">
        <v>1018</v>
      </c>
      <c r="Q165" s="29">
        <v>2525360819</v>
      </c>
      <c r="R165" s="30">
        <v>2110807275</v>
      </c>
      <c r="S165" s="31" t="s">
        <v>73</v>
      </c>
      <c r="T165" s="24" t="s">
        <v>91</v>
      </c>
      <c r="U165" s="24" t="s">
        <v>75</v>
      </c>
      <c r="V165" s="32" t="s">
        <v>1019</v>
      </c>
      <c r="W165" s="32" t="s">
        <v>1020</v>
      </c>
      <c r="X165" s="32" t="s">
        <v>1021</v>
      </c>
      <c r="Y165" s="24">
        <v>1100</v>
      </c>
      <c r="Z165" s="24">
        <v>6</v>
      </c>
      <c r="AA165" s="24">
        <f t="shared" si="67"/>
        <v>1045</v>
      </c>
      <c r="AB165" s="24">
        <f t="shared" si="60"/>
        <v>6600</v>
      </c>
      <c r="AC165" s="24">
        <f t="shared" si="61"/>
        <v>6270</v>
      </c>
      <c r="AD165" s="24">
        <f t="shared" si="62"/>
        <v>6270</v>
      </c>
      <c r="AE165" s="24">
        <f t="shared" si="63"/>
        <v>330</v>
      </c>
      <c r="AF165" s="24">
        <v>0</v>
      </c>
      <c r="AG165" s="33">
        <v>4200</v>
      </c>
      <c r="AH165" s="24"/>
      <c r="AI165" s="24"/>
      <c r="AJ165" s="24"/>
      <c r="AK165" s="24"/>
      <c r="AL165" s="24"/>
      <c r="AM165" s="24" t="s">
        <v>79</v>
      </c>
      <c r="AN165" s="34" t="s">
        <v>1022</v>
      </c>
      <c r="AO165" s="35" t="s">
        <v>973</v>
      </c>
      <c r="AP165" s="24">
        <f>256*2</f>
        <v>512</v>
      </c>
      <c r="AQ165" s="36">
        <f t="shared" si="68"/>
        <v>157.53846153846155</v>
      </c>
      <c r="AR165" s="67">
        <v>165</v>
      </c>
      <c r="AS165" s="68">
        <f t="shared" si="69"/>
        <v>7.4615384615384528</v>
      </c>
      <c r="AT165" s="69"/>
      <c r="AU165" s="68">
        <f t="shared" si="70"/>
        <v>7.4615384615384528</v>
      </c>
      <c r="AV165" s="70">
        <v>91.88</v>
      </c>
      <c r="AW165" s="65">
        <f t="shared" si="64"/>
        <v>15160.199999999999</v>
      </c>
      <c r="AX165" s="24">
        <f t="shared" si="76"/>
        <v>308.77511961722479</v>
      </c>
      <c r="AY165" s="24"/>
      <c r="AZ165" s="24"/>
      <c r="BA165" s="24"/>
      <c r="BB165" s="24">
        <f t="shared" si="71"/>
        <v>0</v>
      </c>
      <c r="BC165" s="24">
        <f t="shared" si="72"/>
        <v>-13090.199999999999</v>
      </c>
      <c r="BD165" s="24"/>
      <c r="BE165" s="24"/>
      <c r="BF165" s="24"/>
      <c r="BG165" s="24">
        <f t="shared" ref="BG165:BG166" si="79">+AD165*9.5%</f>
        <v>595.65</v>
      </c>
      <c r="BH165" s="24"/>
      <c r="BI165" s="24"/>
      <c r="BJ165" s="24">
        <f t="shared" si="73"/>
        <v>5.9565000000000001</v>
      </c>
      <c r="BK165" s="24">
        <f t="shared" si="74"/>
        <v>-12500.5065</v>
      </c>
      <c r="BL165" s="24" t="s">
        <v>105</v>
      </c>
      <c r="BM165" s="42">
        <f t="shared" si="65"/>
        <v>3</v>
      </c>
      <c r="BN165" s="24" t="s">
        <v>139</v>
      </c>
      <c r="BO165" s="2" t="s">
        <v>129</v>
      </c>
    </row>
    <row r="166" spans="1:67" s="1" customFormat="1" ht="15" customHeight="1" x14ac:dyDescent="0.3">
      <c r="A166" s="20">
        <v>162</v>
      </c>
      <c r="B166" s="21">
        <v>46092</v>
      </c>
      <c r="C166" s="21">
        <v>46102</v>
      </c>
      <c r="D166" s="56" t="s">
        <v>1015</v>
      </c>
      <c r="E166" s="23">
        <v>46107</v>
      </c>
      <c r="F166" s="23" t="s">
        <v>7</v>
      </c>
      <c r="G166" s="24" t="s">
        <v>68</v>
      </c>
      <c r="H166" s="24" t="s">
        <v>69</v>
      </c>
      <c r="I166" s="24" t="s">
        <v>98</v>
      </c>
      <c r="J166" s="25" t="s">
        <v>99</v>
      </c>
      <c r="K166" s="45" t="str">
        <f t="shared" si="66"/>
        <v>WB65D7397</v>
      </c>
      <c r="L166" s="26">
        <v>46094</v>
      </c>
      <c r="M166" s="34" t="s">
        <v>1023</v>
      </c>
      <c r="N166" s="27" t="s">
        <v>1024</v>
      </c>
      <c r="O166" s="28">
        <v>0</v>
      </c>
      <c r="P166" s="27" t="s">
        <v>1025</v>
      </c>
      <c r="Q166" s="29">
        <v>2525360815</v>
      </c>
      <c r="R166" s="30">
        <v>2110807274</v>
      </c>
      <c r="S166" s="31" t="s">
        <v>73</v>
      </c>
      <c r="T166" s="24" t="s">
        <v>91</v>
      </c>
      <c r="U166" s="24" t="s">
        <v>75</v>
      </c>
      <c r="V166" s="32" t="s">
        <v>1019</v>
      </c>
      <c r="W166" s="32" t="s">
        <v>1020</v>
      </c>
      <c r="X166" s="32" t="s">
        <v>753</v>
      </c>
      <c r="Y166" s="24">
        <v>1100</v>
      </c>
      <c r="Z166" s="24">
        <v>19</v>
      </c>
      <c r="AA166" s="24">
        <f t="shared" si="67"/>
        <v>1045</v>
      </c>
      <c r="AB166" s="24">
        <f t="shared" si="60"/>
        <v>20900</v>
      </c>
      <c r="AC166" s="24">
        <f t="shared" si="61"/>
        <v>19855</v>
      </c>
      <c r="AD166" s="24">
        <f t="shared" si="62"/>
        <v>19855</v>
      </c>
      <c r="AE166" s="24">
        <f t="shared" si="63"/>
        <v>1045</v>
      </c>
      <c r="AF166" s="24">
        <v>0</v>
      </c>
      <c r="AG166" s="31"/>
      <c r="AH166" s="24"/>
      <c r="AI166" s="24"/>
      <c r="AJ166" s="24"/>
      <c r="AK166" s="24"/>
      <c r="AL166" s="24"/>
      <c r="AM166" s="24" t="s">
        <v>79</v>
      </c>
      <c r="AN166" s="34"/>
      <c r="AO166" s="35"/>
      <c r="AP166" s="24"/>
      <c r="AQ166" s="36">
        <f t="shared" si="68"/>
        <v>0</v>
      </c>
      <c r="AR166" s="16"/>
      <c r="AS166" s="47">
        <f t="shared" si="69"/>
        <v>0</v>
      </c>
      <c r="AT166" s="31"/>
      <c r="AU166" s="47">
        <f t="shared" si="70"/>
        <v>0</v>
      </c>
      <c r="AV166" s="48">
        <v>91.99</v>
      </c>
      <c r="AW166" s="24">
        <f t="shared" si="64"/>
        <v>0</v>
      </c>
      <c r="AX166" s="24">
        <f t="shared" si="76"/>
        <v>0</v>
      </c>
      <c r="AY166" s="24"/>
      <c r="AZ166" s="24"/>
      <c r="BA166" s="24"/>
      <c r="BB166" s="24">
        <f t="shared" si="71"/>
        <v>0</v>
      </c>
      <c r="BC166" s="24">
        <f t="shared" si="72"/>
        <v>19855</v>
      </c>
      <c r="BD166" s="24"/>
      <c r="BE166" s="24"/>
      <c r="BF166" s="24"/>
      <c r="BG166" s="24">
        <f t="shared" si="79"/>
        <v>1886.2249999999999</v>
      </c>
      <c r="BH166" s="24"/>
      <c r="BI166" s="24"/>
      <c r="BJ166" s="24">
        <f t="shared" si="73"/>
        <v>18.86225</v>
      </c>
      <c r="BK166" s="24">
        <f t="shared" si="74"/>
        <v>21722.36275</v>
      </c>
      <c r="BL166" s="24" t="s">
        <v>105</v>
      </c>
      <c r="BM166" s="42">
        <f t="shared" si="65"/>
        <v>3</v>
      </c>
      <c r="BN166" s="24" t="s">
        <v>139</v>
      </c>
      <c r="BO166" s="2" t="s">
        <v>129</v>
      </c>
    </row>
    <row r="167" spans="1:67" s="1" customFormat="1" ht="15" customHeight="1" x14ac:dyDescent="0.3">
      <c r="A167" s="20">
        <v>163</v>
      </c>
      <c r="B167" s="21">
        <v>46092</v>
      </c>
      <c r="C167" s="21">
        <v>46097</v>
      </c>
      <c r="D167" s="50" t="s">
        <v>388</v>
      </c>
      <c r="E167" s="23">
        <v>46097</v>
      </c>
      <c r="F167" s="23" t="s">
        <v>7</v>
      </c>
      <c r="G167" s="24" t="s">
        <v>68</v>
      </c>
      <c r="H167" s="24" t="s">
        <v>69</v>
      </c>
      <c r="I167" s="24" t="s">
        <v>106</v>
      </c>
      <c r="J167" s="25" t="s">
        <v>107</v>
      </c>
      <c r="K167" s="45" t="str">
        <f t="shared" si="66"/>
        <v>WB57C7436</v>
      </c>
      <c r="L167" s="26">
        <v>46093</v>
      </c>
      <c r="M167" s="34" t="s">
        <v>1026</v>
      </c>
      <c r="N167" s="27" t="s">
        <v>1027</v>
      </c>
      <c r="O167" s="28">
        <v>0</v>
      </c>
      <c r="P167" s="27" t="s">
        <v>1028</v>
      </c>
      <c r="Q167" s="29">
        <v>2525360878</v>
      </c>
      <c r="R167" s="30">
        <v>2110807391</v>
      </c>
      <c r="S167" s="31" t="s">
        <v>73</v>
      </c>
      <c r="T167" s="24" t="s">
        <v>91</v>
      </c>
      <c r="U167" s="24" t="s">
        <v>75</v>
      </c>
      <c r="V167" s="32" t="s">
        <v>1029</v>
      </c>
      <c r="W167" s="32" t="s">
        <v>1030</v>
      </c>
      <c r="X167" s="32"/>
      <c r="Y167" s="24">
        <v>874</v>
      </c>
      <c r="Z167" s="24">
        <v>25</v>
      </c>
      <c r="AA167" s="24">
        <f t="shared" si="67"/>
        <v>830.30000000000007</v>
      </c>
      <c r="AB167" s="24">
        <f t="shared" si="60"/>
        <v>21850</v>
      </c>
      <c r="AC167" s="24">
        <f t="shared" si="61"/>
        <v>20757.5</v>
      </c>
      <c r="AD167" s="24">
        <f t="shared" si="62"/>
        <v>20757.5</v>
      </c>
      <c r="AE167" s="24">
        <f t="shared" si="63"/>
        <v>1092.5</v>
      </c>
      <c r="AF167" s="24">
        <v>0</v>
      </c>
      <c r="AG167" s="33">
        <v>11400</v>
      </c>
      <c r="AH167" s="24"/>
      <c r="AI167" s="24"/>
      <c r="AJ167" s="24"/>
      <c r="AK167" s="24"/>
      <c r="AL167" s="24"/>
      <c r="AM167" s="24" t="s">
        <v>79</v>
      </c>
      <c r="AN167" s="34" t="s">
        <v>1031</v>
      </c>
      <c r="AO167" s="35" t="s">
        <v>973</v>
      </c>
      <c r="AP167" s="24">
        <f>177*2</f>
        <v>354</v>
      </c>
      <c r="AQ167" s="36">
        <f t="shared" si="68"/>
        <v>108.92307692307692</v>
      </c>
      <c r="AR167" s="67">
        <v>111</v>
      </c>
      <c r="AS167" s="68">
        <f t="shared" si="69"/>
        <v>2.0769230769230802</v>
      </c>
      <c r="AT167" s="69"/>
      <c r="AU167" s="68">
        <f t="shared" si="70"/>
        <v>2.0769230769230802</v>
      </c>
      <c r="AV167" s="70">
        <v>91.99</v>
      </c>
      <c r="AW167" s="65">
        <f t="shared" si="64"/>
        <v>10210.89</v>
      </c>
      <c r="AX167" s="24">
        <f t="shared" si="76"/>
        <v>104.11123690232446</v>
      </c>
      <c r="AY167" s="24"/>
      <c r="AZ167" s="24"/>
      <c r="BA167" s="24"/>
      <c r="BB167" s="24">
        <f t="shared" si="71"/>
        <v>0</v>
      </c>
      <c r="BC167" s="24">
        <f t="shared" si="72"/>
        <v>-853.38999999999942</v>
      </c>
      <c r="BD167" s="24"/>
      <c r="BE167" s="24"/>
      <c r="BF167" s="24"/>
      <c r="BG167" s="24">
        <f>+AB167*9.5%</f>
        <v>2075.75</v>
      </c>
      <c r="BH167" s="24"/>
      <c r="BI167" s="24"/>
      <c r="BJ167" s="24">
        <f t="shared" si="73"/>
        <v>20.7575</v>
      </c>
      <c r="BK167" s="24">
        <f t="shared" si="74"/>
        <v>1201.6025000000006</v>
      </c>
      <c r="BL167" s="24" t="s">
        <v>110</v>
      </c>
      <c r="BM167" s="42">
        <f t="shared" si="65"/>
        <v>2</v>
      </c>
      <c r="BN167" s="24" t="s">
        <v>83</v>
      </c>
      <c r="BO167" s="2" t="s">
        <v>148</v>
      </c>
    </row>
    <row r="168" spans="1:67" s="1" customFormat="1" ht="15" customHeight="1" x14ac:dyDescent="0.3">
      <c r="A168" s="20">
        <v>164</v>
      </c>
      <c r="B168" s="21">
        <v>46092</v>
      </c>
      <c r="C168" s="21">
        <v>46097</v>
      </c>
      <c r="D168" s="52" t="s">
        <v>214</v>
      </c>
      <c r="E168" s="23">
        <v>46104</v>
      </c>
      <c r="F168" s="23" t="s">
        <v>7</v>
      </c>
      <c r="G168" s="24" t="s">
        <v>68</v>
      </c>
      <c r="H168" s="24" t="s">
        <v>69</v>
      </c>
      <c r="I168" s="24" t="s">
        <v>70</v>
      </c>
      <c r="J168" s="25" t="s">
        <v>71</v>
      </c>
      <c r="K168" s="45" t="str">
        <f t="shared" si="66"/>
        <v>WB39B0034</v>
      </c>
      <c r="L168" s="26">
        <v>46093</v>
      </c>
      <c r="M168" s="34" t="s">
        <v>1032</v>
      </c>
      <c r="N168" s="27" t="s">
        <v>1033</v>
      </c>
      <c r="O168" s="28">
        <v>0</v>
      </c>
      <c r="P168" s="27" t="s">
        <v>1034</v>
      </c>
      <c r="Q168" s="66">
        <v>2525359994</v>
      </c>
      <c r="R168" s="30">
        <v>2110806358</v>
      </c>
      <c r="S168" s="54" t="s">
        <v>73</v>
      </c>
      <c r="T168" s="24" t="s">
        <v>74</v>
      </c>
      <c r="U168" s="24" t="s">
        <v>75</v>
      </c>
      <c r="V168" s="32" t="s">
        <v>551</v>
      </c>
      <c r="W168" s="32" t="s">
        <v>220</v>
      </c>
      <c r="X168" s="32" t="s">
        <v>1035</v>
      </c>
      <c r="Y168" s="24">
        <v>455</v>
      </c>
      <c r="Z168" s="24">
        <v>19</v>
      </c>
      <c r="AA168" s="24">
        <f t="shared" si="67"/>
        <v>432.25</v>
      </c>
      <c r="AB168" s="24">
        <f t="shared" si="60"/>
        <v>8645</v>
      </c>
      <c r="AC168" s="24">
        <f t="shared" si="61"/>
        <v>8212.75</v>
      </c>
      <c r="AD168" s="24">
        <f t="shared" si="62"/>
        <v>8212.75</v>
      </c>
      <c r="AE168" s="24">
        <f t="shared" si="63"/>
        <v>432.25</v>
      </c>
      <c r="AF168" s="24">
        <f t="shared" si="59"/>
        <v>82.127499999999998</v>
      </c>
      <c r="AG168" s="33">
        <v>2600</v>
      </c>
      <c r="AH168" s="24"/>
      <c r="AI168" s="24">
        <v>6000</v>
      </c>
      <c r="AJ168" s="24"/>
      <c r="AK168" s="24"/>
      <c r="AL168" s="24"/>
      <c r="AM168" s="24" t="s">
        <v>79</v>
      </c>
      <c r="AN168" s="34" t="s">
        <v>1036</v>
      </c>
      <c r="AO168" s="35" t="s">
        <v>973</v>
      </c>
      <c r="AP168" s="24">
        <f>79*2</f>
        <v>158</v>
      </c>
      <c r="AQ168" s="36">
        <f t="shared" si="68"/>
        <v>48.615384615384613</v>
      </c>
      <c r="AR168" s="67">
        <v>45</v>
      </c>
      <c r="AS168" s="68">
        <f t="shared" si="69"/>
        <v>-3.6153846153846132</v>
      </c>
      <c r="AT168" s="69"/>
      <c r="AU168" s="68">
        <f t="shared" si="70"/>
        <v>-3.6153846153846132</v>
      </c>
      <c r="AV168" s="70">
        <v>91.99</v>
      </c>
      <c r="AW168" s="65">
        <f t="shared" si="64"/>
        <v>4139.55</v>
      </c>
      <c r="AX168" s="24">
        <f t="shared" si="76"/>
        <v>82.062037685306393</v>
      </c>
      <c r="AY168" s="24">
        <v>120</v>
      </c>
      <c r="AZ168" s="24"/>
      <c r="BA168" s="24"/>
      <c r="BB168" s="24">
        <f t="shared" si="71"/>
        <v>0</v>
      </c>
      <c r="BC168" s="24">
        <f t="shared" si="72"/>
        <v>-4728.9274999999998</v>
      </c>
      <c r="BD168" s="24">
        <v>110</v>
      </c>
      <c r="BE168" s="24">
        <v>110</v>
      </c>
      <c r="BF168" s="24"/>
      <c r="BG168" s="24">
        <f>+AD168*8.5%</f>
        <v>698.08375000000001</v>
      </c>
      <c r="BH168" s="24">
        <f>+AD168*8.5%</f>
        <v>698.08375000000001</v>
      </c>
      <c r="BI168" s="24"/>
      <c r="BJ168" s="24">
        <f t="shared" si="73"/>
        <v>13.961675</v>
      </c>
      <c r="BK168" s="24">
        <f t="shared" si="74"/>
        <v>-3126.7216750000002</v>
      </c>
      <c r="BL168" s="24" t="s">
        <v>82</v>
      </c>
      <c r="BM168" s="42">
        <f t="shared" si="65"/>
        <v>2</v>
      </c>
      <c r="BN168" s="24" t="s">
        <v>83</v>
      </c>
      <c r="BO168" s="2" t="s">
        <v>84</v>
      </c>
    </row>
    <row r="169" spans="1:67" s="1" customFormat="1" ht="15" customHeight="1" x14ac:dyDescent="0.3">
      <c r="A169" s="20">
        <v>165</v>
      </c>
      <c r="B169" s="21">
        <v>46092</v>
      </c>
      <c r="C169" s="21">
        <v>46097</v>
      </c>
      <c r="D169" s="50" t="s">
        <v>884</v>
      </c>
      <c r="E169" s="23">
        <v>46097</v>
      </c>
      <c r="F169" s="23" t="s">
        <v>7</v>
      </c>
      <c r="G169" s="24" t="s">
        <v>68</v>
      </c>
      <c r="H169" s="24" t="s">
        <v>69</v>
      </c>
      <c r="I169" s="24">
        <v>35</v>
      </c>
      <c r="J169" s="25" t="s">
        <v>451</v>
      </c>
      <c r="K169" s="45" t="str">
        <f t="shared" si="66"/>
        <v>WB351813</v>
      </c>
      <c r="L169" s="26">
        <v>46094</v>
      </c>
      <c r="M169" s="34" t="s">
        <v>1037</v>
      </c>
      <c r="N169" s="27" t="s">
        <v>1038</v>
      </c>
      <c r="O169" s="28">
        <v>0</v>
      </c>
      <c r="P169" s="27" t="s">
        <v>1039</v>
      </c>
      <c r="Q169" s="29">
        <v>2525361074</v>
      </c>
      <c r="R169" s="30">
        <v>2110807457</v>
      </c>
      <c r="S169" s="31" t="s">
        <v>73</v>
      </c>
      <c r="T169" s="24" t="s">
        <v>91</v>
      </c>
      <c r="U169" s="24" t="s">
        <v>75</v>
      </c>
      <c r="V169" s="32" t="s">
        <v>472</v>
      </c>
      <c r="W169" s="32" t="s">
        <v>1040</v>
      </c>
      <c r="X169" s="32"/>
      <c r="Y169" s="24">
        <v>1151</v>
      </c>
      <c r="Z169" s="24">
        <v>25</v>
      </c>
      <c r="AA169" s="24">
        <f t="shared" si="67"/>
        <v>1093.45</v>
      </c>
      <c r="AB169" s="24">
        <f t="shared" si="60"/>
        <v>28775</v>
      </c>
      <c r="AC169" s="24">
        <f t="shared" si="61"/>
        <v>27336.25</v>
      </c>
      <c r="AD169" s="24">
        <f t="shared" si="62"/>
        <v>27336.25</v>
      </c>
      <c r="AE169" s="24">
        <f t="shared" si="63"/>
        <v>1438.75</v>
      </c>
      <c r="AF169" s="24">
        <v>0</v>
      </c>
      <c r="AG169" s="33">
        <v>3900</v>
      </c>
      <c r="AH169" s="24"/>
      <c r="AI169" s="24">
        <v>8385</v>
      </c>
      <c r="AJ169" s="24">
        <v>150</v>
      </c>
      <c r="AK169" s="24">
        <v>115</v>
      </c>
      <c r="AL169" s="24"/>
      <c r="AM169" s="24" t="s">
        <v>79</v>
      </c>
      <c r="AN169" s="34" t="s">
        <v>1041</v>
      </c>
      <c r="AO169" s="35" t="s">
        <v>973</v>
      </c>
      <c r="AP169" s="24">
        <f>297*2</f>
        <v>594</v>
      </c>
      <c r="AQ169" s="36">
        <f t="shared" si="68"/>
        <v>182.76923076923077</v>
      </c>
      <c r="AR169" s="67">
        <v>150</v>
      </c>
      <c r="AS169" s="68">
        <f t="shared" si="69"/>
        <v>-32.769230769230774</v>
      </c>
      <c r="AT169" s="69"/>
      <c r="AU169" s="68">
        <f t="shared" si="70"/>
        <v>-32.769230769230774</v>
      </c>
      <c r="AV169" s="70">
        <v>91.99</v>
      </c>
      <c r="AW169" s="65">
        <f t="shared" si="64"/>
        <v>13798.5</v>
      </c>
      <c r="AX169" s="24">
        <f t="shared" si="76"/>
        <v>64.743701129452646</v>
      </c>
      <c r="AY169" s="24"/>
      <c r="AZ169" s="24"/>
      <c r="BA169" s="24"/>
      <c r="BB169" s="24">
        <f t="shared" si="71"/>
        <v>0</v>
      </c>
      <c r="BC169" s="24">
        <f t="shared" si="72"/>
        <v>987.75</v>
      </c>
      <c r="BD169" s="24">
        <v>135</v>
      </c>
      <c r="BE169" s="24">
        <v>135</v>
      </c>
      <c r="BF169" s="24"/>
      <c r="BG169" s="24">
        <f>+AB169*9.5%</f>
        <v>2733.625</v>
      </c>
      <c r="BH169" s="24"/>
      <c r="BI169" s="24"/>
      <c r="BJ169" s="24">
        <f t="shared" si="73"/>
        <v>27.33625</v>
      </c>
      <c r="BK169" s="24">
        <f t="shared" si="74"/>
        <v>3964.0387500000002</v>
      </c>
      <c r="BL169" s="24" t="s">
        <v>155</v>
      </c>
      <c r="BM169" s="42">
        <f t="shared" si="65"/>
        <v>3</v>
      </c>
      <c r="BN169" s="24" t="s">
        <v>139</v>
      </c>
      <c r="BO169" s="2" t="s">
        <v>148</v>
      </c>
    </row>
    <row r="170" spans="1:67" s="1" customFormat="1" ht="15" customHeight="1" x14ac:dyDescent="0.3">
      <c r="A170" s="20">
        <v>166</v>
      </c>
      <c r="B170" s="21">
        <v>46093</v>
      </c>
      <c r="C170" s="21">
        <v>46097</v>
      </c>
      <c r="D170" s="62" t="s">
        <v>697</v>
      </c>
      <c r="E170" s="23">
        <v>46116</v>
      </c>
      <c r="F170" s="23" t="s">
        <v>7</v>
      </c>
      <c r="G170" s="24" t="s">
        <v>68</v>
      </c>
      <c r="H170" s="24" t="s">
        <v>69</v>
      </c>
      <c r="I170" s="24" t="s">
        <v>70</v>
      </c>
      <c r="J170" s="25" t="s">
        <v>203</v>
      </c>
      <c r="K170" s="45" t="str">
        <f t="shared" si="66"/>
        <v>WB39B0800</v>
      </c>
      <c r="L170" s="26">
        <v>46093</v>
      </c>
      <c r="M170" s="34" t="s">
        <v>1042</v>
      </c>
      <c r="N170" s="27" t="s">
        <v>1043</v>
      </c>
      <c r="O170" s="28">
        <v>0</v>
      </c>
      <c r="P170" s="27" t="s">
        <v>1044</v>
      </c>
      <c r="Q170" s="29">
        <v>2525361431</v>
      </c>
      <c r="R170" s="30">
        <v>2110807735</v>
      </c>
      <c r="S170" s="63" t="s">
        <v>73</v>
      </c>
      <c r="T170" s="24" t="s">
        <v>74</v>
      </c>
      <c r="U170" s="24" t="s">
        <v>75</v>
      </c>
      <c r="V170" s="32" t="s">
        <v>1045</v>
      </c>
      <c r="W170" s="32" t="s">
        <v>1046</v>
      </c>
      <c r="X170" s="32" t="s">
        <v>1047</v>
      </c>
      <c r="Y170" s="24">
        <v>409</v>
      </c>
      <c r="Z170" s="24">
        <v>19</v>
      </c>
      <c r="AA170" s="24">
        <f t="shared" si="67"/>
        <v>388.55</v>
      </c>
      <c r="AB170" s="24">
        <f t="shared" si="60"/>
        <v>7771</v>
      </c>
      <c r="AC170" s="24">
        <f t="shared" si="61"/>
        <v>7382.45</v>
      </c>
      <c r="AD170" s="24">
        <f t="shared" si="62"/>
        <v>7382.45</v>
      </c>
      <c r="AE170" s="24">
        <f t="shared" si="63"/>
        <v>388.55000000000018</v>
      </c>
      <c r="AF170" s="24">
        <f t="shared" ref="AF170:AF498" si="80">+AD170*1%</f>
        <v>73.8245</v>
      </c>
      <c r="AG170" s="33">
        <v>4000</v>
      </c>
      <c r="AH170" s="24"/>
      <c r="AI170" s="24"/>
      <c r="AJ170" s="24"/>
      <c r="AK170" s="24"/>
      <c r="AL170" s="24"/>
      <c r="AM170" s="24" t="s">
        <v>79</v>
      </c>
      <c r="AN170" s="34" t="s">
        <v>1048</v>
      </c>
      <c r="AO170" s="35" t="s">
        <v>973</v>
      </c>
      <c r="AP170" s="24">
        <f>57*2</f>
        <v>114</v>
      </c>
      <c r="AQ170" s="36">
        <f t="shared" si="68"/>
        <v>35.07692307692308</v>
      </c>
      <c r="AR170" s="67">
        <v>35</v>
      </c>
      <c r="AS170" s="68">
        <f t="shared" si="69"/>
        <v>-7.6923076923080203E-2</v>
      </c>
      <c r="AT170" s="69"/>
      <c r="AU170" s="68">
        <f t="shared" si="70"/>
        <v>-7.6923076923080203E-2</v>
      </c>
      <c r="AV170" s="70">
        <v>91.99</v>
      </c>
      <c r="AW170" s="65">
        <f t="shared" si="64"/>
        <v>3219.6499999999996</v>
      </c>
      <c r="AX170" s="24">
        <f t="shared" si="76"/>
        <v>97.794770028919928</v>
      </c>
      <c r="AY170" s="24">
        <v>120</v>
      </c>
      <c r="AZ170" s="24"/>
      <c r="BA170" s="24"/>
      <c r="BB170" s="24">
        <f t="shared" si="71"/>
        <v>0</v>
      </c>
      <c r="BC170" s="24">
        <f t="shared" si="72"/>
        <v>-31.024499999999534</v>
      </c>
      <c r="BD170" s="24">
        <v>110</v>
      </c>
      <c r="BE170" s="24">
        <v>110</v>
      </c>
      <c r="BF170" s="24"/>
      <c r="BG170" s="24">
        <f>+AD170*8.5%</f>
        <v>627.50824999999998</v>
      </c>
      <c r="BH170" s="24">
        <f t="shared" ref="BH170:BH171" si="81">+AD170*8.5%</f>
        <v>627.50824999999998</v>
      </c>
      <c r="BI170" s="24"/>
      <c r="BJ170" s="24">
        <f t="shared" si="73"/>
        <v>12.550165</v>
      </c>
      <c r="BK170" s="24">
        <f t="shared" si="74"/>
        <v>1431.4418350000003</v>
      </c>
      <c r="BL170" s="24" t="s">
        <v>82</v>
      </c>
      <c r="BM170" s="42">
        <f t="shared" si="65"/>
        <v>1</v>
      </c>
      <c r="BN170" s="24" t="s">
        <v>610</v>
      </c>
      <c r="BO170" s="2" t="s">
        <v>84</v>
      </c>
    </row>
    <row r="171" spans="1:67" s="1" customFormat="1" ht="15" customHeight="1" x14ac:dyDescent="0.3">
      <c r="A171" s="20">
        <v>167</v>
      </c>
      <c r="B171" s="21">
        <v>46093</v>
      </c>
      <c r="C171" s="21">
        <v>46097</v>
      </c>
      <c r="D171" s="50" t="s">
        <v>223</v>
      </c>
      <c r="E171" s="23">
        <v>46130</v>
      </c>
      <c r="F171" s="23" t="s">
        <v>7</v>
      </c>
      <c r="G171" s="24" t="s">
        <v>68</v>
      </c>
      <c r="H171" s="24" t="s">
        <v>69</v>
      </c>
      <c r="I171" s="24" t="s">
        <v>70</v>
      </c>
      <c r="J171" s="25" t="s">
        <v>336</v>
      </c>
      <c r="K171" s="45" t="str">
        <f t="shared" si="66"/>
        <v>WB39B0801</v>
      </c>
      <c r="L171" s="26">
        <v>46094</v>
      </c>
      <c r="M171" s="34" t="s">
        <v>1049</v>
      </c>
      <c r="N171" s="27" t="s">
        <v>1050</v>
      </c>
      <c r="O171" s="28">
        <v>0</v>
      </c>
      <c r="P171" s="27" t="s">
        <v>1051</v>
      </c>
      <c r="Q171" s="29">
        <v>2525361434</v>
      </c>
      <c r="R171" s="30">
        <v>2110807737</v>
      </c>
      <c r="S171" s="31" t="s">
        <v>73</v>
      </c>
      <c r="T171" s="24" t="s">
        <v>74</v>
      </c>
      <c r="U171" s="24" t="s">
        <v>75</v>
      </c>
      <c r="V171" s="32" t="s">
        <v>757</v>
      </c>
      <c r="W171" s="32" t="s">
        <v>758</v>
      </c>
      <c r="X171" s="32" t="s">
        <v>1052</v>
      </c>
      <c r="Y171" s="24">
        <v>832</v>
      </c>
      <c r="Z171" s="24">
        <v>19</v>
      </c>
      <c r="AA171" s="24">
        <f t="shared" si="67"/>
        <v>790.4</v>
      </c>
      <c r="AB171" s="24">
        <f t="shared" si="60"/>
        <v>15808</v>
      </c>
      <c r="AC171" s="24">
        <f t="shared" si="61"/>
        <v>15017.6</v>
      </c>
      <c r="AD171" s="24">
        <f t="shared" si="62"/>
        <v>15017.6</v>
      </c>
      <c r="AE171" s="24">
        <f t="shared" si="63"/>
        <v>790.39999999999964</v>
      </c>
      <c r="AF171" s="24">
        <f t="shared" si="80"/>
        <v>150.17600000000002</v>
      </c>
      <c r="AG171" s="33">
        <v>2600</v>
      </c>
      <c r="AH171" s="24"/>
      <c r="AI171" s="24"/>
      <c r="AJ171" s="24"/>
      <c r="AK171" s="24">
        <v>115</v>
      </c>
      <c r="AL171" s="24"/>
      <c r="AM171" s="24" t="s">
        <v>79</v>
      </c>
      <c r="AN171" s="34" t="s">
        <v>1053</v>
      </c>
      <c r="AO171" s="35" t="s">
        <v>973</v>
      </c>
      <c r="AP171" s="24">
        <f>177*2</f>
        <v>354</v>
      </c>
      <c r="AQ171" s="36">
        <f t="shared" si="68"/>
        <v>108.92307692307692</v>
      </c>
      <c r="AR171" s="67">
        <v>100</v>
      </c>
      <c r="AS171" s="68">
        <f t="shared" si="69"/>
        <v>-8.9230769230769198</v>
      </c>
      <c r="AT171" s="69"/>
      <c r="AU171" s="68">
        <f t="shared" si="70"/>
        <v>-8.9230769230769198</v>
      </c>
      <c r="AV171" s="70">
        <v>91.99</v>
      </c>
      <c r="AW171" s="65">
        <f t="shared" si="64"/>
        <v>9199</v>
      </c>
      <c r="AX171" s="24">
        <f t="shared" si="76"/>
        <v>78.56781376518218</v>
      </c>
      <c r="AY171" s="24">
        <v>120</v>
      </c>
      <c r="AZ171" s="24"/>
      <c r="BA171" s="24"/>
      <c r="BB171" s="24">
        <f t="shared" si="71"/>
        <v>0</v>
      </c>
      <c r="BC171" s="24">
        <f t="shared" si="72"/>
        <v>2833.4240000000009</v>
      </c>
      <c r="BD171" s="24"/>
      <c r="BE171" s="24"/>
      <c r="BF171" s="24"/>
      <c r="BG171" s="24">
        <f>+AD171*8.5%</f>
        <v>1276.4960000000001</v>
      </c>
      <c r="BH171" s="24">
        <f t="shared" si="81"/>
        <v>1276.4960000000001</v>
      </c>
      <c r="BI171" s="24"/>
      <c r="BJ171" s="24">
        <f t="shared" si="73"/>
        <v>25.529920000000004</v>
      </c>
      <c r="BK171" s="24">
        <f t="shared" si="74"/>
        <v>5360.8860800000011</v>
      </c>
      <c r="BL171" s="24" t="s">
        <v>82</v>
      </c>
      <c r="BM171" s="42">
        <f t="shared" si="65"/>
        <v>2</v>
      </c>
      <c r="BN171" s="24" t="s">
        <v>83</v>
      </c>
      <c r="BO171" s="2" t="s">
        <v>84</v>
      </c>
    </row>
    <row r="172" spans="1:67" s="1" customFormat="1" ht="15" customHeight="1" x14ac:dyDescent="0.3">
      <c r="A172" s="20">
        <v>168</v>
      </c>
      <c r="B172" s="21">
        <v>46093</v>
      </c>
      <c r="C172" s="21">
        <v>46097</v>
      </c>
      <c r="D172" s="50" t="s">
        <v>430</v>
      </c>
      <c r="E172" s="23">
        <v>46097</v>
      </c>
      <c r="F172" s="23" t="s">
        <v>7</v>
      </c>
      <c r="G172" s="24" t="s">
        <v>68</v>
      </c>
      <c r="H172" s="24" t="s">
        <v>69</v>
      </c>
      <c r="I172" s="24" t="s">
        <v>112</v>
      </c>
      <c r="J172" s="25" t="s">
        <v>558</v>
      </c>
      <c r="K172" s="45" t="str">
        <f t="shared" si="66"/>
        <v>WB39A5858</v>
      </c>
      <c r="L172" s="26">
        <v>46093</v>
      </c>
      <c r="M172" s="34" t="s">
        <v>1054</v>
      </c>
      <c r="N172" s="27" t="s">
        <v>1055</v>
      </c>
      <c r="O172" s="28">
        <v>0</v>
      </c>
      <c r="P172" s="27" t="s">
        <v>1056</v>
      </c>
      <c r="Q172" s="29">
        <v>2525361429</v>
      </c>
      <c r="R172" s="30">
        <v>2110807733</v>
      </c>
      <c r="S172" s="31" t="s">
        <v>73</v>
      </c>
      <c r="T172" s="24" t="s">
        <v>74</v>
      </c>
      <c r="U172" s="24" t="s">
        <v>75</v>
      </c>
      <c r="V172" s="32" t="s">
        <v>805</v>
      </c>
      <c r="W172" s="32" t="s">
        <v>511</v>
      </c>
      <c r="X172" s="32"/>
      <c r="Y172" s="24">
        <v>365</v>
      </c>
      <c r="Z172" s="24">
        <v>19</v>
      </c>
      <c r="AA172" s="24">
        <f t="shared" si="67"/>
        <v>346.75</v>
      </c>
      <c r="AB172" s="24">
        <f t="shared" si="60"/>
        <v>6935</v>
      </c>
      <c r="AC172" s="24">
        <f t="shared" si="61"/>
        <v>6588.2499999999991</v>
      </c>
      <c r="AD172" s="24">
        <f t="shared" si="62"/>
        <v>6588.25</v>
      </c>
      <c r="AE172" s="24">
        <f t="shared" si="63"/>
        <v>346.75</v>
      </c>
      <c r="AF172" s="24">
        <v>0</v>
      </c>
      <c r="AG172" s="33">
        <v>2500</v>
      </c>
      <c r="AH172" s="24"/>
      <c r="AI172" s="24"/>
      <c r="AJ172" s="24"/>
      <c r="AK172" s="24"/>
      <c r="AL172" s="24"/>
      <c r="AM172" s="24" t="s">
        <v>79</v>
      </c>
      <c r="AN172" s="34" t="s">
        <v>1057</v>
      </c>
      <c r="AO172" s="35" t="s">
        <v>973</v>
      </c>
      <c r="AP172" s="24">
        <f>52*2</f>
        <v>104</v>
      </c>
      <c r="AQ172" s="36">
        <f t="shared" si="68"/>
        <v>32</v>
      </c>
      <c r="AR172" s="67">
        <v>31</v>
      </c>
      <c r="AS172" s="68">
        <f t="shared" si="69"/>
        <v>-1</v>
      </c>
      <c r="AT172" s="69"/>
      <c r="AU172" s="68">
        <f t="shared" si="70"/>
        <v>-1</v>
      </c>
      <c r="AV172" s="70">
        <v>91.99</v>
      </c>
      <c r="AW172" s="65">
        <f t="shared" si="64"/>
        <v>2851.69</v>
      </c>
      <c r="AX172" s="24">
        <f t="shared" si="76"/>
        <v>81.2308276097598</v>
      </c>
      <c r="AY172" s="24"/>
      <c r="AZ172" s="24"/>
      <c r="BA172" s="24"/>
      <c r="BB172" s="24">
        <f t="shared" si="71"/>
        <v>0</v>
      </c>
      <c r="BC172" s="24">
        <f t="shared" si="72"/>
        <v>1236.56</v>
      </c>
      <c r="BD172" s="24">
        <v>110</v>
      </c>
      <c r="BE172" s="24">
        <v>110</v>
      </c>
      <c r="BF172" s="24"/>
      <c r="BG172" s="24">
        <f>+AB172*9.5%</f>
        <v>658.82500000000005</v>
      </c>
      <c r="BH172" s="24">
        <f>+AB172*8.5%</f>
        <v>589.47500000000002</v>
      </c>
      <c r="BI172" s="24"/>
      <c r="BJ172" s="24">
        <f t="shared" si="73"/>
        <v>12.483000000000002</v>
      </c>
      <c r="BK172" s="24">
        <f t="shared" si="74"/>
        <v>2692.377</v>
      </c>
      <c r="BL172" s="24" t="s">
        <v>565</v>
      </c>
      <c r="BM172" s="42">
        <f t="shared" si="65"/>
        <v>1</v>
      </c>
      <c r="BN172" s="24" t="s">
        <v>610</v>
      </c>
      <c r="BO172" s="2" t="s">
        <v>84</v>
      </c>
    </row>
    <row r="173" spans="1:67" s="1" customFormat="1" ht="15" customHeight="1" x14ac:dyDescent="0.3">
      <c r="A173" s="20">
        <v>169</v>
      </c>
      <c r="B173" s="21">
        <v>46093</v>
      </c>
      <c r="C173" s="21">
        <v>46097</v>
      </c>
      <c r="D173" s="50" t="s">
        <v>430</v>
      </c>
      <c r="E173" s="23">
        <v>46097</v>
      </c>
      <c r="F173" s="23" t="s">
        <v>7</v>
      </c>
      <c r="G173" s="24" t="s">
        <v>68</v>
      </c>
      <c r="H173" s="24" t="s">
        <v>69</v>
      </c>
      <c r="I173" s="24" t="s">
        <v>800</v>
      </c>
      <c r="J173" s="25" t="s">
        <v>801</v>
      </c>
      <c r="K173" s="45" t="str">
        <f t="shared" si="66"/>
        <v>WB41P4782</v>
      </c>
      <c r="L173" s="26">
        <v>46093</v>
      </c>
      <c r="M173" s="34" t="s">
        <v>1058</v>
      </c>
      <c r="N173" s="27" t="s">
        <v>1059</v>
      </c>
      <c r="O173" s="28">
        <v>0</v>
      </c>
      <c r="P173" s="27" t="s">
        <v>1060</v>
      </c>
      <c r="Q173" s="29">
        <v>2525361441</v>
      </c>
      <c r="R173" s="30">
        <v>2110807766</v>
      </c>
      <c r="S173" s="31" t="s">
        <v>73</v>
      </c>
      <c r="T173" s="24" t="s">
        <v>188</v>
      </c>
      <c r="U173" s="24" t="s">
        <v>75</v>
      </c>
      <c r="V173" s="32" t="s">
        <v>510</v>
      </c>
      <c r="W173" s="32" t="s">
        <v>511</v>
      </c>
      <c r="X173" s="32"/>
      <c r="Y173" s="24">
        <v>499</v>
      </c>
      <c r="Z173" s="24">
        <v>13</v>
      </c>
      <c r="AA173" s="24">
        <f>+Y173/100*93</f>
        <v>464.07</v>
      </c>
      <c r="AB173" s="24">
        <f t="shared" si="60"/>
        <v>6487</v>
      </c>
      <c r="AC173" s="24">
        <f t="shared" si="61"/>
        <v>6162.6500000000005</v>
      </c>
      <c r="AD173" s="24">
        <f t="shared" si="62"/>
        <v>6032.91</v>
      </c>
      <c r="AE173" s="24">
        <f t="shared" si="63"/>
        <v>454.09000000000015</v>
      </c>
      <c r="AF173" s="24">
        <f t="shared" si="80"/>
        <v>60.329099999999997</v>
      </c>
      <c r="AG173" s="33">
        <v>1550</v>
      </c>
      <c r="AH173" s="24"/>
      <c r="AI173" s="24"/>
      <c r="AJ173" s="24"/>
      <c r="AK173" s="24"/>
      <c r="AL173" s="24"/>
      <c r="AM173" s="24" t="s">
        <v>79</v>
      </c>
      <c r="AN173" s="34" t="s">
        <v>1061</v>
      </c>
      <c r="AO173" s="35" t="s">
        <v>973</v>
      </c>
      <c r="AP173" s="24">
        <f>77*2</f>
        <v>154</v>
      </c>
      <c r="AQ173" s="36">
        <f t="shared" si="68"/>
        <v>47.384615384615387</v>
      </c>
      <c r="AR173" s="67">
        <v>32</v>
      </c>
      <c r="AS173" s="68">
        <f t="shared" si="69"/>
        <v>-15.384615384615387</v>
      </c>
      <c r="AT173" s="69"/>
      <c r="AU173" s="68">
        <f t="shared" si="70"/>
        <v>-15.384615384615387</v>
      </c>
      <c r="AV173" s="70">
        <v>91.99</v>
      </c>
      <c r="AW173" s="65">
        <f t="shared" si="64"/>
        <v>2943.68</v>
      </c>
      <c r="AX173" s="24">
        <f t="shared" si="76"/>
        <v>74.4861103513893</v>
      </c>
      <c r="AY173" s="24"/>
      <c r="AZ173" s="24"/>
      <c r="BA173" s="24"/>
      <c r="BB173" s="24">
        <f t="shared" si="71"/>
        <v>0</v>
      </c>
      <c r="BC173" s="24">
        <f t="shared" si="72"/>
        <v>1478.9009000000001</v>
      </c>
      <c r="BD173" s="24">
        <v>40</v>
      </c>
      <c r="BE173" s="24">
        <v>40</v>
      </c>
      <c r="BF173" s="24"/>
      <c r="BG173" s="24">
        <f>+AB173*9.5%</f>
        <v>616.26499999999999</v>
      </c>
      <c r="BH173" s="24"/>
      <c r="BI173" s="24"/>
      <c r="BJ173" s="24">
        <f t="shared" si="73"/>
        <v>6.1626500000000002</v>
      </c>
      <c r="BK173" s="24">
        <f t="shared" si="74"/>
        <v>2169.0032499999998</v>
      </c>
      <c r="BL173" s="24" t="s">
        <v>807</v>
      </c>
      <c r="BM173" s="42">
        <f t="shared" si="65"/>
        <v>1</v>
      </c>
      <c r="BN173" s="24" t="s">
        <v>610</v>
      </c>
      <c r="BO173" s="2" t="s">
        <v>129</v>
      </c>
    </row>
    <row r="174" spans="1:67" s="1" customFormat="1" ht="15" customHeight="1" x14ac:dyDescent="0.3">
      <c r="A174" s="20">
        <v>170</v>
      </c>
      <c r="B174" s="21">
        <v>46093</v>
      </c>
      <c r="C174" s="21">
        <v>46102</v>
      </c>
      <c r="D174" s="52" t="s">
        <v>1062</v>
      </c>
      <c r="E174" s="23">
        <v>46104</v>
      </c>
      <c r="F174" s="23" t="s">
        <v>7</v>
      </c>
      <c r="G174" s="24" t="s">
        <v>87</v>
      </c>
      <c r="H174" s="24" t="s">
        <v>69</v>
      </c>
      <c r="I174" s="24" t="s">
        <v>70</v>
      </c>
      <c r="J174" s="25" t="s">
        <v>612</v>
      </c>
      <c r="K174" s="45" t="str">
        <f t="shared" si="66"/>
        <v>WB39B2382</v>
      </c>
      <c r="L174" s="26">
        <v>46094</v>
      </c>
      <c r="M174" s="34" t="s">
        <v>1063</v>
      </c>
      <c r="N174" s="27" t="s">
        <v>1064</v>
      </c>
      <c r="O174" s="28">
        <v>0</v>
      </c>
      <c r="P174" s="27"/>
      <c r="Q174" s="29">
        <v>2525361524</v>
      </c>
      <c r="R174" s="30">
        <v>2110807808</v>
      </c>
      <c r="S174" s="31" t="s">
        <v>73</v>
      </c>
      <c r="T174" s="24" t="s">
        <v>91</v>
      </c>
      <c r="U174" s="24" t="s">
        <v>75</v>
      </c>
      <c r="V174" s="32" t="s">
        <v>1065</v>
      </c>
      <c r="W174" s="32" t="s">
        <v>1066</v>
      </c>
      <c r="X174" s="32" t="s">
        <v>1066</v>
      </c>
      <c r="Y174" s="24">
        <v>936</v>
      </c>
      <c r="Z174" s="24">
        <v>25</v>
      </c>
      <c r="AA174" s="24">
        <f t="shared" si="67"/>
        <v>889.19999999999993</v>
      </c>
      <c r="AB174" s="24">
        <f t="shared" si="60"/>
        <v>23400</v>
      </c>
      <c r="AC174" s="24">
        <f t="shared" si="61"/>
        <v>22230</v>
      </c>
      <c r="AD174" s="24">
        <f t="shared" si="62"/>
        <v>22230</v>
      </c>
      <c r="AE174" s="24">
        <f t="shared" si="63"/>
        <v>1170</v>
      </c>
      <c r="AF174" s="24">
        <f t="shared" si="80"/>
        <v>222.3</v>
      </c>
      <c r="AG174" s="33">
        <v>4700</v>
      </c>
      <c r="AH174" s="24"/>
      <c r="AI174" s="24"/>
      <c r="AJ174" s="24"/>
      <c r="AK174" s="24"/>
      <c r="AL174" s="24"/>
      <c r="AM174" s="24" t="s">
        <v>79</v>
      </c>
      <c r="AN174" s="34" t="s">
        <v>1067</v>
      </c>
      <c r="AO174" s="35" t="s">
        <v>973</v>
      </c>
      <c r="AP174" s="24">
        <f>213*2</f>
        <v>426</v>
      </c>
      <c r="AQ174" s="36">
        <f t="shared" si="68"/>
        <v>131.07692307692307</v>
      </c>
      <c r="AR174" s="67">
        <v>149</v>
      </c>
      <c r="AS174" s="68">
        <f t="shared" si="69"/>
        <v>17.923076923076934</v>
      </c>
      <c r="AT174" s="69"/>
      <c r="AU174" s="68">
        <f t="shared" si="70"/>
        <v>17.923076923076934</v>
      </c>
      <c r="AV174" s="70">
        <v>91.99</v>
      </c>
      <c r="AW174" s="65">
        <f t="shared" si="64"/>
        <v>13706.509999999998</v>
      </c>
      <c r="AX174" s="24">
        <f t="shared" si="76"/>
        <v>82.800314889788567</v>
      </c>
      <c r="AY174" s="24"/>
      <c r="AZ174" s="24"/>
      <c r="BA174" s="24"/>
      <c r="BB174" s="24">
        <f t="shared" si="71"/>
        <v>0</v>
      </c>
      <c r="BC174" s="24">
        <f t="shared" si="72"/>
        <v>3601.1900000000023</v>
      </c>
      <c r="BD174" s="24">
        <v>135</v>
      </c>
      <c r="BE174" s="24">
        <v>135</v>
      </c>
      <c r="BF174" s="24"/>
      <c r="BG174" s="24">
        <f>+AD174*9.5%</f>
        <v>2111.85</v>
      </c>
      <c r="BH174" s="24"/>
      <c r="BI174" s="24"/>
      <c r="BJ174" s="24">
        <f t="shared" si="73"/>
        <v>21.118500000000001</v>
      </c>
      <c r="BK174" s="24">
        <f t="shared" si="74"/>
        <v>5961.9215000000031</v>
      </c>
      <c r="BL174" s="24" t="s">
        <v>618</v>
      </c>
      <c r="BM174" s="42">
        <f t="shared" si="65"/>
        <v>2</v>
      </c>
      <c r="BN174" s="24" t="s">
        <v>83</v>
      </c>
      <c r="BO174" s="2" t="s">
        <v>129</v>
      </c>
    </row>
    <row r="175" spans="1:67" s="1" customFormat="1" ht="15" customHeight="1" x14ac:dyDescent="0.3">
      <c r="A175" s="20">
        <v>171</v>
      </c>
      <c r="B175" s="21">
        <v>46093</v>
      </c>
      <c r="C175" s="21">
        <v>46102</v>
      </c>
      <c r="D175" s="52" t="s">
        <v>97</v>
      </c>
      <c r="E175" s="23">
        <v>46104</v>
      </c>
      <c r="F175" s="23" t="s">
        <v>7</v>
      </c>
      <c r="G175" s="24" t="s">
        <v>87</v>
      </c>
      <c r="H175" s="24" t="s">
        <v>69</v>
      </c>
      <c r="I175" s="24" t="s">
        <v>70</v>
      </c>
      <c r="J175" s="25" t="s">
        <v>842</v>
      </c>
      <c r="K175" s="45" t="str">
        <f t="shared" si="66"/>
        <v>WB39B8924</v>
      </c>
      <c r="L175" s="26">
        <v>46096</v>
      </c>
      <c r="M175" s="34" t="s">
        <v>1068</v>
      </c>
      <c r="N175" s="27" t="s">
        <v>1069</v>
      </c>
      <c r="O175" s="28">
        <v>0</v>
      </c>
      <c r="P175" s="27"/>
      <c r="Q175" s="29">
        <v>2525361580</v>
      </c>
      <c r="R175" s="30">
        <v>2110807809</v>
      </c>
      <c r="S175" s="31" t="s">
        <v>73</v>
      </c>
      <c r="T175" s="24" t="s">
        <v>91</v>
      </c>
      <c r="U175" s="24" t="s">
        <v>75</v>
      </c>
      <c r="V175" s="32" t="s">
        <v>1070</v>
      </c>
      <c r="W175" s="32" t="s">
        <v>881</v>
      </c>
      <c r="X175" s="32" t="s">
        <v>1071</v>
      </c>
      <c r="Y175" s="24">
        <v>1058</v>
      </c>
      <c r="Z175" s="24">
        <v>25</v>
      </c>
      <c r="AA175" s="24">
        <f t="shared" si="67"/>
        <v>1005.1</v>
      </c>
      <c r="AB175" s="24">
        <f t="shared" si="60"/>
        <v>26450</v>
      </c>
      <c r="AC175" s="24">
        <f t="shared" si="61"/>
        <v>25127.5</v>
      </c>
      <c r="AD175" s="24">
        <f t="shared" si="62"/>
        <v>25127.5</v>
      </c>
      <c r="AE175" s="24">
        <f t="shared" si="63"/>
        <v>1322.5</v>
      </c>
      <c r="AF175" s="24">
        <f t="shared" si="80"/>
        <v>251.27500000000001</v>
      </c>
      <c r="AG175" s="33">
        <v>3600</v>
      </c>
      <c r="AH175" s="24"/>
      <c r="AI175" s="24"/>
      <c r="AJ175" s="24"/>
      <c r="AK175" s="24"/>
      <c r="AL175" s="24"/>
      <c r="AM175" s="24" t="s">
        <v>79</v>
      </c>
      <c r="AN175" s="34" t="s">
        <v>1072</v>
      </c>
      <c r="AO175" s="35" t="s">
        <v>973</v>
      </c>
      <c r="AP175" s="24">
        <f>239*2</f>
        <v>478</v>
      </c>
      <c r="AQ175" s="36">
        <f t="shared" si="68"/>
        <v>147.07692307692307</v>
      </c>
      <c r="AR175" s="67">
        <v>165</v>
      </c>
      <c r="AS175" s="68">
        <f t="shared" si="69"/>
        <v>17.923076923076934</v>
      </c>
      <c r="AT175" s="69"/>
      <c r="AU175" s="68">
        <f t="shared" si="70"/>
        <v>17.923076923076934</v>
      </c>
      <c r="AV175" s="70">
        <v>91.88</v>
      </c>
      <c r="AW175" s="65">
        <f t="shared" si="64"/>
        <v>15160.199999999999</v>
      </c>
      <c r="AX175" s="24">
        <f t="shared" si="76"/>
        <v>74.66003382747985</v>
      </c>
      <c r="AY175" s="24"/>
      <c r="AZ175" s="24"/>
      <c r="BA175" s="24"/>
      <c r="BB175" s="24">
        <f t="shared" si="71"/>
        <v>0</v>
      </c>
      <c r="BC175" s="24">
        <f t="shared" si="72"/>
        <v>6116.0249999999996</v>
      </c>
      <c r="BD175" s="24"/>
      <c r="BE175" s="24"/>
      <c r="BF175" s="24"/>
      <c r="BG175" s="24">
        <f>+AD175*9.5%</f>
        <v>2387.1125000000002</v>
      </c>
      <c r="BH175" s="24"/>
      <c r="BI175" s="24"/>
      <c r="BJ175" s="24">
        <f t="shared" si="73"/>
        <v>23.871125000000003</v>
      </c>
      <c r="BK175" s="24">
        <f t="shared" si="74"/>
        <v>8479.2663750000011</v>
      </c>
      <c r="BL175" s="24" t="s">
        <v>638</v>
      </c>
      <c r="BM175" s="42">
        <f t="shared" si="65"/>
        <v>4</v>
      </c>
      <c r="BN175" s="24" t="s">
        <v>174</v>
      </c>
      <c r="BO175" s="2" t="s">
        <v>1073</v>
      </c>
    </row>
    <row r="176" spans="1:67" s="1" customFormat="1" ht="15" customHeight="1" x14ac:dyDescent="0.3">
      <c r="A176" s="20">
        <v>172</v>
      </c>
      <c r="B176" s="21">
        <v>46093</v>
      </c>
      <c r="C176" s="21">
        <v>46102</v>
      </c>
      <c r="D176" s="56" t="s">
        <v>1015</v>
      </c>
      <c r="E176" s="23">
        <v>46107</v>
      </c>
      <c r="F176" s="23" t="s">
        <v>7</v>
      </c>
      <c r="G176" s="24" t="s">
        <v>68</v>
      </c>
      <c r="H176" s="24" t="s">
        <v>69</v>
      </c>
      <c r="I176" s="24" t="s">
        <v>263</v>
      </c>
      <c r="J176" s="25" t="s">
        <v>316</v>
      </c>
      <c r="K176" s="45" t="str">
        <f t="shared" si="66"/>
        <v>WB41G6396</v>
      </c>
      <c r="L176" s="26">
        <v>46094</v>
      </c>
      <c r="M176" s="34" t="s">
        <v>1074</v>
      </c>
      <c r="N176" s="27" t="s">
        <v>1075</v>
      </c>
      <c r="O176" s="28">
        <v>0</v>
      </c>
      <c r="P176" s="27" t="s">
        <v>1076</v>
      </c>
      <c r="Q176" s="29">
        <v>2525361566</v>
      </c>
      <c r="R176" s="30">
        <v>2110807947</v>
      </c>
      <c r="S176" s="31" t="s">
        <v>73</v>
      </c>
      <c r="T176" s="24" t="s">
        <v>91</v>
      </c>
      <c r="U176" s="24" t="s">
        <v>75</v>
      </c>
      <c r="V176" s="32" t="s">
        <v>1077</v>
      </c>
      <c r="W176" s="32" t="s">
        <v>1078</v>
      </c>
      <c r="X176" s="32" t="s">
        <v>1079</v>
      </c>
      <c r="Y176" s="24">
        <v>1081</v>
      </c>
      <c r="Z176" s="24">
        <v>25</v>
      </c>
      <c r="AA176" s="24">
        <f t="shared" si="67"/>
        <v>1026.95</v>
      </c>
      <c r="AB176" s="24">
        <f t="shared" si="60"/>
        <v>27025</v>
      </c>
      <c r="AC176" s="24">
        <f t="shared" si="61"/>
        <v>25673.75</v>
      </c>
      <c r="AD176" s="24">
        <f t="shared" si="62"/>
        <v>25673.75</v>
      </c>
      <c r="AE176" s="24">
        <f t="shared" si="63"/>
        <v>1351.25</v>
      </c>
      <c r="AF176" s="24">
        <v>0</v>
      </c>
      <c r="AG176" s="33">
        <v>8500</v>
      </c>
      <c r="AH176" s="24"/>
      <c r="AI176" s="24"/>
      <c r="AJ176" s="24"/>
      <c r="AK176" s="24">
        <v>115</v>
      </c>
      <c r="AL176" s="24"/>
      <c r="AM176" s="24" t="s">
        <v>79</v>
      </c>
      <c r="AN176" s="34" t="s">
        <v>1080</v>
      </c>
      <c r="AO176" s="35" t="s">
        <v>973</v>
      </c>
      <c r="AP176" s="24">
        <f>247*2</f>
        <v>494</v>
      </c>
      <c r="AQ176" s="36">
        <f t="shared" si="68"/>
        <v>152</v>
      </c>
      <c r="AR176" s="67">
        <v>155</v>
      </c>
      <c r="AS176" s="68">
        <f t="shared" si="69"/>
        <v>3</v>
      </c>
      <c r="AT176" s="69"/>
      <c r="AU176" s="68">
        <f t="shared" si="70"/>
        <v>3</v>
      </c>
      <c r="AV176" s="70">
        <v>91.99</v>
      </c>
      <c r="AW176" s="65">
        <f t="shared" si="64"/>
        <v>14258.449999999999</v>
      </c>
      <c r="AX176" s="24">
        <f t="shared" si="76"/>
        <v>88.644822045863961</v>
      </c>
      <c r="AY176" s="24"/>
      <c r="AZ176" s="24"/>
      <c r="BA176" s="24"/>
      <c r="BB176" s="24">
        <f t="shared" si="71"/>
        <v>0</v>
      </c>
      <c r="BC176" s="24">
        <f t="shared" si="72"/>
        <v>2800.3000000000011</v>
      </c>
      <c r="BD176" s="24"/>
      <c r="BE176" s="24"/>
      <c r="BF176" s="24"/>
      <c r="BG176" s="24">
        <f>+AB176*9.5%</f>
        <v>2567.375</v>
      </c>
      <c r="BH176" s="24"/>
      <c r="BI176" s="24"/>
      <c r="BJ176" s="24">
        <f t="shared" si="73"/>
        <v>25.673750000000002</v>
      </c>
      <c r="BK176" s="24">
        <f t="shared" si="74"/>
        <v>5342.0012500000012</v>
      </c>
      <c r="BL176" s="24" t="s">
        <v>121</v>
      </c>
      <c r="BM176" s="42">
        <f t="shared" si="65"/>
        <v>2</v>
      </c>
      <c r="BN176" s="24" t="s">
        <v>83</v>
      </c>
      <c r="BO176" s="2" t="s">
        <v>175</v>
      </c>
    </row>
    <row r="177" spans="1:67" s="1" customFormat="1" ht="15" customHeight="1" x14ac:dyDescent="0.3">
      <c r="A177" s="20">
        <v>173</v>
      </c>
      <c r="B177" s="21">
        <v>46093</v>
      </c>
      <c r="C177" s="21">
        <v>46097</v>
      </c>
      <c r="D177" s="50" t="s">
        <v>531</v>
      </c>
      <c r="E177" s="23">
        <v>46097</v>
      </c>
      <c r="F177" s="23" t="s">
        <v>7</v>
      </c>
      <c r="G177" s="24" t="s">
        <v>68</v>
      </c>
      <c r="H177" s="24" t="s">
        <v>69</v>
      </c>
      <c r="I177" s="24" t="s">
        <v>166</v>
      </c>
      <c r="J177" s="25" t="s">
        <v>167</v>
      </c>
      <c r="K177" s="45" t="str">
        <f t="shared" si="66"/>
        <v>WB41H0254</v>
      </c>
      <c r="L177" s="26">
        <v>46094</v>
      </c>
      <c r="M177" s="34" t="s">
        <v>1081</v>
      </c>
      <c r="N177" s="27" t="s">
        <v>1082</v>
      </c>
      <c r="O177" s="28">
        <v>0</v>
      </c>
      <c r="P177" s="27" t="s">
        <v>1083</v>
      </c>
      <c r="Q177" s="29">
        <v>2525361694</v>
      </c>
      <c r="R177" s="30">
        <v>2110808306</v>
      </c>
      <c r="S177" s="31" t="s">
        <v>73</v>
      </c>
      <c r="T177" s="24" t="s">
        <v>91</v>
      </c>
      <c r="U177" s="24" t="s">
        <v>75</v>
      </c>
      <c r="V177" s="32" t="s">
        <v>1019</v>
      </c>
      <c r="W177" s="32" t="s">
        <v>1084</v>
      </c>
      <c r="X177" s="32"/>
      <c r="Y177" s="24">
        <v>1100</v>
      </c>
      <c r="Z177" s="24">
        <v>25</v>
      </c>
      <c r="AA177" s="24">
        <f t="shared" si="67"/>
        <v>1045</v>
      </c>
      <c r="AB177" s="24">
        <f t="shared" si="60"/>
        <v>27500</v>
      </c>
      <c r="AC177" s="24">
        <f t="shared" si="61"/>
        <v>26125</v>
      </c>
      <c r="AD177" s="24">
        <f t="shared" si="62"/>
        <v>26125</v>
      </c>
      <c r="AE177" s="24">
        <f t="shared" si="63"/>
        <v>1375</v>
      </c>
      <c r="AF177" s="24">
        <v>0</v>
      </c>
      <c r="AG177" s="33">
        <v>3500</v>
      </c>
      <c r="AH177" s="24"/>
      <c r="AI177" s="24"/>
      <c r="AJ177" s="24"/>
      <c r="AK177" s="24"/>
      <c r="AL177" s="24"/>
      <c r="AM177" s="24" t="s">
        <v>79</v>
      </c>
      <c r="AN177" s="34" t="s">
        <v>1085</v>
      </c>
      <c r="AO177" s="35" t="s">
        <v>973</v>
      </c>
      <c r="AP177" s="24">
        <f>256*2</f>
        <v>512</v>
      </c>
      <c r="AQ177" s="36">
        <f t="shared" si="68"/>
        <v>157.53846153846155</v>
      </c>
      <c r="AR177" s="67">
        <v>145</v>
      </c>
      <c r="AS177" s="68">
        <f t="shared" si="69"/>
        <v>-12.538461538461547</v>
      </c>
      <c r="AT177" s="69"/>
      <c r="AU177" s="68">
        <f t="shared" si="70"/>
        <v>-12.538461538461547</v>
      </c>
      <c r="AV177" s="70">
        <v>91.99</v>
      </c>
      <c r="AW177" s="65">
        <f t="shared" si="64"/>
        <v>13338.55</v>
      </c>
      <c r="AX177" s="24">
        <f t="shared" si="76"/>
        <v>64.453779904306217</v>
      </c>
      <c r="AY177" s="24"/>
      <c r="AZ177" s="24"/>
      <c r="BA177" s="24"/>
      <c r="BB177" s="24">
        <f t="shared" si="71"/>
        <v>0</v>
      </c>
      <c r="BC177" s="24">
        <f t="shared" si="72"/>
        <v>9286.4500000000007</v>
      </c>
      <c r="BD177" s="24"/>
      <c r="BE177" s="24"/>
      <c r="BF177" s="24"/>
      <c r="BG177" s="24">
        <f>+AB177*9.5%</f>
        <v>2612.5</v>
      </c>
      <c r="BH177" s="24"/>
      <c r="BI177" s="24"/>
      <c r="BJ177" s="24">
        <f t="shared" si="73"/>
        <v>26.125</v>
      </c>
      <c r="BK177" s="24">
        <f t="shared" si="74"/>
        <v>11872.825000000001</v>
      </c>
      <c r="BL177" s="24" t="s">
        <v>173</v>
      </c>
      <c r="BM177" s="42">
        <f t="shared" si="65"/>
        <v>2</v>
      </c>
      <c r="BN177" s="24" t="s">
        <v>83</v>
      </c>
      <c r="BO177" s="2" t="s">
        <v>84</v>
      </c>
    </row>
    <row r="178" spans="1:67" s="1" customFormat="1" ht="15" customHeight="1" x14ac:dyDescent="0.3">
      <c r="A178" s="20">
        <v>174</v>
      </c>
      <c r="B178" s="21">
        <v>46093</v>
      </c>
      <c r="C178" s="21">
        <v>46097</v>
      </c>
      <c r="D178" s="50" t="s">
        <v>531</v>
      </c>
      <c r="E178" s="23">
        <v>46097</v>
      </c>
      <c r="F178" s="23" t="s">
        <v>7</v>
      </c>
      <c r="G178" s="24" t="s">
        <v>68</v>
      </c>
      <c r="H178" s="24" t="s">
        <v>69</v>
      </c>
      <c r="I178" s="24" t="s">
        <v>141</v>
      </c>
      <c r="J178" s="25" t="s">
        <v>246</v>
      </c>
      <c r="K178" s="45" t="str">
        <f t="shared" si="66"/>
        <v>WB41F4393</v>
      </c>
      <c r="L178" s="26">
        <v>46096</v>
      </c>
      <c r="M178" s="34" t="s">
        <v>1086</v>
      </c>
      <c r="N178" s="27" t="s">
        <v>1087</v>
      </c>
      <c r="O178" s="28">
        <v>0</v>
      </c>
      <c r="P178" s="27" t="s">
        <v>1088</v>
      </c>
      <c r="Q178" s="29">
        <v>2525361514</v>
      </c>
      <c r="R178" s="30">
        <v>2110807894</v>
      </c>
      <c r="S178" s="31" t="s">
        <v>73</v>
      </c>
      <c r="T178" s="24" t="s">
        <v>91</v>
      </c>
      <c r="U178" s="24" t="s">
        <v>75</v>
      </c>
      <c r="V178" s="32" t="s">
        <v>1089</v>
      </c>
      <c r="W178" s="32" t="s">
        <v>1090</v>
      </c>
      <c r="X178" s="32"/>
      <c r="Y178" s="24">
        <v>1258</v>
      </c>
      <c r="Z178" s="24">
        <v>25</v>
      </c>
      <c r="AA178" s="24">
        <f t="shared" si="67"/>
        <v>1195.0999999999999</v>
      </c>
      <c r="AB178" s="24">
        <f t="shared" si="60"/>
        <v>31450</v>
      </c>
      <c r="AC178" s="24">
        <f t="shared" si="61"/>
        <v>29877.5</v>
      </c>
      <c r="AD178" s="24">
        <f t="shared" si="62"/>
        <v>29877.499999999996</v>
      </c>
      <c r="AE178" s="24">
        <f t="shared" si="63"/>
        <v>1572.5000000000036</v>
      </c>
      <c r="AF178" s="24">
        <f t="shared" si="80"/>
        <v>298.77499999999998</v>
      </c>
      <c r="AG178" s="33">
        <v>4150</v>
      </c>
      <c r="AH178" s="24"/>
      <c r="AI178" s="24"/>
      <c r="AJ178" s="24"/>
      <c r="AK178" s="24"/>
      <c r="AL178" s="24"/>
      <c r="AM178" s="24" t="s">
        <v>79</v>
      </c>
      <c r="AN178" s="34" t="s">
        <v>1091</v>
      </c>
      <c r="AO178" s="35" t="s">
        <v>973</v>
      </c>
      <c r="AP178" s="24">
        <f>311*2</f>
        <v>622</v>
      </c>
      <c r="AQ178" s="36">
        <f t="shared" si="68"/>
        <v>191.38461538461539</v>
      </c>
      <c r="AR178" s="67">
        <f>5+180</f>
        <v>185</v>
      </c>
      <c r="AS178" s="68">
        <f t="shared" si="69"/>
        <v>-6.3846153846153868</v>
      </c>
      <c r="AT178" s="69"/>
      <c r="AU178" s="68">
        <f t="shared" si="70"/>
        <v>-6.3846153846153868</v>
      </c>
      <c r="AV178" s="70">
        <v>91.99</v>
      </c>
      <c r="AW178" s="65">
        <f t="shared" si="64"/>
        <v>17018.149999999998</v>
      </c>
      <c r="AX178" s="24">
        <f t="shared" si="76"/>
        <v>70.849803363735248</v>
      </c>
      <c r="AY178" s="24"/>
      <c r="AZ178" s="24"/>
      <c r="BA178" s="24"/>
      <c r="BB178" s="24">
        <f t="shared" si="71"/>
        <v>0</v>
      </c>
      <c r="BC178" s="24">
        <f t="shared" si="72"/>
        <v>8410.5749999999971</v>
      </c>
      <c r="BD178" s="24">
        <v>135</v>
      </c>
      <c r="BE178" s="24">
        <v>135</v>
      </c>
      <c r="BF178" s="24"/>
      <c r="BG178" s="24">
        <f>+AB178*9.5%</f>
        <v>2987.75</v>
      </c>
      <c r="BH178" s="24"/>
      <c r="BI178" s="24"/>
      <c r="BJ178" s="24">
        <f t="shared" si="73"/>
        <v>29.877500000000001</v>
      </c>
      <c r="BK178" s="24">
        <f t="shared" si="74"/>
        <v>11638.447499999997</v>
      </c>
      <c r="BL178" s="24" t="s">
        <v>253</v>
      </c>
      <c r="BM178" s="42">
        <f t="shared" si="65"/>
        <v>4</v>
      </c>
      <c r="BN178" s="24" t="s">
        <v>174</v>
      </c>
      <c r="BO178" s="2" t="s">
        <v>84</v>
      </c>
    </row>
    <row r="179" spans="1:67" s="1" customFormat="1" ht="15" customHeight="1" x14ac:dyDescent="0.3">
      <c r="A179" s="20">
        <v>175</v>
      </c>
      <c r="B179" s="21">
        <v>46093</v>
      </c>
      <c r="C179" s="21">
        <v>46097</v>
      </c>
      <c r="D179" s="50" t="s">
        <v>531</v>
      </c>
      <c r="E179" s="23">
        <v>46097</v>
      </c>
      <c r="F179" s="23" t="s">
        <v>7</v>
      </c>
      <c r="G179" s="24" t="s">
        <v>68</v>
      </c>
      <c r="H179" s="24" t="s">
        <v>69</v>
      </c>
      <c r="I179" s="24" t="s">
        <v>117</v>
      </c>
      <c r="J179" s="25" t="s">
        <v>118</v>
      </c>
      <c r="K179" s="45" t="str">
        <f t="shared" si="66"/>
        <v>WB37E6348</v>
      </c>
      <c r="L179" s="26">
        <v>46094</v>
      </c>
      <c r="M179" s="34" t="s">
        <v>1092</v>
      </c>
      <c r="N179" s="27" t="s">
        <v>1093</v>
      </c>
      <c r="O179" s="28">
        <v>0</v>
      </c>
      <c r="P179" s="27" t="s">
        <v>1094</v>
      </c>
      <c r="Q179" s="29">
        <v>2525361562</v>
      </c>
      <c r="R179" s="30">
        <v>2110807944</v>
      </c>
      <c r="S179" s="31" t="s">
        <v>73</v>
      </c>
      <c r="T179" s="24" t="s">
        <v>91</v>
      </c>
      <c r="U179" s="24" t="s">
        <v>75</v>
      </c>
      <c r="V179" s="32" t="s">
        <v>1095</v>
      </c>
      <c r="W179" s="32" t="s">
        <v>1090</v>
      </c>
      <c r="X179" s="32"/>
      <c r="Y179" s="24">
        <v>1278</v>
      </c>
      <c r="Z179" s="24">
        <v>25</v>
      </c>
      <c r="AA179" s="24">
        <f t="shared" si="67"/>
        <v>1214.0999999999999</v>
      </c>
      <c r="AB179" s="24">
        <f t="shared" si="60"/>
        <v>31950</v>
      </c>
      <c r="AC179" s="24">
        <f t="shared" si="61"/>
        <v>30352.5</v>
      </c>
      <c r="AD179" s="24">
        <f t="shared" si="62"/>
        <v>30352.499999999996</v>
      </c>
      <c r="AE179" s="24">
        <f t="shared" si="63"/>
        <v>1597.5000000000036</v>
      </c>
      <c r="AF179" s="24">
        <v>0</v>
      </c>
      <c r="AG179" s="33">
        <v>9000</v>
      </c>
      <c r="AH179" s="24"/>
      <c r="AI179" s="24"/>
      <c r="AJ179" s="24"/>
      <c r="AK179" s="24"/>
      <c r="AL179" s="24"/>
      <c r="AM179" s="24" t="s">
        <v>79</v>
      </c>
      <c r="AN179" s="34" t="s">
        <v>1096</v>
      </c>
      <c r="AO179" s="35" t="s">
        <v>973</v>
      </c>
      <c r="AP179" s="24">
        <f>315*2</f>
        <v>630</v>
      </c>
      <c r="AQ179" s="36">
        <f t="shared" si="68"/>
        <v>193.84615384615384</v>
      </c>
      <c r="AR179" s="67">
        <v>185</v>
      </c>
      <c r="AS179" s="68">
        <f t="shared" si="69"/>
        <v>-8.8461538461538396</v>
      </c>
      <c r="AT179" s="69"/>
      <c r="AU179" s="68">
        <f t="shared" si="70"/>
        <v>-8.8461538461538396</v>
      </c>
      <c r="AV179" s="70">
        <v>91.88</v>
      </c>
      <c r="AW179" s="65">
        <f t="shared" si="64"/>
        <v>16997.8</v>
      </c>
      <c r="AX179" s="24">
        <f t="shared" si="76"/>
        <v>85.652911621777463</v>
      </c>
      <c r="AY179" s="24"/>
      <c r="AZ179" s="24"/>
      <c r="BA179" s="24"/>
      <c r="BB179" s="24">
        <f t="shared" si="71"/>
        <v>0</v>
      </c>
      <c r="BC179" s="24">
        <f t="shared" si="72"/>
        <v>4354.6999999999971</v>
      </c>
      <c r="BD179" s="24">
        <v>135</v>
      </c>
      <c r="BE179" s="24">
        <v>135</v>
      </c>
      <c r="BF179" s="24"/>
      <c r="BG179" s="24">
        <f>+AB179*9.5%</f>
        <v>3035.25</v>
      </c>
      <c r="BH179" s="24"/>
      <c r="BI179" s="24"/>
      <c r="BJ179" s="24">
        <f t="shared" si="73"/>
        <v>30.352499999999999</v>
      </c>
      <c r="BK179" s="24">
        <f t="shared" si="74"/>
        <v>7629.5974999999971</v>
      </c>
      <c r="BL179" s="24" t="s">
        <v>121</v>
      </c>
      <c r="BM179" s="42">
        <f t="shared" si="65"/>
        <v>2</v>
      </c>
      <c r="BN179" s="24" t="s">
        <v>83</v>
      </c>
      <c r="BO179" s="2" t="s">
        <v>84</v>
      </c>
    </row>
    <row r="180" spans="1:67" s="1" customFormat="1" ht="15" customHeight="1" x14ac:dyDescent="0.3">
      <c r="A180" s="20">
        <v>176</v>
      </c>
      <c r="B180" s="21">
        <v>46093</v>
      </c>
      <c r="C180" s="21">
        <v>46097</v>
      </c>
      <c r="D180" s="50" t="s">
        <v>165</v>
      </c>
      <c r="E180" s="23">
        <v>46108</v>
      </c>
      <c r="F180" s="23" t="s">
        <v>7</v>
      </c>
      <c r="G180" s="24" t="s">
        <v>68</v>
      </c>
      <c r="H180" s="24" t="s">
        <v>69</v>
      </c>
      <c r="I180" s="24" t="s">
        <v>70</v>
      </c>
      <c r="J180" s="25" t="s">
        <v>293</v>
      </c>
      <c r="K180" s="45" t="str">
        <f t="shared" si="66"/>
        <v>WB39B4313</v>
      </c>
      <c r="L180" s="26">
        <v>46095</v>
      </c>
      <c r="M180" s="34" t="s">
        <v>1097</v>
      </c>
      <c r="N180" s="27" t="s">
        <v>1098</v>
      </c>
      <c r="O180" s="28">
        <v>0</v>
      </c>
      <c r="P180" s="27" t="s">
        <v>1099</v>
      </c>
      <c r="Q180" s="29">
        <v>2525361817</v>
      </c>
      <c r="R180" s="30">
        <v>2110808572</v>
      </c>
      <c r="S180" s="31" t="s">
        <v>73</v>
      </c>
      <c r="T180" s="24" t="s">
        <v>91</v>
      </c>
      <c r="U180" s="24" t="s">
        <v>75</v>
      </c>
      <c r="V180" s="32" t="s">
        <v>297</v>
      </c>
      <c r="W180" s="32" t="s">
        <v>298</v>
      </c>
      <c r="X180" s="32" t="s">
        <v>299</v>
      </c>
      <c r="Y180" s="24">
        <v>1059</v>
      </c>
      <c r="Z180" s="24">
        <v>25</v>
      </c>
      <c r="AA180" s="24">
        <f t="shared" si="67"/>
        <v>1006.05</v>
      </c>
      <c r="AB180" s="24">
        <f t="shared" si="60"/>
        <v>26475</v>
      </c>
      <c r="AC180" s="24">
        <f t="shared" si="61"/>
        <v>25151.25</v>
      </c>
      <c r="AD180" s="24">
        <f t="shared" si="62"/>
        <v>25151.25</v>
      </c>
      <c r="AE180" s="24">
        <f t="shared" si="63"/>
        <v>1323.75</v>
      </c>
      <c r="AF180" s="24">
        <f t="shared" si="80"/>
        <v>251.51250000000002</v>
      </c>
      <c r="AG180" s="33">
        <v>3900</v>
      </c>
      <c r="AH180" s="24"/>
      <c r="AI180" s="24"/>
      <c r="AJ180" s="24"/>
      <c r="AK180" s="24"/>
      <c r="AL180" s="24"/>
      <c r="AM180" s="24" t="s">
        <v>79</v>
      </c>
      <c r="AN180" s="34" t="s">
        <v>1100</v>
      </c>
      <c r="AO180" s="35" t="s">
        <v>973</v>
      </c>
      <c r="AP180" s="24">
        <f>238*2</f>
        <v>476</v>
      </c>
      <c r="AQ180" s="36">
        <f t="shared" si="68"/>
        <v>146.46153846153845</v>
      </c>
      <c r="AR180" s="67">
        <v>155</v>
      </c>
      <c r="AS180" s="68">
        <f t="shared" si="69"/>
        <v>8.5384615384615472</v>
      </c>
      <c r="AT180" s="69"/>
      <c r="AU180" s="68">
        <f t="shared" si="70"/>
        <v>8.5384615384615472</v>
      </c>
      <c r="AV180" s="70">
        <v>91.99</v>
      </c>
      <c r="AW180" s="65">
        <f t="shared" si="64"/>
        <v>14258.449999999999</v>
      </c>
      <c r="AX180" s="24">
        <f t="shared" si="76"/>
        <v>72.197008100988995</v>
      </c>
      <c r="AY180" s="24"/>
      <c r="AZ180" s="24"/>
      <c r="BA180" s="24"/>
      <c r="BB180" s="24">
        <f t="shared" si="71"/>
        <v>0</v>
      </c>
      <c r="BC180" s="24">
        <f t="shared" si="72"/>
        <v>6741.2875000000004</v>
      </c>
      <c r="BD180" s="24"/>
      <c r="BE180" s="24"/>
      <c r="BF180" s="24"/>
      <c r="BG180" s="24">
        <f>+AB180*9.5%</f>
        <v>2515.125</v>
      </c>
      <c r="BH180" s="24"/>
      <c r="BI180" s="24"/>
      <c r="BJ180" s="24">
        <f t="shared" si="73"/>
        <v>25.151250000000001</v>
      </c>
      <c r="BK180" s="24">
        <f t="shared" si="74"/>
        <v>9231.2612499999996</v>
      </c>
      <c r="BL180" s="24" t="s">
        <v>253</v>
      </c>
      <c r="BM180" s="42">
        <f t="shared" si="65"/>
        <v>3</v>
      </c>
      <c r="BN180" s="24" t="s">
        <v>139</v>
      </c>
      <c r="BO180" s="2" t="s">
        <v>129</v>
      </c>
    </row>
    <row r="181" spans="1:67" s="1" customFormat="1" ht="15" customHeight="1" x14ac:dyDescent="0.3">
      <c r="A181" s="20">
        <v>177</v>
      </c>
      <c r="B181" s="21">
        <v>46093</v>
      </c>
      <c r="C181" s="21">
        <v>46097</v>
      </c>
      <c r="D181" s="50" t="s">
        <v>884</v>
      </c>
      <c r="E181" s="23">
        <v>46097</v>
      </c>
      <c r="F181" s="23" t="s">
        <v>7</v>
      </c>
      <c r="G181" s="24" t="s">
        <v>68</v>
      </c>
      <c r="H181" s="24" t="s">
        <v>69</v>
      </c>
      <c r="I181" s="24" t="s">
        <v>70</v>
      </c>
      <c r="J181" s="25" t="s">
        <v>203</v>
      </c>
      <c r="K181" s="45" t="str">
        <f t="shared" si="66"/>
        <v>WB39B0800</v>
      </c>
      <c r="L181" s="26">
        <v>46095</v>
      </c>
      <c r="M181" s="34" t="s">
        <v>1101</v>
      </c>
      <c r="N181" s="27" t="s">
        <v>1102</v>
      </c>
      <c r="O181" s="28">
        <v>0</v>
      </c>
      <c r="P181" s="27" t="s">
        <v>1103</v>
      </c>
      <c r="Q181" s="29">
        <v>2525361861</v>
      </c>
      <c r="R181" s="30">
        <v>2110808674</v>
      </c>
      <c r="S181" s="31" t="s">
        <v>73</v>
      </c>
      <c r="T181" s="24" t="s">
        <v>74</v>
      </c>
      <c r="U181" s="24" t="s">
        <v>75</v>
      </c>
      <c r="V181" s="32" t="s">
        <v>76</v>
      </c>
      <c r="W181" s="32" t="s">
        <v>190</v>
      </c>
      <c r="X181" s="32"/>
      <c r="Y181" s="24">
        <v>584</v>
      </c>
      <c r="Z181" s="24">
        <v>13</v>
      </c>
      <c r="AA181" s="24">
        <f t="shared" si="67"/>
        <v>554.79999999999995</v>
      </c>
      <c r="AB181" s="24">
        <f t="shared" si="60"/>
        <v>7592</v>
      </c>
      <c r="AC181" s="24">
        <f t="shared" si="61"/>
        <v>7212.4000000000005</v>
      </c>
      <c r="AD181" s="24">
        <f t="shared" si="62"/>
        <v>7212.4</v>
      </c>
      <c r="AE181" s="24">
        <f t="shared" si="63"/>
        <v>379.60000000000036</v>
      </c>
      <c r="AF181" s="24">
        <f t="shared" si="80"/>
        <v>72.123999999999995</v>
      </c>
      <c r="AG181" s="33">
        <v>3900</v>
      </c>
      <c r="AH181" s="24"/>
      <c r="AI181" s="24"/>
      <c r="AJ181" s="24"/>
      <c r="AK181" s="24"/>
      <c r="AL181" s="24"/>
      <c r="AM181" s="24" t="s">
        <v>79</v>
      </c>
      <c r="AN181" s="34" t="s">
        <v>1104</v>
      </c>
      <c r="AO181" s="35" t="s">
        <v>973</v>
      </c>
      <c r="AP181" s="24">
        <f>107*2</f>
        <v>214</v>
      </c>
      <c r="AQ181" s="36">
        <f t="shared" si="68"/>
        <v>65.84615384615384</v>
      </c>
      <c r="AR181" s="67">
        <v>65</v>
      </c>
      <c r="AS181" s="68">
        <f t="shared" si="69"/>
        <v>-0.84615384615383959</v>
      </c>
      <c r="AT181" s="69"/>
      <c r="AU181" s="68">
        <f t="shared" si="70"/>
        <v>-0.84615384615383959</v>
      </c>
      <c r="AV181" s="70">
        <v>91.99</v>
      </c>
      <c r="AW181" s="65">
        <f t="shared" si="64"/>
        <v>5979.3499999999995</v>
      </c>
      <c r="AX181" s="24">
        <f t="shared" si="76"/>
        <v>136.97728911319393</v>
      </c>
      <c r="AY181" s="24"/>
      <c r="AZ181" s="24"/>
      <c r="BA181" s="24"/>
      <c r="BB181" s="24">
        <f t="shared" si="71"/>
        <v>0</v>
      </c>
      <c r="BC181" s="24">
        <f t="shared" si="72"/>
        <v>-2739.0739999999996</v>
      </c>
      <c r="BD181" s="24"/>
      <c r="BE181" s="24"/>
      <c r="BF181" s="24"/>
      <c r="BG181" s="24">
        <f t="shared" ref="BG181:BG182" si="82">+AD181*8.5%</f>
        <v>613.05399999999997</v>
      </c>
      <c r="BH181" s="24">
        <f t="shared" ref="BH181:BH182" si="83">+AD181*8.5%</f>
        <v>613.05399999999997</v>
      </c>
      <c r="BI181" s="24"/>
      <c r="BJ181" s="24">
        <f t="shared" si="73"/>
        <v>12.26108</v>
      </c>
      <c r="BK181" s="24">
        <f t="shared" si="74"/>
        <v>-1525.2270799999994</v>
      </c>
      <c r="BL181" s="24" t="s">
        <v>82</v>
      </c>
      <c r="BM181" s="42">
        <f t="shared" si="65"/>
        <v>3</v>
      </c>
      <c r="BN181" s="24" t="s">
        <v>139</v>
      </c>
      <c r="BO181" s="2" t="s">
        <v>84</v>
      </c>
    </row>
    <row r="182" spans="1:67" s="1" customFormat="1" ht="15" customHeight="1" x14ac:dyDescent="0.3">
      <c r="A182" s="20">
        <v>178</v>
      </c>
      <c r="B182" s="21">
        <v>46093</v>
      </c>
      <c r="C182" s="21">
        <v>46097</v>
      </c>
      <c r="D182" s="50" t="s">
        <v>884</v>
      </c>
      <c r="E182" s="23">
        <v>46097</v>
      </c>
      <c r="F182" s="23" t="s">
        <v>7</v>
      </c>
      <c r="G182" s="24" t="s">
        <v>68</v>
      </c>
      <c r="H182" s="24" t="s">
        <v>69</v>
      </c>
      <c r="I182" s="24" t="s">
        <v>70</v>
      </c>
      <c r="J182" s="25" t="s">
        <v>203</v>
      </c>
      <c r="K182" s="45" t="str">
        <f t="shared" si="66"/>
        <v>WB39B0800</v>
      </c>
      <c r="L182" s="26">
        <v>46095</v>
      </c>
      <c r="M182" s="34" t="s">
        <v>1105</v>
      </c>
      <c r="N182" s="27" t="s">
        <v>1106</v>
      </c>
      <c r="O182" s="28">
        <v>0</v>
      </c>
      <c r="P182" s="27" t="s">
        <v>1107</v>
      </c>
      <c r="Q182" s="29">
        <v>2525361862</v>
      </c>
      <c r="R182" s="30">
        <v>2110808675</v>
      </c>
      <c r="S182" s="31" t="s">
        <v>73</v>
      </c>
      <c r="T182" s="24" t="s">
        <v>74</v>
      </c>
      <c r="U182" s="24" t="s">
        <v>75</v>
      </c>
      <c r="V182" s="32" t="s">
        <v>76</v>
      </c>
      <c r="W182" s="32" t="s">
        <v>190</v>
      </c>
      <c r="X182" s="32"/>
      <c r="Y182" s="24">
        <v>584</v>
      </c>
      <c r="Z182" s="24">
        <v>6</v>
      </c>
      <c r="AA182" s="24">
        <f t="shared" si="67"/>
        <v>554.79999999999995</v>
      </c>
      <c r="AB182" s="24">
        <f t="shared" si="60"/>
        <v>3504</v>
      </c>
      <c r="AC182" s="24">
        <f t="shared" si="61"/>
        <v>3328.7999999999997</v>
      </c>
      <c r="AD182" s="24">
        <f t="shared" si="62"/>
        <v>3328.7999999999997</v>
      </c>
      <c r="AE182" s="24">
        <f t="shared" si="63"/>
        <v>175.20000000000027</v>
      </c>
      <c r="AF182" s="24">
        <f t="shared" si="80"/>
        <v>33.287999999999997</v>
      </c>
      <c r="AG182" s="31"/>
      <c r="AH182" s="24"/>
      <c r="AI182" s="24"/>
      <c r="AJ182" s="24"/>
      <c r="AK182" s="24"/>
      <c r="AL182" s="24"/>
      <c r="AM182" s="24">
        <v>0</v>
      </c>
      <c r="AN182" s="34" t="s">
        <v>213</v>
      </c>
      <c r="AO182" s="35"/>
      <c r="AP182" s="24"/>
      <c r="AQ182" s="36">
        <f t="shared" si="68"/>
        <v>0</v>
      </c>
      <c r="AR182" s="16">
        <v>0</v>
      </c>
      <c r="AS182" s="47">
        <f t="shared" si="69"/>
        <v>0</v>
      </c>
      <c r="AT182" s="31"/>
      <c r="AU182" s="47">
        <f t="shared" si="70"/>
        <v>0</v>
      </c>
      <c r="AV182" s="48">
        <v>91.99</v>
      </c>
      <c r="AW182" s="24">
        <f t="shared" si="64"/>
        <v>0</v>
      </c>
      <c r="AX182" s="24">
        <f t="shared" si="76"/>
        <v>0</v>
      </c>
      <c r="AY182" s="24"/>
      <c r="AZ182" s="24"/>
      <c r="BA182" s="24"/>
      <c r="BB182" s="24">
        <f t="shared" si="71"/>
        <v>0</v>
      </c>
      <c r="BC182" s="24">
        <f t="shared" si="72"/>
        <v>3295.5119999999997</v>
      </c>
      <c r="BD182" s="24"/>
      <c r="BE182" s="24"/>
      <c r="BF182" s="24"/>
      <c r="BG182" s="24">
        <f t="shared" si="82"/>
        <v>282.94799999999998</v>
      </c>
      <c r="BH182" s="24">
        <f t="shared" si="83"/>
        <v>282.94799999999998</v>
      </c>
      <c r="BI182" s="24"/>
      <c r="BJ182" s="24">
        <f t="shared" si="73"/>
        <v>5.6589599999999995</v>
      </c>
      <c r="BK182" s="24">
        <f t="shared" si="74"/>
        <v>3855.7490399999992</v>
      </c>
      <c r="BL182" s="24" t="s">
        <v>82</v>
      </c>
      <c r="BM182" s="42">
        <f t="shared" si="65"/>
        <v>3</v>
      </c>
      <c r="BN182" s="24" t="s">
        <v>139</v>
      </c>
      <c r="BO182" s="2" t="s">
        <v>84</v>
      </c>
    </row>
    <row r="183" spans="1:67" s="1" customFormat="1" ht="15" customHeight="1" x14ac:dyDescent="0.3">
      <c r="A183" s="20">
        <v>179</v>
      </c>
      <c r="B183" s="21">
        <v>46093</v>
      </c>
      <c r="C183" s="71">
        <v>46104</v>
      </c>
      <c r="D183" s="52" t="s">
        <v>1108</v>
      </c>
      <c r="E183" s="23">
        <v>46104</v>
      </c>
      <c r="F183" s="23" t="s">
        <v>7</v>
      </c>
      <c r="G183" s="24" t="s">
        <v>68</v>
      </c>
      <c r="H183" s="24" t="s">
        <v>69</v>
      </c>
      <c r="I183" s="24" t="s">
        <v>389</v>
      </c>
      <c r="J183" s="25" t="s">
        <v>390</v>
      </c>
      <c r="K183" s="45" t="str">
        <f t="shared" si="66"/>
        <v>WB39G6846</v>
      </c>
      <c r="L183" s="26">
        <v>46094</v>
      </c>
      <c r="M183" s="34" t="s">
        <v>1109</v>
      </c>
      <c r="N183" s="27" t="s">
        <v>1110</v>
      </c>
      <c r="O183" s="28">
        <v>0</v>
      </c>
      <c r="P183" s="27" t="s">
        <v>1111</v>
      </c>
      <c r="Q183" s="29">
        <v>2590197538</v>
      </c>
      <c r="R183" s="30">
        <v>2160375625</v>
      </c>
      <c r="S183" s="31" t="s">
        <v>73</v>
      </c>
      <c r="T183" s="24" t="s">
        <v>91</v>
      </c>
      <c r="U183" s="24" t="s">
        <v>347</v>
      </c>
      <c r="V183" s="32" t="s">
        <v>1112</v>
      </c>
      <c r="W183" s="32" t="s">
        <v>349</v>
      </c>
      <c r="X183" s="32"/>
      <c r="Y183" s="24">
        <v>734</v>
      </c>
      <c r="Z183" s="24">
        <v>25</v>
      </c>
      <c r="AA183" s="24">
        <f t="shared" si="67"/>
        <v>697.3</v>
      </c>
      <c r="AB183" s="24">
        <f t="shared" si="60"/>
        <v>18350</v>
      </c>
      <c r="AC183" s="24">
        <f t="shared" si="61"/>
        <v>17432.5</v>
      </c>
      <c r="AD183" s="24">
        <f t="shared" si="62"/>
        <v>17432.5</v>
      </c>
      <c r="AE183" s="24">
        <f t="shared" si="63"/>
        <v>917.5</v>
      </c>
      <c r="AF183" s="24">
        <v>0</v>
      </c>
      <c r="AG183" s="33">
        <v>4300</v>
      </c>
      <c r="AH183" s="24">
        <v>3300</v>
      </c>
      <c r="AI183" s="24"/>
      <c r="AJ183" s="24"/>
      <c r="AK183" s="24"/>
      <c r="AL183" s="24"/>
      <c r="AM183" s="24" t="s">
        <v>79</v>
      </c>
      <c r="AN183" s="34" t="s">
        <v>1113</v>
      </c>
      <c r="AO183" s="35" t="s">
        <v>973</v>
      </c>
      <c r="AP183" s="24">
        <f>138*2</f>
        <v>276</v>
      </c>
      <c r="AQ183" s="36">
        <f t="shared" si="68"/>
        <v>84.92307692307692</v>
      </c>
      <c r="AR183" s="67">
        <v>90</v>
      </c>
      <c r="AS183" s="68">
        <f t="shared" si="69"/>
        <v>5.0769230769230802</v>
      </c>
      <c r="AT183" s="69"/>
      <c r="AU183" s="68">
        <f t="shared" si="70"/>
        <v>5.0769230769230802</v>
      </c>
      <c r="AV183" s="70">
        <v>91.99</v>
      </c>
      <c r="AW183" s="65">
        <f t="shared" si="64"/>
        <v>8279.1</v>
      </c>
      <c r="AX183" s="24">
        <f t="shared" si="76"/>
        <v>72.158898608920126</v>
      </c>
      <c r="AY183" s="24"/>
      <c r="AZ183" s="24"/>
      <c r="BA183" s="24"/>
      <c r="BB183" s="24">
        <f t="shared" si="71"/>
        <v>0</v>
      </c>
      <c r="BC183" s="24">
        <f t="shared" si="72"/>
        <v>1553.3999999999996</v>
      </c>
      <c r="BD183" s="24"/>
      <c r="BE183" s="24"/>
      <c r="BF183" s="24"/>
      <c r="BG183" s="24">
        <v>0</v>
      </c>
      <c r="BH183" s="24"/>
      <c r="BI183" s="24"/>
      <c r="BJ183" s="24">
        <f t="shared" si="73"/>
        <v>0</v>
      </c>
      <c r="BK183" s="24">
        <f t="shared" si="74"/>
        <v>1553.3999999999996</v>
      </c>
      <c r="BL183" s="24" t="s">
        <v>116</v>
      </c>
      <c r="BM183" s="42">
        <f t="shared" si="65"/>
        <v>2</v>
      </c>
      <c r="BN183" s="24" t="s">
        <v>83</v>
      </c>
      <c r="BO183" s="2" t="s">
        <v>148</v>
      </c>
    </row>
    <row r="184" spans="1:67" s="1" customFormat="1" ht="15" customHeight="1" x14ac:dyDescent="0.3">
      <c r="A184" s="20">
        <v>180</v>
      </c>
      <c r="B184" s="21">
        <v>46093</v>
      </c>
      <c r="C184" s="21">
        <v>46097</v>
      </c>
      <c r="D184" s="50" t="s">
        <v>380</v>
      </c>
      <c r="E184" s="23">
        <v>46097</v>
      </c>
      <c r="F184" s="23" t="s">
        <v>7</v>
      </c>
      <c r="G184" s="24" t="s">
        <v>68</v>
      </c>
      <c r="H184" s="24" t="s">
        <v>69</v>
      </c>
      <c r="I184" s="24" t="s">
        <v>112</v>
      </c>
      <c r="J184" s="25" t="s">
        <v>113</v>
      </c>
      <c r="K184" s="45" t="str">
        <f t="shared" si="66"/>
        <v>WB39A5062</v>
      </c>
      <c r="L184" s="26">
        <v>46094</v>
      </c>
      <c r="M184" s="34" t="s">
        <v>1114</v>
      </c>
      <c r="N184" s="27" t="s">
        <v>1115</v>
      </c>
      <c r="O184" s="28">
        <v>0</v>
      </c>
      <c r="P184" s="27" t="s">
        <v>1116</v>
      </c>
      <c r="Q184" s="29">
        <v>2590197619</v>
      </c>
      <c r="R184" s="30">
        <v>2160375679</v>
      </c>
      <c r="S184" s="31" t="s">
        <v>73</v>
      </c>
      <c r="T184" s="24" t="s">
        <v>91</v>
      </c>
      <c r="U184" s="24" t="s">
        <v>347</v>
      </c>
      <c r="V184" s="32" t="s">
        <v>1112</v>
      </c>
      <c r="W184" s="32" t="s">
        <v>349</v>
      </c>
      <c r="X184" s="32"/>
      <c r="Y184" s="24">
        <v>734</v>
      </c>
      <c r="Z184" s="24">
        <v>25</v>
      </c>
      <c r="AA184" s="24">
        <f t="shared" si="67"/>
        <v>697.3</v>
      </c>
      <c r="AB184" s="24">
        <f t="shared" si="60"/>
        <v>18350</v>
      </c>
      <c r="AC184" s="24">
        <f t="shared" si="61"/>
        <v>17432.5</v>
      </c>
      <c r="AD184" s="24">
        <f t="shared" si="62"/>
        <v>17432.5</v>
      </c>
      <c r="AE184" s="24">
        <f t="shared" si="63"/>
        <v>917.5</v>
      </c>
      <c r="AF184" s="24">
        <v>0</v>
      </c>
      <c r="AG184" s="33">
        <v>4300</v>
      </c>
      <c r="AH184" s="24"/>
      <c r="AI184" s="24"/>
      <c r="AJ184" s="24"/>
      <c r="AK184" s="24"/>
      <c r="AL184" s="24"/>
      <c r="AM184" s="24" t="s">
        <v>79</v>
      </c>
      <c r="AN184" s="34" t="s">
        <v>1117</v>
      </c>
      <c r="AO184" s="35" t="s">
        <v>973</v>
      </c>
      <c r="AP184" s="24">
        <f>138*2</f>
        <v>276</v>
      </c>
      <c r="AQ184" s="36">
        <f t="shared" si="68"/>
        <v>84.92307692307692</v>
      </c>
      <c r="AR184" s="67">
        <v>95</v>
      </c>
      <c r="AS184" s="68">
        <f t="shared" si="69"/>
        <v>10.07692307692308</v>
      </c>
      <c r="AT184" s="69"/>
      <c r="AU184" s="68">
        <f t="shared" si="70"/>
        <v>10.07692307692308</v>
      </c>
      <c r="AV184" s="70">
        <v>91.99</v>
      </c>
      <c r="AW184" s="65">
        <f t="shared" si="64"/>
        <v>8739.0499999999993</v>
      </c>
      <c r="AX184" s="24">
        <f t="shared" si="76"/>
        <v>74.79736125053779</v>
      </c>
      <c r="AY184" s="24"/>
      <c r="AZ184" s="24"/>
      <c r="BA184" s="24"/>
      <c r="BB184" s="24">
        <f t="shared" si="71"/>
        <v>0</v>
      </c>
      <c r="BC184" s="24">
        <f t="shared" si="72"/>
        <v>4393.4500000000007</v>
      </c>
      <c r="BD184" s="24"/>
      <c r="BE184" s="24"/>
      <c r="BF184" s="24"/>
      <c r="BG184" s="24">
        <f>+AB184*9.5%</f>
        <v>1743.25</v>
      </c>
      <c r="BH184" s="24"/>
      <c r="BI184" s="24"/>
      <c r="BJ184" s="24">
        <f t="shared" si="73"/>
        <v>17.432500000000001</v>
      </c>
      <c r="BK184" s="24">
        <f t="shared" si="74"/>
        <v>6119.2675000000008</v>
      </c>
      <c r="BL184" s="24" t="s">
        <v>116</v>
      </c>
      <c r="BM184" s="42">
        <f t="shared" si="65"/>
        <v>2</v>
      </c>
      <c r="BN184" s="24" t="s">
        <v>83</v>
      </c>
      <c r="BO184" s="2" t="s">
        <v>148</v>
      </c>
    </row>
    <row r="185" spans="1:67" s="1" customFormat="1" ht="15" customHeight="1" x14ac:dyDescent="0.3">
      <c r="A185" s="20">
        <v>181</v>
      </c>
      <c r="B185" s="21">
        <v>46093</v>
      </c>
      <c r="C185" s="21">
        <v>46097</v>
      </c>
      <c r="D185" s="50" t="s">
        <v>380</v>
      </c>
      <c r="E185" s="23">
        <v>46097</v>
      </c>
      <c r="F185" s="23" t="s">
        <v>7</v>
      </c>
      <c r="G185" s="24" t="s">
        <v>68</v>
      </c>
      <c r="H185" s="24" t="s">
        <v>69</v>
      </c>
      <c r="I185" s="24" t="s">
        <v>141</v>
      </c>
      <c r="J185" s="25" t="s">
        <v>142</v>
      </c>
      <c r="K185" s="45" t="str">
        <f t="shared" si="66"/>
        <v>WB41F2315</v>
      </c>
      <c r="L185" s="26">
        <v>46094</v>
      </c>
      <c r="M185" s="34" t="s">
        <v>1118</v>
      </c>
      <c r="N185" s="27" t="s">
        <v>1119</v>
      </c>
      <c r="O185" s="28">
        <v>0</v>
      </c>
      <c r="P185" s="27" t="s">
        <v>1120</v>
      </c>
      <c r="Q185" s="29">
        <v>2590197698</v>
      </c>
      <c r="R185" s="30">
        <v>2160375762</v>
      </c>
      <c r="S185" s="31" t="s">
        <v>73</v>
      </c>
      <c r="T185" s="24" t="s">
        <v>91</v>
      </c>
      <c r="U185" s="24" t="s">
        <v>347</v>
      </c>
      <c r="V185" s="32" t="s">
        <v>348</v>
      </c>
      <c r="W185" s="32" t="s">
        <v>349</v>
      </c>
      <c r="X185" s="32"/>
      <c r="Y185" s="24">
        <v>706</v>
      </c>
      <c r="Z185" s="24">
        <v>25</v>
      </c>
      <c r="AA185" s="24">
        <f t="shared" si="67"/>
        <v>670.69999999999993</v>
      </c>
      <c r="AB185" s="24">
        <f t="shared" si="60"/>
        <v>17650</v>
      </c>
      <c r="AC185" s="24">
        <f t="shared" si="61"/>
        <v>16767.5</v>
      </c>
      <c r="AD185" s="24">
        <f t="shared" si="62"/>
        <v>16767.5</v>
      </c>
      <c r="AE185" s="24">
        <f t="shared" si="63"/>
        <v>882.5</v>
      </c>
      <c r="AF185" s="24">
        <v>0</v>
      </c>
      <c r="AG185" s="33">
        <v>5000</v>
      </c>
      <c r="AH185" s="24"/>
      <c r="AI185" s="24"/>
      <c r="AJ185" s="24"/>
      <c r="AK185" s="24"/>
      <c r="AL185" s="24"/>
      <c r="AM185" s="24" t="s">
        <v>79</v>
      </c>
      <c r="AN185" s="34" t="s">
        <v>1121</v>
      </c>
      <c r="AO185" s="35" t="s">
        <v>973</v>
      </c>
      <c r="AP185" s="24">
        <f>129*2</f>
        <v>258</v>
      </c>
      <c r="AQ185" s="36">
        <f t="shared" si="68"/>
        <v>79.384615384615387</v>
      </c>
      <c r="AR185" s="67">
        <v>80</v>
      </c>
      <c r="AS185" s="68">
        <f t="shared" si="69"/>
        <v>0.6153846153846132</v>
      </c>
      <c r="AT185" s="69"/>
      <c r="AU185" s="68">
        <f t="shared" si="70"/>
        <v>0.6153846153846132</v>
      </c>
      <c r="AV185" s="70">
        <v>91.99</v>
      </c>
      <c r="AW185" s="65">
        <f t="shared" si="64"/>
        <v>7359.2</v>
      </c>
      <c r="AX185" s="24">
        <f t="shared" si="76"/>
        <v>73.70925898315194</v>
      </c>
      <c r="AY185" s="24"/>
      <c r="AZ185" s="24"/>
      <c r="BA185" s="24"/>
      <c r="BB185" s="24">
        <f t="shared" si="71"/>
        <v>0</v>
      </c>
      <c r="BC185" s="24">
        <f t="shared" si="72"/>
        <v>4408.3</v>
      </c>
      <c r="BD185" s="24"/>
      <c r="BE185" s="24"/>
      <c r="BF185" s="24"/>
      <c r="BG185" s="24">
        <f>+AB185*9.5%</f>
        <v>1676.75</v>
      </c>
      <c r="BH185" s="24"/>
      <c r="BI185" s="24"/>
      <c r="BJ185" s="24">
        <f t="shared" si="73"/>
        <v>16.767500000000002</v>
      </c>
      <c r="BK185" s="24">
        <f t="shared" si="74"/>
        <v>6068.2825000000003</v>
      </c>
      <c r="BL185" s="24" t="s">
        <v>147</v>
      </c>
      <c r="BM185" s="42">
        <f t="shared" si="65"/>
        <v>2</v>
      </c>
      <c r="BN185" s="24" t="s">
        <v>83</v>
      </c>
      <c r="BO185" s="2" t="s">
        <v>148</v>
      </c>
    </row>
    <row r="186" spans="1:67" s="1" customFormat="1" ht="15" customHeight="1" x14ac:dyDescent="0.3">
      <c r="A186" s="20">
        <v>182</v>
      </c>
      <c r="B186" s="21">
        <v>46093</v>
      </c>
      <c r="C186" s="21">
        <v>46097</v>
      </c>
      <c r="D186" s="50" t="s">
        <v>531</v>
      </c>
      <c r="E186" s="23">
        <v>46097</v>
      </c>
      <c r="F186" s="23" t="s">
        <v>7</v>
      </c>
      <c r="G186" s="24" t="s">
        <v>68</v>
      </c>
      <c r="H186" s="24" t="s">
        <v>69</v>
      </c>
      <c r="I186" s="24" t="s">
        <v>112</v>
      </c>
      <c r="J186" s="25" t="s">
        <v>558</v>
      </c>
      <c r="K186" s="45" t="str">
        <f t="shared" si="66"/>
        <v>WB39A5858</v>
      </c>
      <c r="L186" s="26">
        <v>46094</v>
      </c>
      <c r="M186" s="34" t="s">
        <v>1122</v>
      </c>
      <c r="N186" s="27" t="s">
        <v>1123</v>
      </c>
      <c r="O186" s="28">
        <v>0</v>
      </c>
      <c r="P186" s="27" t="s">
        <v>1124</v>
      </c>
      <c r="Q186" s="29">
        <v>2525362394</v>
      </c>
      <c r="R186" s="30">
        <v>2110809102</v>
      </c>
      <c r="S186" s="31" t="s">
        <v>73</v>
      </c>
      <c r="T186" s="24" t="s">
        <v>74</v>
      </c>
      <c r="U186" s="24" t="s">
        <v>75</v>
      </c>
      <c r="V186" s="32" t="s">
        <v>1125</v>
      </c>
      <c r="W186" s="32" t="s">
        <v>1126</v>
      </c>
      <c r="X186" s="32"/>
      <c r="Y186" s="24">
        <v>839</v>
      </c>
      <c r="Z186" s="24">
        <v>19</v>
      </c>
      <c r="AA186" s="24">
        <f t="shared" si="67"/>
        <v>797.05000000000007</v>
      </c>
      <c r="AB186" s="24">
        <f t="shared" si="60"/>
        <v>15941</v>
      </c>
      <c r="AC186" s="24">
        <f t="shared" si="61"/>
        <v>15143.949999999999</v>
      </c>
      <c r="AD186" s="24">
        <f t="shared" si="62"/>
        <v>15143.95</v>
      </c>
      <c r="AE186" s="24">
        <f t="shared" si="63"/>
        <v>797.04999999999927</v>
      </c>
      <c r="AF186" s="24">
        <v>0</v>
      </c>
      <c r="AG186" s="33">
        <v>2700</v>
      </c>
      <c r="AH186" s="24"/>
      <c r="AI186" s="24">
        <v>3000</v>
      </c>
      <c r="AJ186" s="24"/>
      <c r="AK186" s="24"/>
      <c r="AL186" s="24"/>
      <c r="AM186" s="24" t="s">
        <v>79</v>
      </c>
      <c r="AN186" s="34" t="s">
        <v>1127</v>
      </c>
      <c r="AO186" s="35" t="s">
        <v>973</v>
      </c>
      <c r="AP186" s="24">
        <f>182*2</f>
        <v>364</v>
      </c>
      <c r="AQ186" s="36">
        <f t="shared" si="68"/>
        <v>112</v>
      </c>
      <c r="AR186" s="67">
        <v>95</v>
      </c>
      <c r="AS186" s="47">
        <f t="shared" si="69"/>
        <v>-17</v>
      </c>
      <c r="AT186" s="31"/>
      <c r="AU186" s="47">
        <f t="shared" si="70"/>
        <v>-17</v>
      </c>
      <c r="AV186" s="70">
        <v>91.99</v>
      </c>
      <c r="AW186" s="65">
        <f t="shared" si="64"/>
        <v>8739.0499999999993</v>
      </c>
      <c r="AX186" s="24">
        <f t="shared" si="76"/>
        <v>75.535444847612411</v>
      </c>
      <c r="AY186" s="24"/>
      <c r="AZ186" s="24"/>
      <c r="BA186" s="24"/>
      <c r="BB186" s="24">
        <f t="shared" si="71"/>
        <v>0</v>
      </c>
      <c r="BC186" s="24">
        <f t="shared" si="72"/>
        <v>704.90000000000146</v>
      </c>
      <c r="BD186" s="24">
        <v>100</v>
      </c>
      <c r="BE186" s="24">
        <v>100</v>
      </c>
      <c r="BF186" s="24"/>
      <c r="BG186" s="24">
        <f>+AB186*9.5%</f>
        <v>1514.395</v>
      </c>
      <c r="BH186" s="24">
        <f>+AB186*8.5%</f>
        <v>1354.9850000000001</v>
      </c>
      <c r="BI186" s="24"/>
      <c r="BJ186" s="24">
        <f t="shared" si="73"/>
        <v>28.693800000000003</v>
      </c>
      <c r="BK186" s="24">
        <f t="shared" si="74"/>
        <v>3745.5862000000016</v>
      </c>
      <c r="BL186" s="24" t="s">
        <v>565</v>
      </c>
      <c r="BM186" s="42">
        <f t="shared" si="65"/>
        <v>2</v>
      </c>
      <c r="BN186" s="24" t="s">
        <v>83</v>
      </c>
      <c r="BO186" s="2" t="s">
        <v>148</v>
      </c>
    </row>
    <row r="187" spans="1:67" s="1" customFormat="1" ht="15" customHeight="1" x14ac:dyDescent="0.3">
      <c r="A187" s="20">
        <v>183</v>
      </c>
      <c r="B187" s="21">
        <v>46093</v>
      </c>
      <c r="C187" s="21">
        <v>46102</v>
      </c>
      <c r="D187" s="52" t="s">
        <v>351</v>
      </c>
      <c r="E187" s="23">
        <v>46104</v>
      </c>
      <c r="F187" s="23" t="s">
        <v>7</v>
      </c>
      <c r="G187" s="24" t="s">
        <v>68</v>
      </c>
      <c r="H187" s="24" t="s">
        <v>69</v>
      </c>
      <c r="I187" s="24" t="s">
        <v>166</v>
      </c>
      <c r="J187" s="25" t="s">
        <v>924</v>
      </c>
      <c r="K187" s="45" t="str">
        <f t="shared" si="66"/>
        <v>WB41H1234</v>
      </c>
      <c r="L187" s="26">
        <v>46095</v>
      </c>
      <c r="M187" s="34" t="s">
        <v>1128</v>
      </c>
      <c r="N187" s="27" t="s">
        <v>1129</v>
      </c>
      <c r="O187" s="28">
        <v>0</v>
      </c>
      <c r="P187" s="27" t="s">
        <v>1130</v>
      </c>
      <c r="Q187" s="29">
        <v>2525362824</v>
      </c>
      <c r="R187" s="30">
        <v>2110809258</v>
      </c>
      <c r="S187" s="31" t="s">
        <v>73</v>
      </c>
      <c r="T187" s="24" t="s">
        <v>91</v>
      </c>
      <c r="U187" s="24" t="s">
        <v>75</v>
      </c>
      <c r="V187" s="32" t="s">
        <v>179</v>
      </c>
      <c r="W187" s="32" t="s">
        <v>180</v>
      </c>
      <c r="X187" s="32" t="s">
        <v>180</v>
      </c>
      <c r="Y187" s="24">
        <v>1047</v>
      </c>
      <c r="Z187" s="24">
        <v>25</v>
      </c>
      <c r="AA187" s="24">
        <f t="shared" si="67"/>
        <v>994.65000000000009</v>
      </c>
      <c r="AB187" s="24">
        <f t="shared" si="60"/>
        <v>26175</v>
      </c>
      <c r="AC187" s="24">
        <f t="shared" si="61"/>
        <v>24866.25</v>
      </c>
      <c r="AD187" s="24">
        <f t="shared" si="62"/>
        <v>24866.250000000004</v>
      </c>
      <c r="AE187" s="24">
        <f t="shared" si="63"/>
        <v>1308.7499999999964</v>
      </c>
      <c r="AF187" s="24">
        <v>0</v>
      </c>
      <c r="AG187" s="33">
        <v>3500</v>
      </c>
      <c r="AH187" s="24"/>
      <c r="AI187" s="24"/>
      <c r="AJ187" s="24"/>
      <c r="AK187" s="24"/>
      <c r="AL187" s="24"/>
      <c r="AM187" s="24" t="s">
        <v>79</v>
      </c>
      <c r="AN187" s="34" t="s">
        <v>1131</v>
      </c>
      <c r="AO187" s="35" t="s">
        <v>973</v>
      </c>
      <c r="AP187" s="24">
        <f>250*2</f>
        <v>500</v>
      </c>
      <c r="AQ187" s="36">
        <f t="shared" si="68"/>
        <v>153.84615384615384</v>
      </c>
      <c r="AR187" s="67">
        <v>165</v>
      </c>
      <c r="AS187" s="68">
        <f t="shared" si="69"/>
        <v>11.15384615384616</v>
      </c>
      <c r="AT187" s="69"/>
      <c r="AU187" s="68">
        <f t="shared" si="70"/>
        <v>11.15384615384616</v>
      </c>
      <c r="AV187" s="70">
        <v>91.99</v>
      </c>
      <c r="AW187" s="65">
        <f t="shared" si="64"/>
        <v>15178.349999999999</v>
      </c>
      <c r="AX187" s="24">
        <f t="shared" si="76"/>
        <v>75.115266676720438</v>
      </c>
      <c r="AY187" s="24"/>
      <c r="AZ187" s="24"/>
      <c r="BA187" s="24"/>
      <c r="BB187" s="24">
        <f t="shared" si="71"/>
        <v>0</v>
      </c>
      <c r="BC187" s="24">
        <f t="shared" si="72"/>
        <v>6187.9000000000051</v>
      </c>
      <c r="BD187" s="24"/>
      <c r="BE187" s="24"/>
      <c r="BF187" s="24"/>
      <c r="BG187" s="24">
        <f>+AB187*9.5%</f>
        <v>2486.625</v>
      </c>
      <c r="BH187" s="24"/>
      <c r="BI187" s="24"/>
      <c r="BJ187" s="24">
        <f t="shared" si="73"/>
        <v>24.866250000000001</v>
      </c>
      <c r="BK187" s="24">
        <f t="shared" si="74"/>
        <v>8649.658750000006</v>
      </c>
      <c r="BL187" s="24" t="s">
        <v>687</v>
      </c>
      <c r="BM187" s="42">
        <f t="shared" si="65"/>
        <v>3</v>
      </c>
      <c r="BN187" s="24" t="s">
        <v>139</v>
      </c>
      <c r="BO187" s="2" t="s">
        <v>84</v>
      </c>
    </row>
    <row r="188" spans="1:67" s="1" customFormat="1" ht="15" customHeight="1" x14ac:dyDescent="0.3">
      <c r="A188" s="20">
        <v>184</v>
      </c>
      <c r="B188" s="21">
        <v>46093</v>
      </c>
      <c r="C188" s="21">
        <v>46102</v>
      </c>
      <c r="D188" s="52" t="s">
        <v>1132</v>
      </c>
      <c r="E188" s="23">
        <v>46104</v>
      </c>
      <c r="F188" s="23" t="s">
        <v>7</v>
      </c>
      <c r="G188" s="24" t="s">
        <v>68</v>
      </c>
      <c r="H188" s="24" t="s">
        <v>69</v>
      </c>
      <c r="I188" s="24" t="s">
        <v>131</v>
      </c>
      <c r="J188" s="25" t="s">
        <v>224</v>
      </c>
      <c r="K188" s="45" t="str">
        <f t="shared" si="66"/>
        <v>WB29A9266</v>
      </c>
      <c r="L188" s="26">
        <v>46095</v>
      </c>
      <c r="M188" s="57" t="s">
        <v>1133</v>
      </c>
      <c r="N188" s="57" t="s">
        <v>1134</v>
      </c>
      <c r="O188" s="28">
        <v>0</v>
      </c>
      <c r="P188" s="27" t="s">
        <v>1135</v>
      </c>
      <c r="Q188" s="29">
        <v>2590197518</v>
      </c>
      <c r="R188" s="30">
        <v>2160375535</v>
      </c>
      <c r="S188" s="31" t="s">
        <v>73</v>
      </c>
      <c r="T188" s="24" t="s">
        <v>91</v>
      </c>
      <c r="U188" s="24" t="s">
        <v>347</v>
      </c>
      <c r="V188" s="32" t="s">
        <v>868</v>
      </c>
      <c r="W188" s="32" t="s">
        <v>349</v>
      </c>
      <c r="X188" s="32" t="s">
        <v>349</v>
      </c>
      <c r="Y188" s="24">
        <v>780</v>
      </c>
      <c r="Z188" s="24">
        <v>25</v>
      </c>
      <c r="AA188" s="24">
        <f t="shared" si="67"/>
        <v>741</v>
      </c>
      <c r="AB188" s="24">
        <f t="shared" si="60"/>
        <v>19500</v>
      </c>
      <c r="AC188" s="24">
        <f t="shared" si="61"/>
        <v>18525</v>
      </c>
      <c r="AD188" s="24">
        <f t="shared" si="62"/>
        <v>18525</v>
      </c>
      <c r="AE188" s="24">
        <f t="shared" si="63"/>
        <v>975</v>
      </c>
      <c r="AF188" s="24">
        <v>0</v>
      </c>
      <c r="AG188" s="33">
        <v>4200</v>
      </c>
      <c r="AH188" s="24"/>
      <c r="AI188" s="24"/>
      <c r="AJ188" s="24"/>
      <c r="AK188" s="24"/>
      <c r="AL188" s="24"/>
      <c r="AM188" s="24" t="s">
        <v>79</v>
      </c>
      <c r="AN188" s="34" t="s">
        <v>1136</v>
      </c>
      <c r="AO188" s="35" t="s">
        <v>973</v>
      </c>
      <c r="AP188" s="24">
        <f>200*2</f>
        <v>400</v>
      </c>
      <c r="AQ188" s="36">
        <f t="shared" si="68"/>
        <v>123.07692307692308</v>
      </c>
      <c r="AR188" s="67">
        <v>140</v>
      </c>
      <c r="AS188" s="68">
        <f t="shared" si="69"/>
        <v>16.92307692307692</v>
      </c>
      <c r="AT188" s="69"/>
      <c r="AU188" s="68">
        <f t="shared" si="70"/>
        <v>16.92307692307692</v>
      </c>
      <c r="AV188" s="70">
        <v>91.99</v>
      </c>
      <c r="AW188" s="65">
        <f t="shared" si="64"/>
        <v>12878.599999999999</v>
      </c>
      <c r="AX188" s="24">
        <f t="shared" si="76"/>
        <v>92.192172739541149</v>
      </c>
      <c r="AY188" s="24"/>
      <c r="AZ188" s="24"/>
      <c r="BA188" s="24"/>
      <c r="BB188" s="24">
        <f t="shared" si="71"/>
        <v>0</v>
      </c>
      <c r="BC188" s="24">
        <f t="shared" si="72"/>
        <v>1446.4000000000015</v>
      </c>
      <c r="BD188" s="24">
        <v>135</v>
      </c>
      <c r="BE188" s="24">
        <v>135</v>
      </c>
      <c r="BF188" s="24"/>
      <c r="BG188" s="24">
        <f>+AD188*9.5%</f>
        <v>1759.875</v>
      </c>
      <c r="BH188" s="24"/>
      <c r="BI188" s="24"/>
      <c r="BJ188" s="24">
        <f t="shared" si="73"/>
        <v>17.598749999999999</v>
      </c>
      <c r="BK188" s="24">
        <f t="shared" si="74"/>
        <v>3458.6762500000013</v>
      </c>
      <c r="BL188" s="24" t="s">
        <v>232</v>
      </c>
      <c r="BM188" s="42">
        <f t="shared" si="65"/>
        <v>3</v>
      </c>
      <c r="BN188" s="24" t="s">
        <v>139</v>
      </c>
      <c r="BO188" s="2" t="s">
        <v>148</v>
      </c>
    </row>
    <row r="189" spans="1:67" s="1" customFormat="1" ht="15" customHeight="1" x14ac:dyDescent="0.3">
      <c r="A189" s="20">
        <v>185</v>
      </c>
      <c r="B189" s="21">
        <v>46094</v>
      </c>
      <c r="C189" s="21">
        <v>46102</v>
      </c>
      <c r="D189" s="52" t="s">
        <v>841</v>
      </c>
      <c r="E189" s="23">
        <v>46104</v>
      </c>
      <c r="F189" s="23" t="s">
        <v>7</v>
      </c>
      <c r="G189" s="24" t="s">
        <v>68</v>
      </c>
      <c r="H189" s="24" t="s">
        <v>69</v>
      </c>
      <c r="I189" s="24" t="s">
        <v>236</v>
      </c>
      <c r="J189" s="25" t="s">
        <v>366</v>
      </c>
      <c r="K189" s="45" t="str">
        <f t="shared" si="66"/>
        <v>WB41J5775</v>
      </c>
      <c r="L189" s="26">
        <v>46096</v>
      </c>
      <c r="M189" s="34" t="s">
        <v>1137</v>
      </c>
      <c r="N189" s="27" t="s">
        <v>1138</v>
      </c>
      <c r="O189" s="28">
        <v>0</v>
      </c>
      <c r="P189" s="27" t="s">
        <v>1139</v>
      </c>
      <c r="Q189" s="29">
        <v>2525363174</v>
      </c>
      <c r="R189" s="30">
        <v>2110809657</v>
      </c>
      <c r="S189" s="31" t="s">
        <v>73</v>
      </c>
      <c r="T189" s="24" t="s">
        <v>91</v>
      </c>
      <c r="U189" s="24" t="s">
        <v>75</v>
      </c>
      <c r="V189" s="32" t="s">
        <v>268</v>
      </c>
      <c r="W189" s="32" t="s">
        <v>1090</v>
      </c>
      <c r="X189" s="32" t="s">
        <v>1090</v>
      </c>
      <c r="Y189" s="24">
        <v>1319</v>
      </c>
      <c r="Z189" s="24">
        <v>25</v>
      </c>
      <c r="AA189" s="24">
        <f t="shared" si="67"/>
        <v>1253.05</v>
      </c>
      <c r="AB189" s="24">
        <f t="shared" si="60"/>
        <v>32975</v>
      </c>
      <c r="AC189" s="24">
        <f t="shared" si="61"/>
        <v>31326.25</v>
      </c>
      <c r="AD189" s="24">
        <f t="shared" si="62"/>
        <v>31326.25</v>
      </c>
      <c r="AE189" s="24">
        <f t="shared" si="63"/>
        <v>1648.75</v>
      </c>
      <c r="AF189" s="24">
        <v>0</v>
      </c>
      <c r="AG189" s="33">
        <v>4200</v>
      </c>
      <c r="AH189" s="24"/>
      <c r="AI189" s="24"/>
      <c r="AJ189" s="24"/>
      <c r="AK189" s="24">
        <v>115</v>
      </c>
      <c r="AL189" s="24"/>
      <c r="AM189" s="24" t="s">
        <v>79</v>
      </c>
      <c r="AN189" s="34" t="s">
        <v>1140</v>
      </c>
      <c r="AO189" s="35" t="s">
        <v>973</v>
      </c>
      <c r="AP189" s="24">
        <f>332*2</f>
        <v>664</v>
      </c>
      <c r="AQ189" s="36">
        <f t="shared" si="68"/>
        <v>204.30769230769232</v>
      </c>
      <c r="AR189" s="67">
        <v>202</v>
      </c>
      <c r="AS189" s="68">
        <f t="shared" si="69"/>
        <v>-2.3076923076923208</v>
      </c>
      <c r="AT189" s="69"/>
      <c r="AU189" s="68">
        <f t="shared" si="70"/>
        <v>-2.3076923076923208</v>
      </c>
      <c r="AV189" s="70">
        <v>91.99</v>
      </c>
      <c r="AW189" s="65">
        <f t="shared" si="64"/>
        <v>18581.98</v>
      </c>
      <c r="AX189" s="24">
        <f t="shared" si="76"/>
        <v>72.724887275048872</v>
      </c>
      <c r="AY189" s="24"/>
      <c r="AZ189" s="24"/>
      <c r="BA189" s="24"/>
      <c r="BB189" s="24">
        <f t="shared" si="71"/>
        <v>0</v>
      </c>
      <c r="BC189" s="24">
        <f t="shared" si="72"/>
        <v>8429.27</v>
      </c>
      <c r="BD189" s="24">
        <v>135</v>
      </c>
      <c r="BE189" s="24">
        <v>135</v>
      </c>
      <c r="BF189" s="24"/>
      <c r="BG189" s="24">
        <f>+AB189*9.5%</f>
        <v>3132.625</v>
      </c>
      <c r="BH189" s="24"/>
      <c r="BI189" s="24"/>
      <c r="BJ189" s="24">
        <f t="shared" si="73"/>
        <v>31.326250000000002</v>
      </c>
      <c r="BK189" s="24">
        <f t="shared" si="74"/>
        <v>11800.56875</v>
      </c>
      <c r="BL189" s="24" t="s">
        <v>245</v>
      </c>
      <c r="BM189" s="42">
        <f t="shared" si="65"/>
        <v>3</v>
      </c>
      <c r="BN189" s="24" t="s">
        <v>139</v>
      </c>
      <c r="BO189" s="2" t="s">
        <v>84</v>
      </c>
    </row>
    <row r="190" spans="1:67" s="1" customFormat="1" ht="15" customHeight="1" x14ac:dyDescent="0.3">
      <c r="A190" s="20">
        <v>186</v>
      </c>
      <c r="B190" s="21">
        <v>46094</v>
      </c>
      <c r="C190" s="21">
        <v>46102</v>
      </c>
      <c r="D190" s="52" t="s">
        <v>1141</v>
      </c>
      <c r="E190" s="23">
        <v>46104</v>
      </c>
      <c r="F190" s="23" t="s">
        <v>7</v>
      </c>
      <c r="G190" s="24" t="s">
        <v>87</v>
      </c>
      <c r="H190" s="24" t="s">
        <v>69</v>
      </c>
      <c r="I190" s="24" t="s">
        <v>236</v>
      </c>
      <c r="J190" s="25" t="s">
        <v>681</v>
      </c>
      <c r="K190" s="45" t="str">
        <f t="shared" si="66"/>
        <v>WB41J9696</v>
      </c>
      <c r="L190" s="26">
        <v>46095</v>
      </c>
      <c r="M190" s="34" t="s">
        <v>1142</v>
      </c>
      <c r="N190" s="27" t="s">
        <v>1143</v>
      </c>
      <c r="O190" s="28">
        <v>0</v>
      </c>
      <c r="P190" s="27"/>
      <c r="Q190" s="29">
        <v>2590198033</v>
      </c>
      <c r="R190" s="30">
        <v>2160375457</v>
      </c>
      <c r="S190" s="31" t="s">
        <v>73</v>
      </c>
      <c r="T190" s="24" t="s">
        <v>241</v>
      </c>
      <c r="U190" s="24" t="s">
        <v>347</v>
      </c>
      <c r="V190" s="32" t="s">
        <v>642</v>
      </c>
      <c r="W190" s="32" t="s">
        <v>1144</v>
      </c>
      <c r="X190" s="32" t="s">
        <v>1144</v>
      </c>
      <c r="Y190" s="24">
        <v>635</v>
      </c>
      <c r="Z190" s="24">
        <v>30</v>
      </c>
      <c r="AA190" s="24">
        <f t="shared" si="67"/>
        <v>603.25</v>
      </c>
      <c r="AB190" s="24">
        <f t="shared" si="60"/>
        <v>19050</v>
      </c>
      <c r="AC190" s="24">
        <f t="shared" si="61"/>
        <v>18097.5</v>
      </c>
      <c r="AD190" s="24">
        <f t="shared" si="62"/>
        <v>18097.5</v>
      </c>
      <c r="AE190" s="24">
        <f t="shared" si="63"/>
        <v>952.5</v>
      </c>
      <c r="AF190" s="24">
        <v>0</v>
      </c>
      <c r="AG190" s="33">
        <v>4000</v>
      </c>
      <c r="AH190" s="24"/>
      <c r="AI190" s="24"/>
      <c r="AJ190" s="24"/>
      <c r="AK190" s="24">
        <v>115</v>
      </c>
      <c r="AL190" s="24"/>
      <c r="AM190" s="24" t="s">
        <v>79</v>
      </c>
      <c r="AN190" s="34" t="s">
        <v>1145</v>
      </c>
      <c r="AO190" s="35" t="s">
        <v>973</v>
      </c>
      <c r="AP190" s="24">
        <f>127*2</f>
        <v>254</v>
      </c>
      <c r="AQ190" s="36">
        <f t="shared" si="68"/>
        <v>78.15384615384616</v>
      </c>
      <c r="AR190" s="67">
        <v>85</v>
      </c>
      <c r="AS190" s="68">
        <f t="shared" si="69"/>
        <v>6.8461538461538396</v>
      </c>
      <c r="AT190" s="69"/>
      <c r="AU190" s="68">
        <f t="shared" si="70"/>
        <v>6.8461538461538396</v>
      </c>
      <c r="AV190" s="70">
        <v>91.99</v>
      </c>
      <c r="AW190" s="65">
        <f t="shared" si="64"/>
        <v>7819.15</v>
      </c>
      <c r="AX190" s="24">
        <f t="shared" si="76"/>
        <v>65.308191739190491</v>
      </c>
      <c r="AY190" s="24"/>
      <c r="AZ190" s="24"/>
      <c r="BA190" s="24"/>
      <c r="BB190" s="24">
        <f t="shared" si="71"/>
        <v>0</v>
      </c>
      <c r="BC190" s="24">
        <f t="shared" si="72"/>
        <v>6163.35</v>
      </c>
      <c r="BD190" s="24"/>
      <c r="BE190" s="24"/>
      <c r="BF190" s="24"/>
      <c r="BG190" s="24">
        <f>+AB190*9.5%</f>
        <v>1809.75</v>
      </c>
      <c r="BH190" s="24"/>
      <c r="BI190" s="24"/>
      <c r="BJ190" s="24">
        <f t="shared" si="73"/>
        <v>18.0975</v>
      </c>
      <c r="BK190" s="24">
        <f t="shared" si="74"/>
        <v>7955.0025000000005</v>
      </c>
      <c r="BL190" s="24" t="s">
        <v>687</v>
      </c>
      <c r="BM190" s="42">
        <f t="shared" si="65"/>
        <v>2</v>
      </c>
      <c r="BN190" s="24" t="s">
        <v>83</v>
      </c>
      <c r="BO190" s="2" t="s">
        <v>148</v>
      </c>
    </row>
    <row r="191" spans="1:67" s="1" customFormat="1" ht="15" customHeight="1" x14ac:dyDescent="0.3">
      <c r="A191" s="20">
        <v>187</v>
      </c>
      <c r="B191" s="21">
        <v>46094</v>
      </c>
      <c r="C191" s="21">
        <v>46118</v>
      </c>
      <c r="D191" s="50" t="s">
        <v>1146</v>
      </c>
      <c r="E191" s="23">
        <v>46120</v>
      </c>
      <c r="F191" s="23" t="s">
        <v>7</v>
      </c>
      <c r="G191" s="24" t="s">
        <v>68</v>
      </c>
      <c r="H191" s="24" t="s">
        <v>69</v>
      </c>
      <c r="I191" s="24" t="s">
        <v>70</v>
      </c>
      <c r="J191" s="25" t="s">
        <v>287</v>
      </c>
      <c r="K191" s="45" t="str">
        <f t="shared" si="66"/>
        <v>WB39B1080</v>
      </c>
      <c r="L191" s="26">
        <v>46095</v>
      </c>
      <c r="M191" s="34" t="s">
        <v>1147</v>
      </c>
      <c r="N191" s="27" t="s">
        <v>1148</v>
      </c>
      <c r="O191" s="28">
        <v>0</v>
      </c>
      <c r="P191" s="27" t="s">
        <v>1149</v>
      </c>
      <c r="Q191" s="29">
        <v>2590198046</v>
      </c>
      <c r="R191" s="30">
        <v>2160376037</v>
      </c>
      <c r="S191" s="31" t="s">
        <v>73</v>
      </c>
      <c r="T191" s="24" t="s">
        <v>91</v>
      </c>
      <c r="U191" s="24" t="s">
        <v>347</v>
      </c>
      <c r="V191" s="32" t="s">
        <v>616</v>
      </c>
      <c r="W191" s="32" t="s">
        <v>349</v>
      </c>
      <c r="X191" s="32"/>
      <c r="Y191" s="24">
        <v>934</v>
      </c>
      <c r="Z191" s="24">
        <v>25</v>
      </c>
      <c r="AA191" s="24">
        <f t="shared" si="67"/>
        <v>887.3</v>
      </c>
      <c r="AB191" s="61">
        <f t="shared" si="60"/>
        <v>23350</v>
      </c>
      <c r="AC191" s="24">
        <f t="shared" si="61"/>
        <v>22182.5</v>
      </c>
      <c r="AD191" s="24">
        <f t="shared" si="62"/>
        <v>22182.5</v>
      </c>
      <c r="AE191" s="24">
        <f t="shared" si="63"/>
        <v>1167.5</v>
      </c>
      <c r="AF191" s="24">
        <f t="shared" si="80"/>
        <v>221.82500000000002</v>
      </c>
      <c r="AG191" s="33">
        <v>3700</v>
      </c>
      <c r="AH191" s="24"/>
      <c r="AI191" s="24">
        <v>8485</v>
      </c>
      <c r="AJ191" s="24"/>
      <c r="AK191" s="24"/>
      <c r="AL191" s="24"/>
      <c r="AM191" s="24" t="s">
        <v>79</v>
      </c>
      <c r="AN191" s="34" t="s">
        <v>1150</v>
      </c>
      <c r="AO191" s="35" t="s">
        <v>973</v>
      </c>
      <c r="AP191" s="24">
        <f>225*2</f>
        <v>450</v>
      </c>
      <c r="AQ191" s="36">
        <f t="shared" si="68"/>
        <v>138.46153846153845</v>
      </c>
      <c r="AR191" s="67">
        <v>160</v>
      </c>
      <c r="AS191" s="68">
        <f t="shared" si="69"/>
        <v>21.538461538461547</v>
      </c>
      <c r="AT191" s="69"/>
      <c r="AU191" s="68">
        <f t="shared" si="70"/>
        <v>21.538461538461547</v>
      </c>
      <c r="AV191" s="70">
        <v>91.99</v>
      </c>
      <c r="AW191" s="65">
        <f t="shared" si="64"/>
        <v>14718.4</v>
      </c>
      <c r="AX191" s="24">
        <f t="shared" si="76"/>
        <v>83.031218302716113</v>
      </c>
      <c r="AY191" s="24"/>
      <c r="AZ191" s="24"/>
      <c r="BA191" s="24"/>
      <c r="BB191" s="24">
        <f t="shared" si="71"/>
        <v>0</v>
      </c>
      <c r="BC191" s="24">
        <f t="shared" si="72"/>
        <v>-4942.7250000000004</v>
      </c>
      <c r="BD191" s="24"/>
      <c r="BE191" s="24"/>
      <c r="BF191" s="24"/>
      <c r="BG191" s="24">
        <f>+AD191*9.5%</f>
        <v>2107.3375000000001</v>
      </c>
      <c r="BH191" s="24"/>
      <c r="BI191" s="24"/>
      <c r="BJ191" s="24">
        <f t="shared" si="73"/>
        <v>21.073375000000002</v>
      </c>
      <c r="BK191" s="24">
        <f t="shared" si="74"/>
        <v>-2856.4608750000002</v>
      </c>
      <c r="BL191" s="24" t="s">
        <v>292</v>
      </c>
      <c r="BM191" s="42">
        <f t="shared" si="65"/>
        <v>2</v>
      </c>
      <c r="BN191" s="24" t="s">
        <v>83</v>
      </c>
      <c r="BO191" s="2" t="s">
        <v>500</v>
      </c>
    </row>
    <row r="192" spans="1:67" s="1" customFormat="1" ht="15" customHeight="1" x14ac:dyDescent="0.3">
      <c r="A192" s="20">
        <v>188</v>
      </c>
      <c r="B192" s="21">
        <v>46094</v>
      </c>
      <c r="C192" s="21">
        <v>46097</v>
      </c>
      <c r="D192" s="50" t="s">
        <v>380</v>
      </c>
      <c r="E192" s="23">
        <v>46097</v>
      </c>
      <c r="F192" s="23" t="s">
        <v>7</v>
      </c>
      <c r="G192" s="24" t="s">
        <v>68</v>
      </c>
      <c r="H192" s="24" t="s">
        <v>69</v>
      </c>
      <c r="I192" s="24" t="s">
        <v>88</v>
      </c>
      <c r="J192" s="25" t="s">
        <v>89</v>
      </c>
      <c r="K192" s="45" t="str">
        <f t="shared" si="66"/>
        <v>WB67A9375</v>
      </c>
      <c r="L192" s="26">
        <v>46096</v>
      </c>
      <c r="M192" s="57" t="s">
        <v>1151</v>
      </c>
      <c r="N192" s="57" t="s">
        <v>1152</v>
      </c>
      <c r="O192" s="28">
        <v>0</v>
      </c>
      <c r="P192" s="27" t="s">
        <v>1153</v>
      </c>
      <c r="Q192" s="29">
        <v>2590198064</v>
      </c>
      <c r="R192" s="30">
        <v>2160375976</v>
      </c>
      <c r="S192" s="31" t="s">
        <v>73</v>
      </c>
      <c r="T192" s="24" t="s">
        <v>91</v>
      </c>
      <c r="U192" s="24" t="s">
        <v>347</v>
      </c>
      <c r="V192" s="32" t="s">
        <v>348</v>
      </c>
      <c r="W192" s="32" t="s">
        <v>349</v>
      </c>
      <c r="X192" s="32"/>
      <c r="Y192" s="24">
        <v>706</v>
      </c>
      <c r="Z192" s="24">
        <v>25</v>
      </c>
      <c r="AA192" s="24">
        <f t="shared" si="67"/>
        <v>670.69999999999993</v>
      </c>
      <c r="AB192" s="24">
        <f t="shared" si="60"/>
        <v>17650</v>
      </c>
      <c r="AC192" s="24">
        <f t="shared" si="61"/>
        <v>16767.5</v>
      </c>
      <c r="AD192" s="24">
        <f t="shared" si="62"/>
        <v>16767.5</v>
      </c>
      <c r="AE192" s="24">
        <f t="shared" si="63"/>
        <v>882.5</v>
      </c>
      <c r="AF192" s="24">
        <v>0</v>
      </c>
      <c r="AG192" s="33">
        <v>3000</v>
      </c>
      <c r="AH192" s="24"/>
      <c r="AI192" s="24"/>
      <c r="AJ192" s="24"/>
      <c r="AK192" s="24"/>
      <c r="AL192" s="24"/>
      <c r="AM192" s="24" t="s">
        <v>79</v>
      </c>
      <c r="AN192" s="34" t="s">
        <v>1154</v>
      </c>
      <c r="AO192" s="35" t="s">
        <v>973</v>
      </c>
      <c r="AP192" s="24">
        <f>129*2</f>
        <v>258</v>
      </c>
      <c r="AQ192" s="36">
        <f t="shared" si="68"/>
        <v>79.384615384615387</v>
      </c>
      <c r="AR192" s="67">
        <v>80</v>
      </c>
      <c r="AS192" s="68">
        <f t="shared" si="69"/>
        <v>0.6153846153846132</v>
      </c>
      <c r="AT192" s="69"/>
      <c r="AU192" s="68">
        <f t="shared" si="70"/>
        <v>0.6153846153846132</v>
      </c>
      <c r="AV192" s="70">
        <v>91.99</v>
      </c>
      <c r="AW192" s="65">
        <f t="shared" si="64"/>
        <v>7359.2</v>
      </c>
      <c r="AX192" s="24">
        <f t="shared" si="76"/>
        <v>61.7814223945132</v>
      </c>
      <c r="AY192" s="24"/>
      <c r="AZ192" s="24"/>
      <c r="BA192" s="24"/>
      <c r="BB192" s="24">
        <f t="shared" si="71"/>
        <v>0</v>
      </c>
      <c r="BC192" s="24">
        <f t="shared" si="72"/>
        <v>6408.3</v>
      </c>
      <c r="BD192" s="24"/>
      <c r="BE192" s="24"/>
      <c r="BF192" s="24"/>
      <c r="BG192" s="24">
        <f>+AB192*9.5%</f>
        <v>1676.75</v>
      </c>
      <c r="BH192" s="24"/>
      <c r="BI192" s="24"/>
      <c r="BJ192" s="24">
        <f t="shared" si="73"/>
        <v>16.767500000000002</v>
      </c>
      <c r="BK192" s="24">
        <f t="shared" si="74"/>
        <v>8068.2825000000003</v>
      </c>
      <c r="BL192" s="24" t="s">
        <v>96</v>
      </c>
      <c r="BM192" s="42">
        <f t="shared" si="65"/>
        <v>3</v>
      </c>
      <c r="BN192" s="24" t="s">
        <v>139</v>
      </c>
      <c r="BO192" s="2" t="s">
        <v>148</v>
      </c>
    </row>
    <row r="193" spans="1:67" s="1" customFormat="1" ht="15" customHeight="1" x14ac:dyDescent="0.3">
      <c r="A193" s="20">
        <v>189</v>
      </c>
      <c r="B193" s="21">
        <v>46094</v>
      </c>
      <c r="C193" s="21">
        <v>46102</v>
      </c>
      <c r="D193" s="52" t="s">
        <v>841</v>
      </c>
      <c r="E193" s="23">
        <v>46104</v>
      </c>
      <c r="F193" s="23" t="s">
        <v>7</v>
      </c>
      <c r="G193" s="24" t="s">
        <v>68</v>
      </c>
      <c r="H193" s="24" t="s">
        <v>69</v>
      </c>
      <c r="I193" s="24" t="s">
        <v>70</v>
      </c>
      <c r="J193" s="25" t="s">
        <v>650</v>
      </c>
      <c r="K193" s="45" t="str">
        <f t="shared" si="66"/>
        <v>WB39B0926</v>
      </c>
      <c r="L193" s="26">
        <v>46096</v>
      </c>
      <c r="M193" s="34" t="s">
        <v>1155</v>
      </c>
      <c r="N193" s="27" t="s">
        <v>1156</v>
      </c>
      <c r="O193" s="28">
        <v>0</v>
      </c>
      <c r="P193" s="27" t="s">
        <v>1157</v>
      </c>
      <c r="Q193" s="29">
        <v>2525363227</v>
      </c>
      <c r="R193" s="30">
        <v>2110809748</v>
      </c>
      <c r="S193" s="31" t="s">
        <v>73</v>
      </c>
      <c r="T193" s="24" t="s">
        <v>91</v>
      </c>
      <c r="U193" s="24" t="s">
        <v>75</v>
      </c>
      <c r="V193" s="32" t="s">
        <v>152</v>
      </c>
      <c r="W193" s="32" t="s">
        <v>153</v>
      </c>
      <c r="X193" s="32" t="s">
        <v>153</v>
      </c>
      <c r="Y193" s="24">
        <v>1022</v>
      </c>
      <c r="Z193" s="24">
        <v>15</v>
      </c>
      <c r="AA193" s="24">
        <f t="shared" si="67"/>
        <v>970.90000000000009</v>
      </c>
      <c r="AB193" s="24">
        <f t="shared" si="60"/>
        <v>15330</v>
      </c>
      <c r="AC193" s="24">
        <f t="shared" si="61"/>
        <v>14563.500000000002</v>
      </c>
      <c r="AD193" s="24">
        <f t="shared" si="62"/>
        <v>14563.500000000002</v>
      </c>
      <c r="AE193" s="24">
        <f t="shared" si="63"/>
        <v>766.49999999999818</v>
      </c>
      <c r="AF193" s="24">
        <v>0</v>
      </c>
      <c r="AG193" s="33">
        <v>5900</v>
      </c>
      <c r="AH193" s="24"/>
      <c r="AI193" s="24"/>
      <c r="AJ193" s="24"/>
      <c r="AK193" s="24">
        <v>115</v>
      </c>
      <c r="AL193" s="24"/>
      <c r="AM193" s="24" t="s">
        <v>79</v>
      </c>
      <c r="AN193" s="34" t="s">
        <v>1158</v>
      </c>
      <c r="AO193" s="35" t="s">
        <v>973</v>
      </c>
      <c r="AP193" s="24">
        <f>248*2</f>
        <v>496</v>
      </c>
      <c r="AQ193" s="36">
        <f t="shared" si="68"/>
        <v>152.61538461538461</v>
      </c>
      <c r="AR193" s="67">
        <v>145</v>
      </c>
      <c r="AS193" s="68">
        <f t="shared" si="69"/>
        <v>-7.6153846153846132</v>
      </c>
      <c r="AT193" s="69"/>
      <c r="AU193" s="68">
        <f t="shared" si="70"/>
        <v>-7.6153846153846132</v>
      </c>
      <c r="AV193" s="70">
        <v>91.99</v>
      </c>
      <c r="AW193" s="65">
        <f t="shared" si="64"/>
        <v>13338.55</v>
      </c>
      <c r="AX193" s="24">
        <f t="shared" si="76"/>
        <v>132.10114326913171</v>
      </c>
      <c r="AY193" s="24"/>
      <c r="AZ193" s="24"/>
      <c r="BA193" s="24"/>
      <c r="BB193" s="24">
        <f t="shared" si="71"/>
        <v>0</v>
      </c>
      <c r="BC193" s="24">
        <f t="shared" si="72"/>
        <v>-4790.0499999999975</v>
      </c>
      <c r="BD193" s="24"/>
      <c r="BE193" s="24"/>
      <c r="BF193" s="24"/>
      <c r="BG193" s="24">
        <f>+AB193*9.5%</f>
        <v>1456.35</v>
      </c>
      <c r="BH193" s="24"/>
      <c r="BI193" s="24"/>
      <c r="BJ193" s="24">
        <f t="shared" si="73"/>
        <v>14.563499999999999</v>
      </c>
      <c r="BK193" s="24">
        <f t="shared" si="74"/>
        <v>-3348.2634999999977</v>
      </c>
      <c r="BL193" s="24" t="s">
        <v>657</v>
      </c>
      <c r="BM193" s="42">
        <f t="shared" si="65"/>
        <v>3</v>
      </c>
      <c r="BN193" s="24" t="s">
        <v>139</v>
      </c>
      <c r="BO193" s="2" t="s">
        <v>175</v>
      </c>
    </row>
    <row r="194" spans="1:67" s="1" customFormat="1" ht="15" customHeight="1" x14ac:dyDescent="0.3">
      <c r="A194" s="20">
        <v>190</v>
      </c>
      <c r="B194" s="21">
        <v>46094</v>
      </c>
      <c r="C194" s="21">
        <v>46102</v>
      </c>
      <c r="D194" s="52" t="s">
        <v>841</v>
      </c>
      <c r="E194" s="23">
        <v>46104</v>
      </c>
      <c r="F194" s="23" t="s">
        <v>7</v>
      </c>
      <c r="G194" s="24" t="s">
        <v>68</v>
      </c>
      <c r="H194" s="24" t="s">
        <v>69</v>
      </c>
      <c r="I194" s="24" t="s">
        <v>70</v>
      </c>
      <c r="J194" s="25" t="s">
        <v>650</v>
      </c>
      <c r="K194" s="45" t="str">
        <f t="shared" si="66"/>
        <v>WB39B0926</v>
      </c>
      <c r="L194" s="26">
        <v>46096</v>
      </c>
      <c r="M194" s="34" t="s">
        <v>1159</v>
      </c>
      <c r="N194" s="27" t="s">
        <v>1160</v>
      </c>
      <c r="O194" s="28">
        <v>0</v>
      </c>
      <c r="P194" s="27" t="s">
        <v>1161</v>
      </c>
      <c r="Q194" s="29">
        <v>2525363228</v>
      </c>
      <c r="R194" s="30">
        <v>2110809749</v>
      </c>
      <c r="S194" s="31" t="s">
        <v>73</v>
      </c>
      <c r="T194" s="24" t="s">
        <v>91</v>
      </c>
      <c r="U194" s="24" t="s">
        <v>75</v>
      </c>
      <c r="V194" s="32" t="s">
        <v>152</v>
      </c>
      <c r="W194" s="32" t="s">
        <v>153</v>
      </c>
      <c r="X194" s="32" t="s">
        <v>153</v>
      </c>
      <c r="Y194" s="24">
        <v>1022</v>
      </c>
      <c r="Z194" s="24">
        <v>10</v>
      </c>
      <c r="AA194" s="24">
        <f t="shared" si="67"/>
        <v>970.90000000000009</v>
      </c>
      <c r="AB194" s="24">
        <f t="shared" si="60"/>
        <v>10220</v>
      </c>
      <c r="AC194" s="24">
        <f t="shared" si="61"/>
        <v>9709</v>
      </c>
      <c r="AD194" s="24">
        <f t="shared" si="62"/>
        <v>9709</v>
      </c>
      <c r="AE194" s="24">
        <f t="shared" si="63"/>
        <v>511</v>
      </c>
      <c r="AF194" s="24">
        <v>0</v>
      </c>
      <c r="AG194" s="31">
        <v>0</v>
      </c>
      <c r="AH194" s="24"/>
      <c r="AI194" s="24"/>
      <c r="AJ194" s="24"/>
      <c r="AK194" s="24"/>
      <c r="AL194" s="24"/>
      <c r="AM194" s="24">
        <v>0</v>
      </c>
      <c r="AN194" s="34" t="s">
        <v>213</v>
      </c>
      <c r="AO194" s="35"/>
      <c r="AP194" s="24"/>
      <c r="AQ194" s="36">
        <f t="shared" si="68"/>
        <v>0</v>
      </c>
      <c r="AR194" s="16">
        <v>0</v>
      </c>
      <c r="AS194" s="47">
        <f t="shared" si="69"/>
        <v>0</v>
      </c>
      <c r="AT194" s="31"/>
      <c r="AU194" s="47">
        <f t="shared" si="70"/>
        <v>0</v>
      </c>
      <c r="AV194" s="48">
        <v>91.99</v>
      </c>
      <c r="AW194" s="24">
        <f t="shared" si="64"/>
        <v>0</v>
      </c>
      <c r="AX194" s="24">
        <f t="shared" si="76"/>
        <v>0</v>
      </c>
      <c r="AY194" s="24"/>
      <c r="AZ194" s="24"/>
      <c r="BA194" s="24"/>
      <c r="BB194" s="24">
        <f t="shared" si="71"/>
        <v>0</v>
      </c>
      <c r="BC194" s="24">
        <f t="shared" si="72"/>
        <v>9709</v>
      </c>
      <c r="BD194" s="24"/>
      <c r="BE194" s="24"/>
      <c r="BF194" s="24"/>
      <c r="BG194" s="24">
        <f>+AB194*9.5%</f>
        <v>970.9</v>
      </c>
      <c r="BH194" s="24"/>
      <c r="BI194" s="24"/>
      <c r="BJ194" s="24">
        <f t="shared" si="73"/>
        <v>9.7089999999999996</v>
      </c>
      <c r="BK194" s="24">
        <f t="shared" si="74"/>
        <v>10670.190999999999</v>
      </c>
      <c r="BL194" s="24" t="s">
        <v>657</v>
      </c>
      <c r="BM194" s="42">
        <f t="shared" si="65"/>
        <v>3</v>
      </c>
      <c r="BN194" s="24" t="s">
        <v>139</v>
      </c>
      <c r="BO194" s="2" t="s">
        <v>175</v>
      </c>
    </row>
    <row r="195" spans="1:67" s="1" customFormat="1" ht="15" customHeight="1" x14ac:dyDescent="0.3">
      <c r="A195" s="20">
        <v>191</v>
      </c>
      <c r="B195" s="21">
        <v>46094</v>
      </c>
      <c r="C195" s="21">
        <v>46097</v>
      </c>
      <c r="D195" s="50" t="s">
        <v>410</v>
      </c>
      <c r="E195" s="23">
        <v>46123</v>
      </c>
      <c r="F195" s="23" t="s">
        <v>7</v>
      </c>
      <c r="G195" s="24" t="s">
        <v>68</v>
      </c>
      <c r="H195" s="24" t="s">
        <v>69</v>
      </c>
      <c r="I195" s="24" t="s">
        <v>800</v>
      </c>
      <c r="J195" s="25" t="s">
        <v>801</v>
      </c>
      <c r="K195" s="59" t="str">
        <f t="shared" si="66"/>
        <v>WB41P4782</v>
      </c>
      <c r="L195" s="26">
        <v>46095</v>
      </c>
      <c r="M195" s="34" t="s">
        <v>1162</v>
      </c>
      <c r="N195" s="27" t="s">
        <v>1163</v>
      </c>
      <c r="O195" s="28">
        <v>0</v>
      </c>
      <c r="P195" s="27" t="s">
        <v>1164</v>
      </c>
      <c r="Q195" s="29">
        <v>2525363273</v>
      </c>
      <c r="R195" s="30">
        <v>2110809878</v>
      </c>
      <c r="S195" s="60" t="s">
        <v>73</v>
      </c>
      <c r="T195" s="24" t="s">
        <v>188</v>
      </c>
      <c r="U195" s="24" t="s">
        <v>75</v>
      </c>
      <c r="V195" s="32" t="s">
        <v>1165</v>
      </c>
      <c r="W195" s="32" t="s">
        <v>415</v>
      </c>
      <c r="X195" s="32" t="s">
        <v>1166</v>
      </c>
      <c r="Y195" s="24">
        <v>499</v>
      </c>
      <c r="Z195" s="24">
        <v>13</v>
      </c>
      <c r="AA195" s="24">
        <f>+Y195/100*93</f>
        <v>464.07</v>
      </c>
      <c r="AB195" s="24">
        <f t="shared" si="60"/>
        <v>6487</v>
      </c>
      <c r="AC195" s="24">
        <f t="shared" si="61"/>
        <v>6162.6500000000005</v>
      </c>
      <c r="AD195" s="24">
        <f t="shared" si="62"/>
        <v>6032.91</v>
      </c>
      <c r="AE195" s="24">
        <f t="shared" si="63"/>
        <v>454.09000000000015</v>
      </c>
      <c r="AF195" s="24">
        <f t="shared" ref="AF195:AF230" si="84">+AD195*1%</f>
        <v>60.329099999999997</v>
      </c>
      <c r="AG195" s="33">
        <v>1550</v>
      </c>
      <c r="AH195" s="24"/>
      <c r="AI195" s="24"/>
      <c r="AJ195" s="24"/>
      <c r="AK195" s="24">
        <v>115</v>
      </c>
      <c r="AL195" s="24"/>
      <c r="AM195" s="24" t="s">
        <v>79</v>
      </c>
      <c r="AN195" s="34" t="s">
        <v>1167</v>
      </c>
      <c r="AO195" s="35" t="s">
        <v>973</v>
      </c>
      <c r="AP195" s="24">
        <f>84*2</f>
        <v>168</v>
      </c>
      <c r="AQ195" s="36">
        <f t="shared" si="68"/>
        <v>51.692307692307693</v>
      </c>
      <c r="AR195" s="67">
        <v>30</v>
      </c>
      <c r="AS195" s="68">
        <f t="shared" si="69"/>
        <v>-21.692307692307693</v>
      </c>
      <c r="AT195" s="69"/>
      <c r="AU195" s="68">
        <f t="shared" si="70"/>
        <v>-21.692307692307693</v>
      </c>
      <c r="AV195" s="70">
        <v>91.99</v>
      </c>
      <c r="AW195" s="65">
        <f t="shared" si="64"/>
        <v>2759.7</v>
      </c>
      <c r="AX195" s="24">
        <f t="shared" si="76"/>
        <v>71.436504108299317</v>
      </c>
      <c r="AY195" s="24">
        <v>120</v>
      </c>
      <c r="AZ195" s="24"/>
      <c r="BA195" s="24"/>
      <c r="BB195" s="24">
        <f t="shared" si="71"/>
        <v>0</v>
      </c>
      <c r="BC195" s="24">
        <f t="shared" si="72"/>
        <v>1427.8809000000001</v>
      </c>
      <c r="BD195" s="24">
        <v>40</v>
      </c>
      <c r="BE195" s="24">
        <v>40</v>
      </c>
      <c r="BF195" s="24"/>
      <c r="BG195" s="24">
        <f>+AB195*9.5%</f>
        <v>616.26499999999999</v>
      </c>
      <c r="BH195" s="24"/>
      <c r="BI195" s="24"/>
      <c r="BJ195" s="24">
        <f t="shared" si="73"/>
        <v>6.1626500000000002</v>
      </c>
      <c r="BK195" s="24">
        <f t="shared" si="74"/>
        <v>2117.9832499999998</v>
      </c>
      <c r="BL195" s="24" t="s">
        <v>807</v>
      </c>
      <c r="BM195" s="42">
        <f t="shared" si="65"/>
        <v>2</v>
      </c>
      <c r="BN195" s="24" t="s">
        <v>83</v>
      </c>
      <c r="BO195" s="2" t="s">
        <v>129</v>
      </c>
    </row>
    <row r="196" spans="1:67" s="1" customFormat="1" ht="15" customHeight="1" x14ac:dyDescent="0.3">
      <c r="A196" s="20">
        <v>192</v>
      </c>
      <c r="B196" s="21">
        <v>46094</v>
      </c>
      <c r="C196" s="21">
        <v>46097</v>
      </c>
      <c r="D196" s="52" t="s">
        <v>523</v>
      </c>
      <c r="E196" s="23">
        <v>46105</v>
      </c>
      <c r="F196" s="23" t="s">
        <v>7</v>
      </c>
      <c r="G196" s="24" t="s">
        <v>68</v>
      </c>
      <c r="H196" s="24" t="s">
        <v>69</v>
      </c>
      <c r="I196" s="24" t="s">
        <v>389</v>
      </c>
      <c r="J196" s="25" t="s">
        <v>372</v>
      </c>
      <c r="K196" s="45" t="str">
        <f t="shared" si="66"/>
        <v>WB39G7433</v>
      </c>
      <c r="L196" s="26">
        <v>46094</v>
      </c>
      <c r="M196" s="34" t="s">
        <v>1168</v>
      </c>
      <c r="N196" s="27" t="s">
        <v>1169</v>
      </c>
      <c r="O196" s="28">
        <v>0</v>
      </c>
      <c r="P196" s="27" t="s">
        <v>1170</v>
      </c>
      <c r="Q196" s="29">
        <v>2525363284</v>
      </c>
      <c r="R196" s="30">
        <v>2110809901</v>
      </c>
      <c r="S196" s="54" t="s">
        <v>73</v>
      </c>
      <c r="T196" s="24" t="s">
        <v>91</v>
      </c>
      <c r="U196" s="24" t="s">
        <v>75</v>
      </c>
      <c r="V196" s="32" t="s">
        <v>510</v>
      </c>
      <c r="W196" s="32" t="s">
        <v>528</v>
      </c>
      <c r="X196" s="32" t="s">
        <v>1171</v>
      </c>
      <c r="Y196" s="24">
        <v>499</v>
      </c>
      <c r="Z196" s="24">
        <v>25</v>
      </c>
      <c r="AA196" s="24">
        <f t="shared" si="67"/>
        <v>474.05</v>
      </c>
      <c r="AB196" s="24">
        <f t="shared" si="60"/>
        <v>12475</v>
      </c>
      <c r="AC196" s="24">
        <f t="shared" si="61"/>
        <v>11851.25</v>
      </c>
      <c r="AD196" s="24">
        <f t="shared" si="62"/>
        <v>11851.25</v>
      </c>
      <c r="AE196" s="24">
        <f t="shared" si="63"/>
        <v>623.75</v>
      </c>
      <c r="AF196" s="24">
        <f>+AD196*1%</f>
        <v>118.5125</v>
      </c>
      <c r="AG196" s="33">
        <v>3200</v>
      </c>
      <c r="AH196" s="24"/>
      <c r="AI196" s="24"/>
      <c r="AJ196" s="24"/>
      <c r="AK196" s="24"/>
      <c r="AL196" s="24"/>
      <c r="AM196" s="24" t="s">
        <v>79</v>
      </c>
      <c r="AN196" s="34" t="s">
        <v>1172</v>
      </c>
      <c r="AO196" s="35" t="s">
        <v>973</v>
      </c>
      <c r="AP196" s="24">
        <f>77*2</f>
        <v>154</v>
      </c>
      <c r="AQ196" s="36">
        <f t="shared" si="68"/>
        <v>47.384615384615387</v>
      </c>
      <c r="AR196" s="67">
        <v>50</v>
      </c>
      <c r="AS196" s="68">
        <f t="shared" si="69"/>
        <v>2.6153846153846132</v>
      </c>
      <c r="AT196" s="69"/>
      <c r="AU196" s="68">
        <f t="shared" si="70"/>
        <v>2.6153846153846132</v>
      </c>
      <c r="AV196" s="70">
        <v>91.99</v>
      </c>
      <c r="AW196" s="65">
        <f t="shared" si="64"/>
        <v>4599.5</v>
      </c>
      <c r="AX196" s="24">
        <f t="shared" si="76"/>
        <v>65.811623246492985</v>
      </c>
      <c r="AY196" s="24"/>
      <c r="AZ196" s="24"/>
      <c r="BA196" s="24"/>
      <c r="BB196" s="24">
        <f t="shared" si="71"/>
        <v>0</v>
      </c>
      <c r="BC196" s="24">
        <f t="shared" si="72"/>
        <v>3933.2374999999993</v>
      </c>
      <c r="BD196" s="24">
        <v>135</v>
      </c>
      <c r="BE196" s="24">
        <v>135</v>
      </c>
      <c r="BF196" s="24"/>
      <c r="BG196" s="24">
        <f>+AB196*9.5%</f>
        <v>1185.125</v>
      </c>
      <c r="BH196" s="24"/>
      <c r="BI196" s="24"/>
      <c r="BJ196" s="24">
        <f t="shared" si="73"/>
        <v>11.85125</v>
      </c>
      <c r="BK196" s="24">
        <f t="shared" si="74"/>
        <v>5376.5112499999996</v>
      </c>
      <c r="BL196" s="24" t="s">
        <v>379</v>
      </c>
      <c r="BM196" s="42">
        <f t="shared" si="65"/>
        <v>1</v>
      </c>
      <c r="BN196" s="24" t="s">
        <v>610</v>
      </c>
      <c r="BO196" s="2" t="s">
        <v>129</v>
      </c>
    </row>
    <row r="197" spans="1:67" s="1" customFormat="1" ht="15" customHeight="1" x14ac:dyDescent="0.3">
      <c r="A197" s="20">
        <v>193</v>
      </c>
      <c r="B197" s="21">
        <v>46094</v>
      </c>
      <c r="C197" s="21">
        <v>46097</v>
      </c>
      <c r="D197" s="52" t="s">
        <v>541</v>
      </c>
      <c r="E197" s="23">
        <v>46105</v>
      </c>
      <c r="F197" s="23" t="s">
        <v>7</v>
      </c>
      <c r="G197" s="24" t="s">
        <v>68</v>
      </c>
      <c r="H197" s="24" t="s">
        <v>69</v>
      </c>
      <c r="I197" s="24" t="s">
        <v>88</v>
      </c>
      <c r="J197" s="25" t="s">
        <v>194</v>
      </c>
      <c r="K197" s="45" t="str">
        <f t="shared" si="66"/>
        <v>WB67A2373</v>
      </c>
      <c r="L197" s="26">
        <v>46095</v>
      </c>
      <c r="M197" s="34" t="s">
        <v>1173</v>
      </c>
      <c r="N197" s="27" t="s">
        <v>1174</v>
      </c>
      <c r="O197" s="28">
        <v>0</v>
      </c>
      <c r="P197" s="27" t="s">
        <v>1175</v>
      </c>
      <c r="Q197" s="29">
        <v>2525363306</v>
      </c>
      <c r="R197" s="30">
        <v>2110809908</v>
      </c>
      <c r="S197" s="54" t="s">
        <v>73</v>
      </c>
      <c r="T197" s="24" t="s">
        <v>74</v>
      </c>
      <c r="U197" s="24" t="s">
        <v>75</v>
      </c>
      <c r="V197" s="32" t="s">
        <v>757</v>
      </c>
      <c r="W197" s="32" t="s">
        <v>77</v>
      </c>
      <c r="X197" s="32" t="s">
        <v>792</v>
      </c>
      <c r="Y197" s="24">
        <v>832</v>
      </c>
      <c r="Z197" s="24">
        <v>19</v>
      </c>
      <c r="AA197" s="24">
        <f t="shared" si="67"/>
        <v>790.4</v>
      </c>
      <c r="AB197" s="24">
        <f t="shared" ref="AB197:AB260" si="85">+Z197*Y197</f>
        <v>15808</v>
      </c>
      <c r="AC197" s="24">
        <f t="shared" ref="AC197:AC260" si="86">+AB197/100*95</f>
        <v>15017.6</v>
      </c>
      <c r="AD197" s="24">
        <f t="shared" ref="AD197:AD260" si="87">+AA197*Z197</f>
        <v>15017.6</v>
      </c>
      <c r="AE197" s="24">
        <f t="shared" ref="AE197:AE260" si="88">+AB197-AD197</f>
        <v>790.39999999999964</v>
      </c>
      <c r="AF197" s="24">
        <f t="shared" si="84"/>
        <v>150.17600000000002</v>
      </c>
      <c r="AG197" s="33">
        <v>3400</v>
      </c>
      <c r="AH197" s="24"/>
      <c r="AI197" s="24">
        <v>7000</v>
      </c>
      <c r="AJ197" s="24"/>
      <c r="AK197" s="24"/>
      <c r="AL197" s="24"/>
      <c r="AM197" s="24" t="s">
        <v>79</v>
      </c>
      <c r="AN197" s="34" t="s">
        <v>1176</v>
      </c>
      <c r="AO197" s="35" t="s">
        <v>973</v>
      </c>
      <c r="AP197" s="24">
        <f>177*2</f>
        <v>354</v>
      </c>
      <c r="AQ197" s="36">
        <f t="shared" si="68"/>
        <v>108.92307692307692</v>
      </c>
      <c r="AR197" s="67">
        <v>95</v>
      </c>
      <c r="AS197" s="68">
        <f t="shared" si="69"/>
        <v>-13.92307692307692</v>
      </c>
      <c r="AT197" s="69"/>
      <c r="AU197" s="68">
        <f t="shared" si="70"/>
        <v>-13.92307692307692</v>
      </c>
      <c r="AV197" s="70">
        <v>91.88</v>
      </c>
      <c r="AW197" s="65">
        <f t="shared" ref="AW197:AW260" si="89">+AR197*AV197</f>
        <v>8728.6</v>
      </c>
      <c r="AX197" s="24">
        <f t="shared" si="76"/>
        <v>80.762571915619006</v>
      </c>
      <c r="AY197" s="24">
        <v>120</v>
      </c>
      <c r="AZ197" s="24"/>
      <c r="BA197" s="24"/>
      <c r="BB197" s="24">
        <f t="shared" si="71"/>
        <v>0</v>
      </c>
      <c r="BC197" s="24">
        <f t="shared" si="72"/>
        <v>-4381.1759999999995</v>
      </c>
      <c r="BD197" s="24"/>
      <c r="BE197" s="24"/>
      <c r="BF197" s="24"/>
      <c r="BG197" s="24">
        <f>+AD197*8.5%</f>
        <v>1276.4960000000001</v>
      </c>
      <c r="BH197" s="24">
        <f t="shared" ref="BH197:BH198" si="90">+AD197*8.5%</f>
        <v>1276.4960000000001</v>
      </c>
      <c r="BI197" s="24"/>
      <c r="BJ197" s="24">
        <f t="shared" si="73"/>
        <v>25.529920000000004</v>
      </c>
      <c r="BK197" s="24">
        <f t="shared" si="74"/>
        <v>-1853.7139199999992</v>
      </c>
      <c r="BL197" s="24" t="s">
        <v>82</v>
      </c>
      <c r="BM197" s="42">
        <f t="shared" ref="BM197:BM260" si="91">+L197-B197+1</f>
        <v>2</v>
      </c>
      <c r="BN197" s="24" t="s">
        <v>83</v>
      </c>
      <c r="BO197" s="2" t="s">
        <v>84</v>
      </c>
    </row>
    <row r="198" spans="1:67" s="1" customFormat="1" ht="15" customHeight="1" x14ac:dyDescent="0.3">
      <c r="A198" s="20">
        <v>194</v>
      </c>
      <c r="B198" s="21">
        <v>46095</v>
      </c>
      <c r="C198" s="21">
        <v>46102</v>
      </c>
      <c r="D198" s="55" t="s">
        <v>1177</v>
      </c>
      <c r="E198" s="23">
        <v>46140</v>
      </c>
      <c r="F198" s="23" t="s">
        <v>7</v>
      </c>
      <c r="G198" s="24" t="s">
        <v>68</v>
      </c>
      <c r="H198" s="24" t="s">
        <v>69</v>
      </c>
      <c r="I198" s="24" t="s">
        <v>397</v>
      </c>
      <c r="J198" s="25" t="s">
        <v>398</v>
      </c>
      <c r="K198" s="45" t="str">
        <f t="shared" ref="K198:K261" si="92">CONCATENATE(H198,I198,J198)</f>
        <v>WB33C6016</v>
      </c>
      <c r="L198" s="26">
        <v>46096</v>
      </c>
      <c r="M198" s="34" t="s">
        <v>1178</v>
      </c>
      <c r="N198" s="27" t="s">
        <v>1179</v>
      </c>
      <c r="O198" s="28">
        <v>0</v>
      </c>
      <c r="P198" s="27" t="s">
        <v>1180</v>
      </c>
      <c r="Q198" s="29">
        <v>2525364537</v>
      </c>
      <c r="R198" s="30">
        <v>2110810922</v>
      </c>
      <c r="S198" s="31" t="s">
        <v>73</v>
      </c>
      <c r="T198" s="24" t="s">
        <v>74</v>
      </c>
      <c r="U198" s="24" t="s">
        <v>75</v>
      </c>
      <c r="V198" s="32" t="s">
        <v>1181</v>
      </c>
      <c r="W198" s="32" t="s">
        <v>220</v>
      </c>
      <c r="X198" s="32" t="s">
        <v>1182</v>
      </c>
      <c r="Y198" s="24">
        <v>466</v>
      </c>
      <c r="Z198" s="24">
        <v>19</v>
      </c>
      <c r="AA198" s="24">
        <f t="shared" ref="AA198:AA261" si="93">+Y198/100*95</f>
        <v>442.7</v>
      </c>
      <c r="AB198" s="24">
        <f t="shared" si="85"/>
        <v>8854</v>
      </c>
      <c r="AC198" s="24">
        <f t="shared" si="86"/>
        <v>8411.3000000000011</v>
      </c>
      <c r="AD198" s="24">
        <f t="shared" si="87"/>
        <v>8411.2999999999993</v>
      </c>
      <c r="AE198" s="24">
        <f t="shared" si="88"/>
        <v>442.70000000000073</v>
      </c>
      <c r="AF198" s="24">
        <f t="shared" si="84"/>
        <v>84.113</v>
      </c>
      <c r="AG198" s="33">
        <v>2850</v>
      </c>
      <c r="AH198" s="24">
        <v>100</v>
      </c>
      <c r="AI198" s="24"/>
      <c r="AJ198" s="24"/>
      <c r="AK198" s="24"/>
      <c r="AL198" s="24"/>
      <c r="AM198" s="24" t="s">
        <v>79</v>
      </c>
      <c r="AN198" s="34" t="s">
        <v>1183</v>
      </c>
      <c r="AO198" s="35" t="s">
        <v>973</v>
      </c>
      <c r="AP198" s="24">
        <f>84*2</f>
        <v>168</v>
      </c>
      <c r="AQ198" s="36">
        <f t="shared" ref="AQ198:AQ261" si="94">+AP198/3.25</f>
        <v>51.692307692307693</v>
      </c>
      <c r="AR198" s="67">
        <v>50</v>
      </c>
      <c r="AS198" s="68">
        <f t="shared" ref="AS198:AS261" si="95">+AR198-AQ198</f>
        <v>-1.6923076923076934</v>
      </c>
      <c r="AT198" s="69"/>
      <c r="AU198" s="68">
        <f t="shared" ref="AU198:AU261" si="96">+AS198-AT198</f>
        <v>-1.6923076923076934</v>
      </c>
      <c r="AV198" s="70">
        <v>91.99</v>
      </c>
      <c r="AW198" s="65">
        <f t="shared" si="89"/>
        <v>4599.5</v>
      </c>
      <c r="AX198" s="24">
        <f t="shared" si="76"/>
        <v>88.565382283356925</v>
      </c>
      <c r="AY198" s="24">
        <v>120</v>
      </c>
      <c r="AZ198" s="24"/>
      <c r="BA198" s="24"/>
      <c r="BB198" s="24">
        <f t="shared" ref="BB198:BB261" si="97">+AZ198*BA198</f>
        <v>0</v>
      </c>
      <c r="BC198" s="24">
        <f t="shared" ref="BC198:BC261" si="98">+AD198-AF198-AG198-AH198-AI198-AJ198-AK198-AW198-AY198-BB198-AL198</f>
        <v>657.6869999999999</v>
      </c>
      <c r="BD198" s="24"/>
      <c r="BE198" s="24"/>
      <c r="BF198" s="24"/>
      <c r="BG198" s="24">
        <f>+AD198*8.5%</f>
        <v>714.96050000000002</v>
      </c>
      <c r="BH198" s="24">
        <f t="shared" si="90"/>
        <v>714.96050000000002</v>
      </c>
      <c r="BI198" s="24"/>
      <c r="BJ198" s="24">
        <f t="shared" ref="BJ198:BJ261" si="99">+(+BF198+BG198+BH198+BI198)*1%</f>
        <v>14.29921</v>
      </c>
      <c r="BK198" s="24">
        <f t="shared" ref="BK198:BK261" si="100">+BC198+BD198+BE198+BF198+BG198+BH198+BI198-BJ198</f>
        <v>2073.30879</v>
      </c>
      <c r="BL198" s="24" t="s">
        <v>405</v>
      </c>
      <c r="BM198" s="42">
        <f t="shared" si="91"/>
        <v>2</v>
      </c>
      <c r="BN198" s="24" t="s">
        <v>83</v>
      </c>
      <c r="BO198" s="2" t="s">
        <v>175</v>
      </c>
    </row>
    <row r="199" spans="1:67" s="1" customFormat="1" ht="15" customHeight="1" x14ac:dyDescent="0.3">
      <c r="A199" s="20">
        <v>195</v>
      </c>
      <c r="B199" s="21">
        <v>46095</v>
      </c>
      <c r="C199" s="21">
        <v>46102</v>
      </c>
      <c r="D199" s="52" t="s">
        <v>351</v>
      </c>
      <c r="E199" s="23">
        <v>46104</v>
      </c>
      <c r="F199" s="23" t="s">
        <v>7</v>
      </c>
      <c r="G199" s="24" t="s">
        <v>68</v>
      </c>
      <c r="H199" s="24" t="s">
        <v>69</v>
      </c>
      <c r="I199" s="24" t="s">
        <v>166</v>
      </c>
      <c r="J199" s="25" t="s">
        <v>255</v>
      </c>
      <c r="K199" s="45" t="str">
        <f t="shared" si="92"/>
        <v>WB41H0177</v>
      </c>
      <c r="L199" s="26">
        <v>46097</v>
      </c>
      <c r="M199" s="34" t="s">
        <v>1184</v>
      </c>
      <c r="N199" s="27" t="s">
        <v>1185</v>
      </c>
      <c r="O199" s="28">
        <v>0</v>
      </c>
      <c r="P199" s="27" t="s">
        <v>1186</v>
      </c>
      <c r="Q199" s="29">
        <v>2525364561</v>
      </c>
      <c r="R199" s="30">
        <v>2110810948</v>
      </c>
      <c r="S199" s="31" t="s">
        <v>73</v>
      </c>
      <c r="T199" s="24" t="s">
        <v>91</v>
      </c>
      <c r="U199" s="24" t="s">
        <v>75</v>
      </c>
      <c r="V199" s="32" t="s">
        <v>1187</v>
      </c>
      <c r="W199" s="32" t="s">
        <v>1188</v>
      </c>
      <c r="X199" s="32" t="s">
        <v>1188</v>
      </c>
      <c r="Y199" s="24">
        <v>1182</v>
      </c>
      <c r="Z199" s="24">
        <v>13</v>
      </c>
      <c r="AA199" s="24">
        <f t="shared" si="93"/>
        <v>1122.9000000000001</v>
      </c>
      <c r="AB199" s="24">
        <f t="shared" si="85"/>
        <v>15366</v>
      </c>
      <c r="AC199" s="24">
        <f t="shared" si="86"/>
        <v>14597.699999999999</v>
      </c>
      <c r="AD199" s="24">
        <f t="shared" si="87"/>
        <v>14597.7</v>
      </c>
      <c r="AE199" s="24">
        <f t="shared" si="88"/>
        <v>768.29999999999927</v>
      </c>
      <c r="AF199" s="24">
        <f t="shared" si="84"/>
        <v>145.977</v>
      </c>
      <c r="AG199" s="33">
        <v>3800</v>
      </c>
      <c r="AH199" s="24"/>
      <c r="AI199" s="24"/>
      <c r="AJ199" s="24"/>
      <c r="AK199" s="24"/>
      <c r="AL199" s="24"/>
      <c r="AM199" s="24" t="s">
        <v>79</v>
      </c>
      <c r="AN199" s="34" t="s">
        <v>1189</v>
      </c>
      <c r="AO199" s="35" t="s">
        <v>973</v>
      </c>
      <c r="AP199" s="24">
        <f>285*2</f>
        <v>570</v>
      </c>
      <c r="AQ199" s="36">
        <f t="shared" si="94"/>
        <v>175.38461538461539</v>
      </c>
      <c r="AR199" s="67">
        <v>179</v>
      </c>
      <c r="AS199" s="68">
        <f t="shared" si="95"/>
        <v>3.6153846153846132</v>
      </c>
      <c r="AT199" s="69"/>
      <c r="AU199" s="68">
        <f t="shared" si="96"/>
        <v>3.6153846153846132</v>
      </c>
      <c r="AV199" s="70">
        <v>91.88</v>
      </c>
      <c r="AW199" s="65">
        <f t="shared" si="89"/>
        <v>16446.52</v>
      </c>
      <c r="AX199" s="24">
        <f t="shared" si="76"/>
        <v>138.69664399186172</v>
      </c>
      <c r="AY199" s="24"/>
      <c r="AZ199" s="24"/>
      <c r="BA199" s="24"/>
      <c r="BB199" s="24">
        <f t="shared" si="97"/>
        <v>0</v>
      </c>
      <c r="BC199" s="24">
        <f t="shared" si="98"/>
        <v>-5794.7970000000005</v>
      </c>
      <c r="BD199" s="24">
        <v>135</v>
      </c>
      <c r="BE199" s="24">
        <v>135</v>
      </c>
      <c r="BF199" s="24"/>
      <c r="BG199" s="24">
        <f>+AB199*9.5%</f>
        <v>1459.77</v>
      </c>
      <c r="BH199" s="24"/>
      <c r="BI199" s="24"/>
      <c r="BJ199" s="24">
        <f t="shared" si="99"/>
        <v>14.5977</v>
      </c>
      <c r="BK199" s="24">
        <f t="shared" si="100"/>
        <v>-4079.6247000000003</v>
      </c>
      <c r="BL199" s="24" t="s">
        <v>261</v>
      </c>
      <c r="BM199" s="42">
        <f t="shared" si="91"/>
        <v>3</v>
      </c>
      <c r="BN199" s="24" t="s">
        <v>139</v>
      </c>
      <c r="BO199" s="2" t="s">
        <v>84</v>
      </c>
    </row>
    <row r="200" spans="1:67" s="1" customFormat="1" ht="15" customHeight="1" x14ac:dyDescent="0.3">
      <c r="A200" s="20">
        <v>196</v>
      </c>
      <c r="B200" s="21">
        <v>46095</v>
      </c>
      <c r="C200" s="21">
        <v>46102</v>
      </c>
      <c r="D200" s="52" t="s">
        <v>351</v>
      </c>
      <c r="E200" s="23">
        <v>46104</v>
      </c>
      <c r="F200" s="23" t="s">
        <v>7</v>
      </c>
      <c r="G200" s="24" t="s">
        <v>68</v>
      </c>
      <c r="H200" s="24" t="s">
        <v>69</v>
      </c>
      <c r="I200" s="24" t="s">
        <v>166</v>
      </c>
      <c r="J200" s="25" t="s">
        <v>255</v>
      </c>
      <c r="K200" s="45" t="str">
        <f t="shared" si="92"/>
        <v>WB41H0177</v>
      </c>
      <c r="L200" s="26">
        <v>46097</v>
      </c>
      <c r="M200" s="34" t="s">
        <v>1190</v>
      </c>
      <c r="N200" s="27" t="s">
        <v>1191</v>
      </c>
      <c r="O200" s="28">
        <v>0</v>
      </c>
      <c r="P200" s="27" t="s">
        <v>1192</v>
      </c>
      <c r="Q200" s="29">
        <v>2525364560</v>
      </c>
      <c r="R200" s="30">
        <v>2110810947</v>
      </c>
      <c r="S200" s="31" t="s">
        <v>73</v>
      </c>
      <c r="T200" s="24" t="s">
        <v>91</v>
      </c>
      <c r="U200" s="24" t="s">
        <v>75</v>
      </c>
      <c r="V200" s="32" t="s">
        <v>1187</v>
      </c>
      <c r="W200" s="32" t="s">
        <v>1188</v>
      </c>
      <c r="X200" s="32" t="s">
        <v>1188</v>
      </c>
      <c r="Y200" s="24">
        <v>1182</v>
      </c>
      <c r="Z200" s="24">
        <v>12</v>
      </c>
      <c r="AA200" s="24">
        <f t="shared" si="93"/>
        <v>1122.9000000000001</v>
      </c>
      <c r="AB200" s="24">
        <f t="shared" si="85"/>
        <v>14184</v>
      </c>
      <c r="AC200" s="24">
        <f t="shared" si="86"/>
        <v>13474.800000000001</v>
      </c>
      <c r="AD200" s="24">
        <f t="shared" si="87"/>
        <v>13474.800000000001</v>
      </c>
      <c r="AE200" s="24">
        <f t="shared" si="88"/>
        <v>709.19999999999891</v>
      </c>
      <c r="AF200" s="24">
        <f t="shared" si="84"/>
        <v>134.74800000000002</v>
      </c>
      <c r="AG200" s="31">
        <v>0</v>
      </c>
      <c r="AH200" s="24"/>
      <c r="AI200" s="24"/>
      <c r="AJ200" s="24"/>
      <c r="AK200" s="24"/>
      <c r="AL200" s="24"/>
      <c r="AM200" s="24">
        <v>0</v>
      </c>
      <c r="AN200" s="34" t="s">
        <v>213</v>
      </c>
      <c r="AO200" s="35"/>
      <c r="AP200" s="24"/>
      <c r="AQ200" s="36">
        <f t="shared" si="94"/>
        <v>0</v>
      </c>
      <c r="AR200" s="16">
        <v>0</v>
      </c>
      <c r="AS200" s="47">
        <f t="shared" si="95"/>
        <v>0</v>
      </c>
      <c r="AT200" s="31"/>
      <c r="AU200" s="47">
        <f t="shared" si="96"/>
        <v>0</v>
      </c>
      <c r="AV200" s="48">
        <v>91.99</v>
      </c>
      <c r="AW200" s="24">
        <f t="shared" si="89"/>
        <v>0</v>
      </c>
      <c r="AX200" s="24">
        <f t="shared" si="76"/>
        <v>0</v>
      </c>
      <c r="AY200" s="24"/>
      <c r="AZ200" s="24"/>
      <c r="BA200" s="24"/>
      <c r="BB200" s="24">
        <f t="shared" si="97"/>
        <v>0</v>
      </c>
      <c r="BC200" s="24">
        <f t="shared" si="98"/>
        <v>13340.052000000001</v>
      </c>
      <c r="BD200" s="24">
        <v>0</v>
      </c>
      <c r="BE200" s="24">
        <v>0</v>
      </c>
      <c r="BF200" s="24"/>
      <c r="BG200" s="24">
        <f>+AB200*9.5%</f>
        <v>1347.48</v>
      </c>
      <c r="BH200" s="24"/>
      <c r="BI200" s="24"/>
      <c r="BJ200" s="24">
        <f t="shared" si="99"/>
        <v>13.4748</v>
      </c>
      <c r="BK200" s="24">
        <f t="shared" si="100"/>
        <v>14674.057200000001</v>
      </c>
      <c r="BL200" s="24" t="s">
        <v>261</v>
      </c>
      <c r="BM200" s="42">
        <f t="shared" si="91"/>
        <v>3</v>
      </c>
      <c r="BN200" s="24" t="s">
        <v>139</v>
      </c>
      <c r="BO200" s="2" t="s">
        <v>84</v>
      </c>
    </row>
    <row r="201" spans="1:67" s="1" customFormat="1" ht="15" customHeight="1" x14ac:dyDescent="0.3">
      <c r="A201" s="20">
        <v>197</v>
      </c>
      <c r="B201" s="21">
        <v>46095</v>
      </c>
      <c r="C201" s="21">
        <v>46102</v>
      </c>
      <c r="D201" s="52" t="s">
        <v>841</v>
      </c>
      <c r="E201" s="23">
        <v>46104</v>
      </c>
      <c r="F201" s="23" t="s">
        <v>7</v>
      </c>
      <c r="G201" s="24" t="s">
        <v>68</v>
      </c>
      <c r="H201" s="24" t="s">
        <v>69</v>
      </c>
      <c r="I201" s="24" t="s">
        <v>236</v>
      </c>
      <c r="J201" s="25" t="s">
        <v>237</v>
      </c>
      <c r="K201" s="45" t="str">
        <f t="shared" si="92"/>
        <v>WB41J9798</v>
      </c>
      <c r="L201" s="26">
        <v>46096</v>
      </c>
      <c r="M201" s="34" t="s">
        <v>1193</v>
      </c>
      <c r="N201" s="27" t="s">
        <v>1194</v>
      </c>
      <c r="O201" s="28">
        <v>0</v>
      </c>
      <c r="P201" s="27" t="s">
        <v>1195</v>
      </c>
      <c r="Q201" s="29">
        <v>2525364558</v>
      </c>
      <c r="R201" s="30">
        <v>2110810945</v>
      </c>
      <c r="S201" s="31" t="s">
        <v>73</v>
      </c>
      <c r="T201" s="24" t="s">
        <v>241</v>
      </c>
      <c r="U201" s="24" t="s">
        <v>75</v>
      </c>
      <c r="V201" s="32" t="s">
        <v>1196</v>
      </c>
      <c r="W201" s="32" t="s">
        <v>1197</v>
      </c>
      <c r="X201" s="32" t="s">
        <v>1197</v>
      </c>
      <c r="Y201" s="24">
        <v>1081</v>
      </c>
      <c r="Z201" s="24">
        <v>30</v>
      </c>
      <c r="AA201" s="24">
        <f t="shared" si="93"/>
        <v>1026.95</v>
      </c>
      <c r="AB201" s="24">
        <f t="shared" si="85"/>
        <v>32430</v>
      </c>
      <c r="AC201" s="24">
        <f t="shared" si="86"/>
        <v>30808.5</v>
      </c>
      <c r="AD201" s="24">
        <f t="shared" si="87"/>
        <v>30808.5</v>
      </c>
      <c r="AE201" s="24">
        <f t="shared" si="88"/>
        <v>1621.5</v>
      </c>
      <c r="AF201" s="24">
        <v>0</v>
      </c>
      <c r="AG201" s="33">
        <v>6200</v>
      </c>
      <c r="AH201" s="24"/>
      <c r="AI201" s="24"/>
      <c r="AJ201" s="24"/>
      <c r="AK201" s="24"/>
      <c r="AL201" s="24"/>
      <c r="AM201" s="24" t="s">
        <v>79</v>
      </c>
      <c r="AN201" s="34" t="s">
        <v>1198</v>
      </c>
      <c r="AO201" s="35" t="s">
        <v>973</v>
      </c>
      <c r="AP201" s="24">
        <f>294*2</f>
        <v>588</v>
      </c>
      <c r="AQ201" s="36">
        <f t="shared" si="94"/>
        <v>180.92307692307693</v>
      </c>
      <c r="AR201" s="67">
        <v>180</v>
      </c>
      <c r="AS201" s="68">
        <f t="shared" si="95"/>
        <v>-0.92307692307693401</v>
      </c>
      <c r="AT201" s="69"/>
      <c r="AU201" s="68">
        <f t="shared" si="96"/>
        <v>-0.92307692307693401</v>
      </c>
      <c r="AV201" s="70">
        <v>91.99</v>
      </c>
      <c r="AW201" s="65">
        <f t="shared" si="89"/>
        <v>16558.2</v>
      </c>
      <c r="AX201" s="24">
        <f t="shared" si="76"/>
        <v>73.869873573851379</v>
      </c>
      <c r="AY201" s="24"/>
      <c r="AZ201" s="24"/>
      <c r="BA201" s="24"/>
      <c r="BB201" s="24">
        <f t="shared" si="97"/>
        <v>0</v>
      </c>
      <c r="BC201" s="24">
        <f t="shared" si="98"/>
        <v>8050.2999999999993</v>
      </c>
      <c r="BD201" s="24"/>
      <c r="BE201" s="24"/>
      <c r="BF201" s="24"/>
      <c r="BG201" s="24">
        <f>+AB201*9.5%</f>
        <v>3080.85</v>
      </c>
      <c r="BH201" s="24"/>
      <c r="BI201" s="24"/>
      <c r="BJ201" s="24">
        <f t="shared" si="99"/>
        <v>30.808499999999999</v>
      </c>
      <c r="BK201" s="24">
        <f t="shared" si="100"/>
        <v>11100.3415</v>
      </c>
      <c r="BL201" s="24" t="s">
        <v>245</v>
      </c>
      <c r="BM201" s="42">
        <f t="shared" si="91"/>
        <v>2</v>
      </c>
      <c r="BN201" s="24" t="s">
        <v>83</v>
      </c>
      <c r="BO201" s="2" t="s">
        <v>175</v>
      </c>
    </row>
    <row r="202" spans="1:67" s="1" customFormat="1" ht="15" customHeight="1" x14ac:dyDescent="0.3">
      <c r="A202" s="20">
        <v>198</v>
      </c>
      <c r="B202" s="21">
        <v>46095</v>
      </c>
      <c r="C202" s="21">
        <v>46102</v>
      </c>
      <c r="D202" s="52" t="s">
        <v>1199</v>
      </c>
      <c r="E202" s="23">
        <v>46104</v>
      </c>
      <c r="F202" s="23" t="s">
        <v>7</v>
      </c>
      <c r="G202" s="24" t="s">
        <v>68</v>
      </c>
      <c r="H202" s="24" t="s">
        <v>69</v>
      </c>
      <c r="I202" s="24" t="s">
        <v>112</v>
      </c>
      <c r="J202" s="25" t="s">
        <v>487</v>
      </c>
      <c r="K202" s="45" t="str">
        <f t="shared" si="92"/>
        <v>WB39A9434</v>
      </c>
      <c r="L202" s="26">
        <v>46096</v>
      </c>
      <c r="M202" s="34" t="s">
        <v>1200</v>
      </c>
      <c r="N202" s="27" t="s">
        <v>1201</v>
      </c>
      <c r="O202" s="28">
        <v>0</v>
      </c>
      <c r="P202" s="27" t="s">
        <v>1202</v>
      </c>
      <c r="Q202" s="29">
        <v>2525364589</v>
      </c>
      <c r="R202" s="30">
        <v>2110811020</v>
      </c>
      <c r="S202" s="31" t="s">
        <v>73</v>
      </c>
      <c r="T202" s="24" t="s">
        <v>91</v>
      </c>
      <c r="U202" s="24" t="s">
        <v>75</v>
      </c>
      <c r="V202" s="32" t="s">
        <v>438</v>
      </c>
      <c r="W202" s="32" t="s">
        <v>1203</v>
      </c>
      <c r="X202" s="32" t="s">
        <v>1203</v>
      </c>
      <c r="Y202" s="24">
        <v>1023</v>
      </c>
      <c r="Z202" s="24">
        <v>25</v>
      </c>
      <c r="AA202" s="24">
        <f t="shared" si="93"/>
        <v>971.85</v>
      </c>
      <c r="AB202" s="24">
        <f t="shared" si="85"/>
        <v>25575</v>
      </c>
      <c r="AC202" s="24">
        <f t="shared" si="86"/>
        <v>24296.25</v>
      </c>
      <c r="AD202" s="24">
        <f t="shared" si="87"/>
        <v>24296.25</v>
      </c>
      <c r="AE202" s="24">
        <f t="shared" si="88"/>
        <v>1278.75</v>
      </c>
      <c r="AF202" s="24">
        <f t="shared" si="84"/>
        <v>242.96250000000001</v>
      </c>
      <c r="AG202" s="33">
        <v>6000</v>
      </c>
      <c r="AH202" s="24"/>
      <c r="AI202" s="24"/>
      <c r="AJ202" s="24"/>
      <c r="AK202" s="24"/>
      <c r="AL202" s="24"/>
      <c r="AM202" s="24" t="s">
        <v>79</v>
      </c>
      <c r="AN202" s="34" t="s">
        <v>1204</v>
      </c>
      <c r="AO202" s="35" t="s">
        <v>973</v>
      </c>
      <c r="AP202" s="24">
        <f>235*2</f>
        <v>470</v>
      </c>
      <c r="AQ202" s="36">
        <f t="shared" si="94"/>
        <v>144.61538461538461</v>
      </c>
      <c r="AR202" s="67">
        <v>140</v>
      </c>
      <c r="AS202" s="68">
        <f t="shared" si="95"/>
        <v>-4.6153846153846132</v>
      </c>
      <c r="AT202" s="69"/>
      <c r="AU202" s="68">
        <f t="shared" si="96"/>
        <v>-4.6153846153846132</v>
      </c>
      <c r="AV202" s="70">
        <v>91.99</v>
      </c>
      <c r="AW202" s="65">
        <f t="shared" si="89"/>
        <v>12878.599999999999</v>
      </c>
      <c r="AX202" s="24">
        <f t="shared" si="76"/>
        <v>77.70170293769614</v>
      </c>
      <c r="AY202" s="24"/>
      <c r="AZ202" s="24"/>
      <c r="BA202" s="24"/>
      <c r="BB202" s="24">
        <f t="shared" si="97"/>
        <v>0</v>
      </c>
      <c r="BC202" s="24">
        <f t="shared" si="98"/>
        <v>5174.6875</v>
      </c>
      <c r="BD202" s="24">
        <v>135</v>
      </c>
      <c r="BE202" s="24">
        <v>135</v>
      </c>
      <c r="BF202" s="24"/>
      <c r="BG202" s="24">
        <f>+AB202*9.5%</f>
        <v>2429.625</v>
      </c>
      <c r="BH202" s="24"/>
      <c r="BI202" s="24"/>
      <c r="BJ202" s="24">
        <f t="shared" si="99"/>
        <v>24.296250000000001</v>
      </c>
      <c r="BK202" s="24">
        <f t="shared" si="100"/>
        <v>7850.0162499999997</v>
      </c>
      <c r="BL202" s="24" t="s">
        <v>494</v>
      </c>
      <c r="BM202" s="42">
        <f t="shared" si="91"/>
        <v>2</v>
      </c>
      <c r="BN202" s="24" t="s">
        <v>83</v>
      </c>
      <c r="BO202" s="2" t="s">
        <v>148</v>
      </c>
    </row>
    <row r="203" spans="1:67" s="1" customFormat="1" ht="15" customHeight="1" x14ac:dyDescent="0.3">
      <c r="A203" s="20">
        <v>199</v>
      </c>
      <c r="B203" s="21">
        <v>46095</v>
      </c>
      <c r="C203" s="21">
        <v>46111</v>
      </c>
      <c r="D203" s="50" t="s">
        <v>611</v>
      </c>
      <c r="E203" s="23">
        <v>46111</v>
      </c>
      <c r="F203" s="23" t="s">
        <v>7</v>
      </c>
      <c r="G203" s="24" t="s">
        <v>68</v>
      </c>
      <c r="H203" s="24" t="s">
        <v>69</v>
      </c>
      <c r="I203" s="24" t="s">
        <v>70</v>
      </c>
      <c r="J203" s="25" t="s">
        <v>612</v>
      </c>
      <c r="K203" s="45" t="str">
        <f t="shared" si="92"/>
        <v>WB39B2382</v>
      </c>
      <c r="L203" s="26">
        <v>46096</v>
      </c>
      <c r="M203" s="34" t="s">
        <v>1205</v>
      </c>
      <c r="N203" s="27" t="s">
        <v>1206</v>
      </c>
      <c r="O203" s="28">
        <v>0</v>
      </c>
      <c r="P203" s="27" t="s">
        <v>1207</v>
      </c>
      <c r="Q203" s="29">
        <v>2525364610</v>
      </c>
      <c r="R203" s="30">
        <v>2110811054</v>
      </c>
      <c r="S203" s="31" t="s">
        <v>73</v>
      </c>
      <c r="T203" s="24" t="s">
        <v>91</v>
      </c>
      <c r="U203" s="24" t="s">
        <v>75</v>
      </c>
      <c r="V203" s="32" t="s">
        <v>616</v>
      </c>
      <c r="W203" s="32" t="s">
        <v>492</v>
      </c>
      <c r="X203" s="32" t="s">
        <v>492</v>
      </c>
      <c r="Y203" s="24">
        <v>934</v>
      </c>
      <c r="Z203" s="24">
        <v>15</v>
      </c>
      <c r="AA203" s="24">
        <f t="shared" si="93"/>
        <v>887.3</v>
      </c>
      <c r="AB203" s="24">
        <f t="shared" si="85"/>
        <v>14010</v>
      </c>
      <c r="AC203" s="24">
        <f t="shared" si="86"/>
        <v>13309.5</v>
      </c>
      <c r="AD203" s="24">
        <f t="shared" si="87"/>
        <v>13309.5</v>
      </c>
      <c r="AE203" s="24">
        <f t="shared" si="88"/>
        <v>700.5</v>
      </c>
      <c r="AF203" s="24">
        <f t="shared" si="84"/>
        <v>133.095</v>
      </c>
      <c r="AG203" s="33">
        <v>7200</v>
      </c>
      <c r="AH203" s="24"/>
      <c r="AI203" s="24"/>
      <c r="AJ203" s="24"/>
      <c r="AK203" s="24">
        <v>115</v>
      </c>
      <c r="AL203" s="24"/>
      <c r="AM203" s="24" t="s">
        <v>79</v>
      </c>
      <c r="AN203" s="34" t="s">
        <v>1208</v>
      </c>
      <c r="AO203" s="35" t="s">
        <v>973</v>
      </c>
      <c r="AP203" s="24">
        <f>250*2</f>
        <v>500</v>
      </c>
      <c r="AQ203" s="36">
        <f t="shared" si="94"/>
        <v>153.84615384615384</v>
      </c>
      <c r="AR203" s="67">
        <v>158</v>
      </c>
      <c r="AS203" s="68">
        <f t="shared" si="95"/>
        <v>4.1538461538461604</v>
      </c>
      <c r="AT203" s="69"/>
      <c r="AU203" s="68">
        <f t="shared" si="96"/>
        <v>4.1538461538461604</v>
      </c>
      <c r="AV203" s="70">
        <v>91.99</v>
      </c>
      <c r="AW203" s="65">
        <f t="shared" si="89"/>
        <v>14534.42</v>
      </c>
      <c r="AX203" s="24">
        <f t="shared" si="76"/>
        <v>163.30004883729666</v>
      </c>
      <c r="AY203" s="24"/>
      <c r="AZ203" s="24"/>
      <c r="BA203" s="24"/>
      <c r="BB203" s="24">
        <f t="shared" si="97"/>
        <v>0</v>
      </c>
      <c r="BC203" s="24">
        <f t="shared" si="98"/>
        <v>-8673.0149999999994</v>
      </c>
      <c r="BD203" s="24"/>
      <c r="BE203" s="24"/>
      <c r="BF203" s="24"/>
      <c r="BG203" s="24">
        <f t="shared" ref="BG203:BG204" si="101">+AD203*9.5%</f>
        <v>1264.4024999999999</v>
      </c>
      <c r="BH203" s="24"/>
      <c r="BI203" s="24"/>
      <c r="BJ203" s="24">
        <f t="shared" si="99"/>
        <v>12.644024999999999</v>
      </c>
      <c r="BK203" s="24">
        <f t="shared" si="100"/>
        <v>-7421.2565249999989</v>
      </c>
      <c r="BL203" s="24" t="s">
        <v>618</v>
      </c>
      <c r="BM203" s="42">
        <f t="shared" si="91"/>
        <v>2</v>
      </c>
      <c r="BN203" s="24" t="s">
        <v>83</v>
      </c>
      <c r="BO203" s="2" t="s">
        <v>175</v>
      </c>
    </row>
    <row r="204" spans="1:67" s="1" customFormat="1" ht="15" customHeight="1" x14ac:dyDescent="0.3">
      <c r="A204" s="20">
        <v>200</v>
      </c>
      <c r="B204" s="21">
        <v>46095</v>
      </c>
      <c r="C204" s="21">
        <v>46111</v>
      </c>
      <c r="D204" s="50" t="s">
        <v>611</v>
      </c>
      <c r="E204" s="23">
        <v>46111</v>
      </c>
      <c r="F204" s="23" t="s">
        <v>7</v>
      </c>
      <c r="G204" s="24" t="s">
        <v>68</v>
      </c>
      <c r="H204" s="24" t="s">
        <v>69</v>
      </c>
      <c r="I204" s="24" t="s">
        <v>70</v>
      </c>
      <c r="J204" s="25" t="s">
        <v>612</v>
      </c>
      <c r="K204" s="45" t="str">
        <f t="shared" si="92"/>
        <v>WB39B2382</v>
      </c>
      <c r="L204" s="26">
        <v>46096</v>
      </c>
      <c r="M204" s="34" t="s">
        <v>1209</v>
      </c>
      <c r="N204" s="27" t="s">
        <v>1210</v>
      </c>
      <c r="O204" s="28">
        <v>0</v>
      </c>
      <c r="P204" s="27" t="s">
        <v>1211</v>
      </c>
      <c r="Q204" s="29">
        <v>2525364619</v>
      </c>
      <c r="R204" s="30">
        <v>2110811090</v>
      </c>
      <c r="S204" s="31" t="s">
        <v>73</v>
      </c>
      <c r="T204" s="24" t="s">
        <v>91</v>
      </c>
      <c r="U204" s="24" t="s">
        <v>75</v>
      </c>
      <c r="V204" s="32" t="s">
        <v>179</v>
      </c>
      <c r="W204" s="32" t="s">
        <v>492</v>
      </c>
      <c r="X204" s="32" t="s">
        <v>492</v>
      </c>
      <c r="Y204" s="24">
        <v>1047</v>
      </c>
      <c r="Z204" s="24">
        <v>10</v>
      </c>
      <c r="AA204" s="24">
        <f t="shared" si="93"/>
        <v>994.65000000000009</v>
      </c>
      <c r="AB204" s="24">
        <f t="shared" si="85"/>
        <v>10470</v>
      </c>
      <c r="AC204" s="24">
        <f t="shared" si="86"/>
        <v>9946.5</v>
      </c>
      <c r="AD204" s="24">
        <f t="shared" si="87"/>
        <v>9946.5</v>
      </c>
      <c r="AE204" s="24">
        <f t="shared" si="88"/>
        <v>523.5</v>
      </c>
      <c r="AF204" s="24">
        <f t="shared" si="84"/>
        <v>99.465000000000003</v>
      </c>
      <c r="AG204" s="31">
        <v>0</v>
      </c>
      <c r="AH204" s="24"/>
      <c r="AI204" s="24"/>
      <c r="AJ204" s="24"/>
      <c r="AK204" s="24"/>
      <c r="AL204" s="24"/>
      <c r="AM204" s="24">
        <v>0</v>
      </c>
      <c r="AN204" s="34" t="s">
        <v>213</v>
      </c>
      <c r="AO204" s="35"/>
      <c r="AP204" s="24"/>
      <c r="AQ204" s="36">
        <f t="shared" si="94"/>
        <v>0</v>
      </c>
      <c r="AR204" s="16">
        <v>0</v>
      </c>
      <c r="AS204" s="47">
        <f t="shared" si="95"/>
        <v>0</v>
      </c>
      <c r="AT204" s="31"/>
      <c r="AU204" s="47">
        <f t="shared" si="96"/>
        <v>0</v>
      </c>
      <c r="AV204" s="48">
        <v>91.99</v>
      </c>
      <c r="AW204" s="24">
        <f t="shared" si="89"/>
        <v>0</v>
      </c>
      <c r="AX204" s="24">
        <f t="shared" si="76"/>
        <v>0</v>
      </c>
      <c r="AY204" s="24"/>
      <c r="AZ204" s="24"/>
      <c r="BA204" s="24"/>
      <c r="BB204" s="24">
        <f t="shared" si="97"/>
        <v>0</v>
      </c>
      <c r="BC204" s="24">
        <f t="shared" si="98"/>
        <v>9847.0349999999999</v>
      </c>
      <c r="BD204" s="24"/>
      <c r="BE204" s="24"/>
      <c r="BF204" s="24"/>
      <c r="BG204" s="24">
        <f t="shared" si="101"/>
        <v>944.91750000000002</v>
      </c>
      <c r="BH204" s="24"/>
      <c r="BI204" s="24"/>
      <c r="BJ204" s="24">
        <f t="shared" si="99"/>
        <v>9.4491750000000003</v>
      </c>
      <c r="BK204" s="24">
        <f t="shared" si="100"/>
        <v>10782.503325</v>
      </c>
      <c r="BL204" s="24" t="s">
        <v>618</v>
      </c>
      <c r="BM204" s="42">
        <f t="shared" si="91"/>
        <v>2</v>
      </c>
      <c r="BN204" s="24" t="s">
        <v>83</v>
      </c>
      <c r="BO204" s="2" t="s">
        <v>175</v>
      </c>
    </row>
    <row r="205" spans="1:67" s="1" customFormat="1" ht="15" customHeight="1" x14ac:dyDescent="0.3">
      <c r="A205" s="20">
        <v>201</v>
      </c>
      <c r="B205" s="21">
        <v>46095</v>
      </c>
      <c r="C205" s="21">
        <v>46102</v>
      </c>
      <c r="D205" s="52" t="s">
        <v>1132</v>
      </c>
      <c r="E205" s="23">
        <v>46104</v>
      </c>
      <c r="F205" s="23" t="s">
        <v>7</v>
      </c>
      <c r="G205" s="24" t="s">
        <v>68</v>
      </c>
      <c r="H205" s="24" t="s">
        <v>69</v>
      </c>
      <c r="I205" s="24" t="s">
        <v>131</v>
      </c>
      <c r="J205" s="25" t="s">
        <v>132</v>
      </c>
      <c r="K205" s="45" t="str">
        <f t="shared" si="92"/>
        <v>WB29A8166</v>
      </c>
      <c r="L205" s="26">
        <v>46096</v>
      </c>
      <c r="M205" s="34" t="s">
        <v>1212</v>
      </c>
      <c r="N205" s="27" t="s">
        <v>1213</v>
      </c>
      <c r="O205" s="28">
        <v>0</v>
      </c>
      <c r="P205" s="27" t="s">
        <v>1214</v>
      </c>
      <c r="Q205" s="29">
        <v>2590198548</v>
      </c>
      <c r="R205" s="30">
        <v>2160376499</v>
      </c>
      <c r="S205" s="31" t="s">
        <v>73</v>
      </c>
      <c r="T205" s="24" t="s">
        <v>91</v>
      </c>
      <c r="U205" s="24" t="s">
        <v>347</v>
      </c>
      <c r="V205" s="32" t="s">
        <v>827</v>
      </c>
      <c r="W205" s="32" t="s">
        <v>349</v>
      </c>
      <c r="X205" s="32" t="s">
        <v>349</v>
      </c>
      <c r="Y205" s="24">
        <v>911</v>
      </c>
      <c r="Z205" s="24">
        <v>25</v>
      </c>
      <c r="AA205" s="24">
        <f t="shared" si="93"/>
        <v>865.44999999999993</v>
      </c>
      <c r="AB205" s="24">
        <f t="shared" si="85"/>
        <v>22775</v>
      </c>
      <c r="AC205" s="24">
        <f t="shared" si="86"/>
        <v>21636.25</v>
      </c>
      <c r="AD205" s="24">
        <f t="shared" si="87"/>
        <v>21636.25</v>
      </c>
      <c r="AE205" s="24">
        <f t="shared" si="88"/>
        <v>1138.75</v>
      </c>
      <c r="AF205" s="24">
        <v>0</v>
      </c>
      <c r="AG205" s="33">
        <v>5300</v>
      </c>
      <c r="AH205" s="24"/>
      <c r="AI205" s="24"/>
      <c r="AJ205" s="24"/>
      <c r="AK205" s="24"/>
      <c r="AL205" s="24"/>
      <c r="AM205" s="24" t="s">
        <v>79</v>
      </c>
      <c r="AN205" s="34" t="s">
        <v>1215</v>
      </c>
      <c r="AO205" s="35" t="s">
        <v>973</v>
      </c>
      <c r="AP205" s="24">
        <f>200*2</f>
        <v>400</v>
      </c>
      <c r="AQ205" s="36">
        <f t="shared" si="94"/>
        <v>123.07692307692308</v>
      </c>
      <c r="AR205" s="67">
        <v>125</v>
      </c>
      <c r="AS205" s="68">
        <f t="shared" si="95"/>
        <v>1.9230769230769198</v>
      </c>
      <c r="AT205" s="69"/>
      <c r="AU205" s="68">
        <f t="shared" si="96"/>
        <v>1.9230769230769198</v>
      </c>
      <c r="AV205" s="70">
        <v>91.99</v>
      </c>
      <c r="AW205" s="65">
        <f t="shared" si="89"/>
        <v>11498.75</v>
      </c>
      <c r="AX205" s="24">
        <f t="shared" si="76"/>
        <v>77.641689294586641</v>
      </c>
      <c r="AY205" s="24"/>
      <c r="AZ205" s="24"/>
      <c r="BA205" s="24"/>
      <c r="BB205" s="24">
        <f t="shared" si="97"/>
        <v>0</v>
      </c>
      <c r="BC205" s="24">
        <f t="shared" si="98"/>
        <v>4837.5</v>
      </c>
      <c r="BD205" s="24">
        <v>135</v>
      </c>
      <c r="BE205" s="24">
        <v>135</v>
      </c>
      <c r="BF205" s="24"/>
      <c r="BG205" s="24">
        <f>+AB205*9.5%</f>
        <v>2163.625</v>
      </c>
      <c r="BH205" s="24"/>
      <c r="BI205" s="24"/>
      <c r="BJ205" s="24">
        <f t="shared" si="99"/>
        <v>21.63625</v>
      </c>
      <c r="BK205" s="24">
        <f t="shared" si="100"/>
        <v>7249.4887500000004</v>
      </c>
      <c r="BL205" s="24" t="s">
        <v>138</v>
      </c>
      <c r="BM205" s="42">
        <f t="shared" si="91"/>
        <v>2</v>
      </c>
      <c r="BN205" s="24" t="s">
        <v>83</v>
      </c>
      <c r="BO205" s="2" t="s">
        <v>148</v>
      </c>
    </row>
    <row r="206" spans="1:67" s="1" customFormat="1" ht="15" customHeight="1" x14ac:dyDescent="0.3">
      <c r="A206" s="20">
        <v>202</v>
      </c>
      <c r="B206" s="21">
        <v>46095</v>
      </c>
      <c r="C206" s="21">
        <v>46102</v>
      </c>
      <c r="D206" s="52" t="s">
        <v>841</v>
      </c>
      <c r="E206" s="23">
        <v>46104</v>
      </c>
      <c r="F206" s="23" t="s">
        <v>7</v>
      </c>
      <c r="G206" s="24" t="s">
        <v>68</v>
      </c>
      <c r="H206" s="24" t="s">
        <v>69</v>
      </c>
      <c r="I206" s="24" t="s">
        <v>513</v>
      </c>
      <c r="J206" s="25" t="s">
        <v>514</v>
      </c>
      <c r="K206" s="45" t="str">
        <f t="shared" si="92"/>
        <v>WB67B3669</v>
      </c>
      <c r="L206" s="26">
        <v>46096</v>
      </c>
      <c r="M206" s="34" t="s">
        <v>1216</v>
      </c>
      <c r="N206" s="27" t="s">
        <v>1217</v>
      </c>
      <c r="O206" s="28">
        <v>0</v>
      </c>
      <c r="P206" s="27" t="s">
        <v>1218</v>
      </c>
      <c r="Q206" s="29">
        <v>2525364645</v>
      </c>
      <c r="R206" s="30">
        <v>2110811152</v>
      </c>
      <c r="S206" s="31" t="s">
        <v>73</v>
      </c>
      <c r="T206" s="24" t="s">
        <v>241</v>
      </c>
      <c r="U206" s="24" t="s">
        <v>75</v>
      </c>
      <c r="V206" s="32" t="s">
        <v>1219</v>
      </c>
      <c r="W206" s="32" t="s">
        <v>1220</v>
      </c>
      <c r="X206" s="32" t="s">
        <v>1220</v>
      </c>
      <c r="Y206" s="24">
        <v>1149</v>
      </c>
      <c r="Z206" s="24">
        <v>30</v>
      </c>
      <c r="AA206" s="24">
        <f t="shared" si="93"/>
        <v>1091.55</v>
      </c>
      <c r="AB206" s="24">
        <f t="shared" si="85"/>
        <v>34470</v>
      </c>
      <c r="AC206" s="24">
        <f t="shared" si="86"/>
        <v>32746.5</v>
      </c>
      <c r="AD206" s="24">
        <f t="shared" si="87"/>
        <v>32746.5</v>
      </c>
      <c r="AE206" s="24">
        <f t="shared" si="88"/>
        <v>1723.5</v>
      </c>
      <c r="AF206" s="24">
        <v>0</v>
      </c>
      <c r="AG206" s="33">
        <v>3500</v>
      </c>
      <c r="AH206" s="24"/>
      <c r="AI206" s="24"/>
      <c r="AJ206" s="24"/>
      <c r="AK206" s="24"/>
      <c r="AL206" s="24"/>
      <c r="AM206" s="24" t="s">
        <v>79</v>
      </c>
      <c r="AN206" s="34" t="s">
        <v>1221</v>
      </c>
      <c r="AO206" s="35" t="s">
        <v>973</v>
      </c>
      <c r="AP206" s="24">
        <f>273*2</f>
        <v>546</v>
      </c>
      <c r="AQ206" s="36">
        <f t="shared" si="94"/>
        <v>168</v>
      </c>
      <c r="AR206" s="67">
        <v>94</v>
      </c>
      <c r="AS206" s="68">
        <f t="shared" si="95"/>
        <v>-74</v>
      </c>
      <c r="AT206" s="69"/>
      <c r="AU206" s="68">
        <f t="shared" si="96"/>
        <v>-74</v>
      </c>
      <c r="AV206" s="70">
        <v>91.99</v>
      </c>
      <c r="AW206" s="65">
        <f t="shared" si="89"/>
        <v>8647.06</v>
      </c>
      <c r="AX206" s="24">
        <f t="shared" si="76"/>
        <v>37.094223810178185</v>
      </c>
      <c r="AY206" s="24"/>
      <c r="AZ206" s="24"/>
      <c r="BA206" s="24"/>
      <c r="BB206" s="24">
        <f t="shared" si="97"/>
        <v>0</v>
      </c>
      <c r="BC206" s="24">
        <f t="shared" si="98"/>
        <v>20599.440000000002</v>
      </c>
      <c r="BD206" s="24"/>
      <c r="BE206" s="24"/>
      <c r="BF206" s="24"/>
      <c r="BG206" s="24">
        <f>+AB206*9.5%</f>
        <v>3274.65</v>
      </c>
      <c r="BH206" s="24"/>
      <c r="BI206" s="24"/>
      <c r="BJ206" s="24">
        <f t="shared" si="99"/>
        <v>32.746500000000005</v>
      </c>
      <c r="BK206" s="24">
        <f t="shared" si="100"/>
        <v>23841.343500000003</v>
      </c>
      <c r="BL206" s="24" t="s">
        <v>173</v>
      </c>
      <c r="BM206" s="42">
        <f t="shared" si="91"/>
        <v>2</v>
      </c>
      <c r="BN206" s="24" t="s">
        <v>83</v>
      </c>
      <c r="BO206" s="2" t="s">
        <v>84</v>
      </c>
    </row>
    <row r="207" spans="1:67" s="1" customFormat="1" ht="15" customHeight="1" x14ac:dyDescent="0.3">
      <c r="A207" s="20">
        <v>203</v>
      </c>
      <c r="B207" s="21">
        <v>46095</v>
      </c>
      <c r="C207" s="21">
        <v>46102</v>
      </c>
      <c r="D207" s="50" t="s">
        <v>668</v>
      </c>
      <c r="E207" s="23">
        <v>46160</v>
      </c>
      <c r="F207" s="23" t="s">
        <v>7</v>
      </c>
      <c r="G207" s="24" t="s">
        <v>68</v>
      </c>
      <c r="H207" s="24" t="s">
        <v>69</v>
      </c>
      <c r="I207" s="24" t="s">
        <v>106</v>
      </c>
      <c r="J207" s="25" t="s">
        <v>107</v>
      </c>
      <c r="K207" s="45" t="str">
        <f t="shared" si="92"/>
        <v>WB57C7436</v>
      </c>
      <c r="L207" s="26">
        <v>46096</v>
      </c>
      <c r="M207" s="34" t="s">
        <v>1222</v>
      </c>
      <c r="N207" s="27" t="s">
        <v>1223</v>
      </c>
      <c r="O207" s="28">
        <v>0</v>
      </c>
      <c r="P207" s="27" t="s">
        <v>1224</v>
      </c>
      <c r="Q207" s="29">
        <v>2525364588</v>
      </c>
      <c r="R207" s="30">
        <v>2110810999</v>
      </c>
      <c r="S207" s="31" t="s">
        <v>73</v>
      </c>
      <c r="T207" s="24" t="s">
        <v>91</v>
      </c>
      <c r="U207" s="24" t="s">
        <v>75</v>
      </c>
      <c r="V207" s="32" t="s">
        <v>1029</v>
      </c>
      <c r="W207" s="32" t="s">
        <v>1030</v>
      </c>
      <c r="X207" s="32" t="s">
        <v>1225</v>
      </c>
      <c r="Y207" s="24">
        <v>874</v>
      </c>
      <c r="Z207" s="24">
        <v>25</v>
      </c>
      <c r="AA207" s="24">
        <f t="shared" si="93"/>
        <v>830.30000000000007</v>
      </c>
      <c r="AB207" s="24">
        <f t="shared" si="85"/>
        <v>21850</v>
      </c>
      <c r="AC207" s="24">
        <f t="shared" si="86"/>
        <v>20757.5</v>
      </c>
      <c r="AD207" s="24">
        <f t="shared" si="87"/>
        <v>20757.5</v>
      </c>
      <c r="AE207" s="24">
        <f t="shared" si="88"/>
        <v>1092.5</v>
      </c>
      <c r="AF207" s="24">
        <v>0</v>
      </c>
      <c r="AG207" s="33">
        <v>8000</v>
      </c>
      <c r="AH207" s="24"/>
      <c r="AI207" s="24"/>
      <c r="AJ207" s="24"/>
      <c r="AK207" s="24"/>
      <c r="AL207" s="24"/>
      <c r="AM207" s="24" t="s">
        <v>79</v>
      </c>
      <c r="AN207" s="34" t="s">
        <v>1226</v>
      </c>
      <c r="AO207" s="35" t="s">
        <v>973</v>
      </c>
      <c r="AP207" s="24">
        <f>177*2</f>
        <v>354</v>
      </c>
      <c r="AQ207" s="36">
        <f t="shared" si="94"/>
        <v>108.92307692307692</v>
      </c>
      <c r="AR207" s="67">
        <v>114</v>
      </c>
      <c r="AS207" s="68">
        <f t="shared" si="95"/>
        <v>5.0769230769230802</v>
      </c>
      <c r="AT207" s="69"/>
      <c r="AU207" s="68">
        <f t="shared" si="96"/>
        <v>5.0769230769230802</v>
      </c>
      <c r="AV207" s="70">
        <v>91.99</v>
      </c>
      <c r="AW207" s="65">
        <f t="shared" si="89"/>
        <v>10486.859999999999</v>
      </c>
      <c r="AX207" s="24">
        <f t="shared" si="76"/>
        <v>89.061110442008911</v>
      </c>
      <c r="AY207" s="24"/>
      <c r="AZ207" s="24"/>
      <c r="BA207" s="24"/>
      <c r="BB207" s="24">
        <f t="shared" si="97"/>
        <v>0</v>
      </c>
      <c r="BC207" s="24">
        <f t="shared" si="98"/>
        <v>2270.6400000000012</v>
      </c>
      <c r="BD207" s="24"/>
      <c r="BE207" s="24"/>
      <c r="BF207" s="24"/>
      <c r="BG207" s="24">
        <f>+AB207*9.5%</f>
        <v>2075.75</v>
      </c>
      <c r="BH207" s="24"/>
      <c r="BI207" s="24"/>
      <c r="BJ207" s="24">
        <f t="shared" si="99"/>
        <v>20.7575</v>
      </c>
      <c r="BK207" s="24">
        <f t="shared" si="100"/>
        <v>4325.6325000000015</v>
      </c>
      <c r="BL207" s="24" t="s">
        <v>110</v>
      </c>
      <c r="BM207" s="42">
        <f t="shared" si="91"/>
        <v>2</v>
      </c>
      <c r="BN207" s="24" t="s">
        <v>83</v>
      </c>
      <c r="BO207" s="2" t="s">
        <v>175</v>
      </c>
    </row>
    <row r="208" spans="1:67" s="1" customFormat="1" ht="15" customHeight="1" x14ac:dyDescent="0.3">
      <c r="A208" s="20">
        <v>204</v>
      </c>
      <c r="B208" s="21">
        <v>46095</v>
      </c>
      <c r="C208" s="21">
        <v>46102</v>
      </c>
      <c r="D208" s="62" t="s">
        <v>697</v>
      </c>
      <c r="E208" s="23">
        <v>46116</v>
      </c>
      <c r="F208" s="23" t="s">
        <v>7</v>
      </c>
      <c r="G208" s="24" t="s">
        <v>68</v>
      </c>
      <c r="H208" s="24" t="s">
        <v>69</v>
      </c>
      <c r="I208" s="24" t="s">
        <v>70</v>
      </c>
      <c r="J208" s="25" t="s">
        <v>71</v>
      </c>
      <c r="K208" s="45" t="str">
        <f t="shared" si="92"/>
        <v>WB39B0034</v>
      </c>
      <c r="L208" s="26">
        <v>46096</v>
      </c>
      <c r="M208" s="34" t="s">
        <v>1227</v>
      </c>
      <c r="N208" s="27" t="s">
        <v>1228</v>
      </c>
      <c r="O208" s="28">
        <v>0</v>
      </c>
      <c r="P208" s="27" t="s">
        <v>1229</v>
      </c>
      <c r="Q208" s="29">
        <v>2525364728</v>
      </c>
      <c r="R208" s="30">
        <v>2110811232</v>
      </c>
      <c r="S208" s="63" t="s">
        <v>73</v>
      </c>
      <c r="T208" s="24" t="s">
        <v>74</v>
      </c>
      <c r="U208" s="24" t="s">
        <v>75</v>
      </c>
      <c r="V208" s="32" t="s">
        <v>757</v>
      </c>
      <c r="W208" s="32" t="s">
        <v>276</v>
      </c>
      <c r="X208" s="32" t="s">
        <v>1230</v>
      </c>
      <c r="Y208" s="24">
        <v>832</v>
      </c>
      <c r="Z208" s="24">
        <v>10</v>
      </c>
      <c r="AA208" s="24">
        <f t="shared" si="93"/>
        <v>790.4</v>
      </c>
      <c r="AB208" s="24">
        <f t="shared" si="85"/>
        <v>8320</v>
      </c>
      <c r="AC208" s="24">
        <f t="shared" si="86"/>
        <v>7904</v>
      </c>
      <c r="AD208" s="24">
        <f t="shared" si="87"/>
        <v>7904</v>
      </c>
      <c r="AE208" s="24">
        <f t="shared" si="88"/>
        <v>416</v>
      </c>
      <c r="AF208" s="24">
        <f t="shared" si="84"/>
        <v>79.040000000000006</v>
      </c>
      <c r="AG208" s="33">
        <v>2900</v>
      </c>
      <c r="AH208" s="24"/>
      <c r="AI208" s="24"/>
      <c r="AJ208" s="24"/>
      <c r="AK208" s="24"/>
      <c r="AL208" s="24"/>
      <c r="AM208" s="24" t="s">
        <v>79</v>
      </c>
      <c r="AN208" s="34" t="s">
        <v>1231</v>
      </c>
      <c r="AO208" s="35" t="s">
        <v>973</v>
      </c>
      <c r="AP208" s="24">
        <f>177*2</f>
        <v>354</v>
      </c>
      <c r="AQ208" s="36">
        <f t="shared" si="94"/>
        <v>108.92307692307692</v>
      </c>
      <c r="AR208" s="67">
        <v>110</v>
      </c>
      <c r="AS208" s="47">
        <f t="shared" si="95"/>
        <v>1.0769230769230802</v>
      </c>
      <c r="AT208" s="31"/>
      <c r="AU208" s="47">
        <f t="shared" si="96"/>
        <v>1.0769230769230802</v>
      </c>
      <c r="AV208" s="70">
        <v>91.99</v>
      </c>
      <c r="AW208" s="65">
        <f t="shared" si="89"/>
        <v>10118.9</v>
      </c>
      <c r="AX208" s="24">
        <f t="shared" si="76"/>
        <v>164.7128036437247</v>
      </c>
      <c r="AY208" s="24">
        <v>120</v>
      </c>
      <c r="AZ208" s="24"/>
      <c r="BA208" s="24"/>
      <c r="BB208" s="24">
        <f t="shared" si="97"/>
        <v>0</v>
      </c>
      <c r="BC208" s="24">
        <f t="shared" si="98"/>
        <v>-5313.94</v>
      </c>
      <c r="BD208" s="24"/>
      <c r="BE208" s="24"/>
      <c r="BF208" s="24"/>
      <c r="BG208" s="24">
        <f t="shared" ref="BG208:BG209" si="102">+AD208*8.5%</f>
        <v>671.84</v>
      </c>
      <c r="BH208" s="24">
        <f t="shared" ref="BH208:BH209" si="103">+AD208*8.5%</f>
        <v>671.84</v>
      </c>
      <c r="BI208" s="24"/>
      <c r="BJ208" s="24">
        <f t="shared" si="99"/>
        <v>13.436800000000002</v>
      </c>
      <c r="BK208" s="24">
        <f t="shared" si="100"/>
        <v>-3983.6967999999993</v>
      </c>
      <c r="BL208" s="24" t="s">
        <v>82</v>
      </c>
      <c r="BM208" s="42">
        <f t="shared" si="91"/>
        <v>2</v>
      </c>
      <c r="BN208" s="24" t="s">
        <v>83</v>
      </c>
      <c r="BO208" s="2" t="s">
        <v>84</v>
      </c>
    </row>
    <row r="209" spans="1:67" s="1" customFormat="1" ht="15" customHeight="1" x14ac:dyDescent="0.3">
      <c r="A209" s="20">
        <v>205</v>
      </c>
      <c r="B209" s="21">
        <v>46095</v>
      </c>
      <c r="C209" s="21">
        <v>46102</v>
      </c>
      <c r="D209" s="62" t="s">
        <v>697</v>
      </c>
      <c r="E209" s="23">
        <v>46116</v>
      </c>
      <c r="F209" s="23" t="s">
        <v>7</v>
      </c>
      <c r="G209" s="24" t="s">
        <v>68</v>
      </c>
      <c r="H209" s="24" t="s">
        <v>69</v>
      </c>
      <c r="I209" s="24" t="s">
        <v>70</v>
      </c>
      <c r="J209" s="25" t="s">
        <v>71</v>
      </c>
      <c r="K209" s="45" t="str">
        <f t="shared" si="92"/>
        <v>WB39B0034</v>
      </c>
      <c r="L209" s="26">
        <v>46096</v>
      </c>
      <c r="M209" s="34" t="s">
        <v>1232</v>
      </c>
      <c r="N209" s="27" t="s">
        <v>1233</v>
      </c>
      <c r="O209" s="28">
        <v>0</v>
      </c>
      <c r="P209" s="27" t="s">
        <v>1234</v>
      </c>
      <c r="Q209" s="29">
        <v>2525364729</v>
      </c>
      <c r="R209" s="30">
        <v>2110811233</v>
      </c>
      <c r="S209" s="63" t="s">
        <v>73</v>
      </c>
      <c r="T209" s="24" t="s">
        <v>74</v>
      </c>
      <c r="U209" s="24" t="s">
        <v>75</v>
      </c>
      <c r="V209" s="32" t="s">
        <v>757</v>
      </c>
      <c r="W209" s="32" t="s">
        <v>276</v>
      </c>
      <c r="X209" s="32" t="s">
        <v>753</v>
      </c>
      <c r="Y209" s="24">
        <v>832</v>
      </c>
      <c r="Z209" s="24">
        <v>9</v>
      </c>
      <c r="AA209" s="24">
        <f t="shared" si="93"/>
        <v>790.4</v>
      </c>
      <c r="AB209" s="24">
        <f t="shared" si="85"/>
        <v>7488</v>
      </c>
      <c r="AC209" s="24">
        <f t="shared" si="86"/>
        <v>7113.5999999999995</v>
      </c>
      <c r="AD209" s="24">
        <f t="shared" si="87"/>
        <v>7113.5999999999995</v>
      </c>
      <c r="AE209" s="24">
        <f t="shared" si="88"/>
        <v>374.40000000000055</v>
      </c>
      <c r="AF209" s="24">
        <f t="shared" si="84"/>
        <v>71.135999999999996</v>
      </c>
      <c r="AG209" s="31">
        <v>0</v>
      </c>
      <c r="AH209" s="24"/>
      <c r="AI209" s="24"/>
      <c r="AJ209" s="24"/>
      <c r="AK209" s="24"/>
      <c r="AL209" s="24"/>
      <c r="AM209" s="24">
        <v>0</v>
      </c>
      <c r="AN209" s="34" t="s">
        <v>213</v>
      </c>
      <c r="AO209" s="35"/>
      <c r="AP209" s="24"/>
      <c r="AQ209" s="36">
        <f t="shared" si="94"/>
        <v>0</v>
      </c>
      <c r="AR209" s="16">
        <v>0</v>
      </c>
      <c r="AS209" s="47">
        <f t="shared" si="95"/>
        <v>0</v>
      </c>
      <c r="AT209" s="31"/>
      <c r="AU209" s="47">
        <f t="shared" si="96"/>
        <v>0</v>
      </c>
      <c r="AV209" s="48">
        <v>91.99</v>
      </c>
      <c r="AW209" s="24">
        <f t="shared" si="89"/>
        <v>0</v>
      </c>
      <c r="AX209" s="24">
        <f t="shared" si="76"/>
        <v>0</v>
      </c>
      <c r="AY209" s="24"/>
      <c r="AZ209" s="24"/>
      <c r="BA209" s="24"/>
      <c r="BB209" s="24">
        <f t="shared" si="97"/>
        <v>0</v>
      </c>
      <c r="BC209" s="24">
        <f t="shared" si="98"/>
        <v>7042.463999999999</v>
      </c>
      <c r="BD209" s="24"/>
      <c r="BE209" s="24"/>
      <c r="BF209" s="24"/>
      <c r="BG209" s="24">
        <f t="shared" si="102"/>
        <v>604.65599999999995</v>
      </c>
      <c r="BH209" s="24">
        <f t="shared" si="103"/>
        <v>604.65599999999995</v>
      </c>
      <c r="BI209" s="24"/>
      <c r="BJ209" s="24">
        <f t="shared" si="99"/>
        <v>12.093119999999999</v>
      </c>
      <c r="BK209" s="24">
        <f t="shared" si="100"/>
        <v>8239.6828799999985</v>
      </c>
      <c r="BL209" s="24" t="s">
        <v>82</v>
      </c>
      <c r="BM209" s="42">
        <f t="shared" si="91"/>
        <v>2</v>
      </c>
      <c r="BN209" s="24" t="s">
        <v>83</v>
      </c>
      <c r="BO209" s="2" t="s">
        <v>84</v>
      </c>
    </row>
    <row r="210" spans="1:67" s="1" customFormat="1" ht="15" customHeight="1" x14ac:dyDescent="0.3">
      <c r="A210" s="20">
        <v>206</v>
      </c>
      <c r="B210" s="21">
        <v>46095</v>
      </c>
      <c r="C210" s="21">
        <v>46102</v>
      </c>
      <c r="D210" s="52" t="s">
        <v>1132</v>
      </c>
      <c r="E210" s="23">
        <v>46104</v>
      </c>
      <c r="F210" s="23" t="s">
        <v>7</v>
      </c>
      <c r="G210" s="24" t="s">
        <v>68</v>
      </c>
      <c r="H210" s="24" t="s">
        <v>69</v>
      </c>
      <c r="I210" s="24" t="s">
        <v>70</v>
      </c>
      <c r="J210" s="25" t="s">
        <v>177</v>
      </c>
      <c r="K210" s="45" t="str">
        <f t="shared" si="92"/>
        <v>WB39B8916</v>
      </c>
      <c r="L210" s="26">
        <v>46096</v>
      </c>
      <c r="M210" s="34" t="s">
        <v>1235</v>
      </c>
      <c r="N210" s="27" t="s">
        <v>1236</v>
      </c>
      <c r="O210" s="28">
        <v>0</v>
      </c>
      <c r="P210" s="27" t="s">
        <v>1237</v>
      </c>
      <c r="Q210" s="29">
        <v>2590198583</v>
      </c>
      <c r="R210" s="30">
        <v>2160376546</v>
      </c>
      <c r="S210" s="31" t="s">
        <v>73</v>
      </c>
      <c r="T210" s="24" t="s">
        <v>91</v>
      </c>
      <c r="U210" s="24" t="s">
        <v>347</v>
      </c>
      <c r="V210" s="32" t="s">
        <v>616</v>
      </c>
      <c r="W210" s="32" t="s">
        <v>349</v>
      </c>
      <c r="X210" s="32" t="s">
        <v>349</v>
      </c>
      <c r="Y210" s="24">
        <v>934</v>
      </c>
      <c r="Z210" s="24">
        <v>25</v>
      </c>
      <c r="AA210" s="24">
        <f t="shared" si="93"/>
        <v>887.3</v>
      </c>
      <c r="AB210" s="24">
        <f t="shared" si="85"/>
        <v>23350</v>
      </c>
      <c r="AC210" s="24">
        <f t="shared" si="86"/>
        <v>22182.5</v>
      </c>
      <c r="AD210" s="24">
        <f t="shared" si="87"/>
        <v>22182.5</v>
      </c>
      <c r="AE210" s="24">
        <f t="shared" si="88"/>
        <v>1167.5</v>
      </c>
      <c r="AF210" s="24">
        <f t="shared" si="84"/>
        <v>221.82500000000002</v>
      </c>
      <c r="AG210" s="33">
        <v>3700</v>
      </c>
      <c r="AH210" s="24"/>
      <c r="AI210" s="24"/>
      <c r="AJ210" s="24"/>
      <c r="AK210" s="24"/>
      <c r="AL210" s="24"/>
      <c r="AM210" s="24" t="s">
        <v>79</v>
      </c>
      <c r="AN210" s="34" t="s">
        <v>1238</v>
      </c>
      <c r="AO210" s="35" t="s">
        <v>973</v>
      </c>
      <c r="AP210" s="24">
        <f>225*2</f>
        <v>450</v>
      </c>
      <c r="AQ210" s="36">
        <f t="shared" si="94"/>
        <v>138.46153846153845</v>
      </c>
      <c r="AR210" s="67">
        <v>140</v>
      </c>
      <c r="AS210" s="68">
        <f t="shared" si="95"/>
        <v>1.5384615384615472</v>
      </c>
      <c r="AT210" s="69"/>
      <c r="AU210" s="68">
        <f t="shared" si="96"/>
        <v>1.5384615384615472</v>
      </c>
      <c r="AV210" s="70">
        <v>91.99</v>
      </c>
      <c r="AW210" s="65">
        <f t="shared" si="89"/>
        <v>12878.599999999999</v>
      </c>
      <c r="AX210" s="24">
        <f t="shared" si="76"/>
        <v>74.737292911078541</v>
      </c>
      <c r="AY210" s="24"/>
      <c r="AZ210" s="24"/>
      <c r="BA210" s="24"/>
      <c r="BB210" s="24">
        <f t="shared" si="97"/>
        <v>0</v>
      </c>
      <c r="BC210" s="24">
        <f t="shared" si="98"/>
        <v>5382.0750000000007</v>
      </c>
      <c r="BD210" s="24"/>
      <c r="BE210" s="24"/>
      <c r="BF210" s="24"/>
      <c r="BG210" s="24">
        <f>+AD210*9.5%</f>
        <v>2107.3375000000001</v>
      </c>
      <c r="BH210" s="24"/>
      <c r="BI210" s="24"/>
      <c r="BJ210" s="24">
        <f t="shared" si="99"/>
        <v>21.073375000000002</v>
      </c>
      <c r="BK210" s="24">
        <f t="shared" si="100"/>
        <v>7468.3391250000004</v>
      </c>
      <c r="BL210" s="24" t="s">
        <v>182</v>
      </c>
      <c r="BM210" s="42">
        <f t="shared" si="91"/>
        <v>2</v>
      </c>
      <c r="BN210" s="24" t="s">
        <v>83</v>
      </c>
      <c r="BO210" s="2" t="s">
        <v>148</v>
      </c>
    </row>
    <row r="211" spans="1:67" s="1" customFormat="1" ht="15" customHeight="1" x14ac:dyDescent="0.3">
      <c r="A211" s="20">
        <v>207</v>
      </c>
      <c r="B211" s="21">
        <v>46095</v>
      </c>
      <c r="C211" s="21">
        <v>46102</v>
      </c>
      <c r="D211" s="52" t="s">
        <v>602</v>
      </c>
      <c r="E211" s="23">
        <v>46105</v>
      </c>
      <c r="F211" s="23" t="s">
        <v>7</v>
      </c>
      <c r="G211" s="24" t="s">
        <v>68</v>
      </c>
      <c r="H211" s="24" t="s">
        <v>69</v>
      </c>
      <c r="I211" s="24" t="s">
        <v>141</v>
      </c>
      <c r="J211" s="25" t="s">
        <v>142</v>
      </c>
      <c r="K211" s="45" t="str">
        <f t="shared" si="92"/>
        <v>WB41F2315</v>
      </c>
      <c r="L211" s="26">
        <v>46096</v>
      </c>
      <c r="M211" s="34" t="s">
        <v>1239</v>
      </c>
      <c r="N211" s="27" t="s">
        <v>1240</v>
      </c>
      <c r="O211" s="28">
        <v>0</v>
      </c>
      <c r="P211" s="27" t="s">
        <v>1241</v>
      </c>
      <c r="Q211" s="29">
        <v>2525364670</v>
      </c>
      <c r="R211" s="30">
        <v>2110811168</v>
      </c>
      <c r="S211" s="31" t="s">
        <v>73</v>
      </c>
      <c r="T211" s="24" t="s">
        <v>91</v>
      </c>
      <c r="U211" s="24" t="s">
        <v>75</v>
      </c>
      <c r="V211" s="32" t="s">
        <v>1242</v>
      </c>
      <c r="W211" s="32" t="s">
        <v>1243</v>
      </c>
      <c r="X211" s="32" t="s">
        <v>1244</v>
      </c>
      <c r="Y211" s="24">
        <v>1102</v>
      </c>
      <c r="Z211" s="24">
        <v>25</v>
      </c>
      <c r="AA211" s="24">
        <f t="shared" si="93"/>
        <v>1046.8999999999999</v>
      </c>
      <c r="AB211" s="24">
        <f t="shared" si="85"/>
        <v>27550</v>
      </c>
      <c r="AC211" s="24">
        <f t="shared" si="86"/>
        <v>26172.5</v>
      </c>
      <c r="AD211" s="24">
        <f t="shared" si="87"/>
        <v>26172.499999999996</v>
      </c>
      <c r="AE211" s="24">
        <f t="shared" si="88"/>
        <v>1377.5000000000036</v>
      </c>
      <c r="AF211" s="24">
        <v>0</v>
      </c>
      <c r="AG211" s="33">
        <v>7700</v>
      </c>
      <c r="AH211" s="24"/>
      <c r="AI211" s="24"/>
      <c r="AJ211" s="24"/>
      <c r="AK211" s="24"/>
      <c r="AL211" s="24"/>
      <c r="AM211" s="24" t="s">
        <v>79</v>
      </c>
      <c r="AN211" s="34" t="s">
        <v>1245</v>
      </c>
      <c r="AO211" s="35" t="s">
        <v>973</v>
      </c>
      <c r="AP211" s="24">
        <f>252*2</f>
        <v>504</v>
      </c>
      <c r="AQ211" s="36">
        <f t="shared" si="94"/>
        <v>155.07692307692307</v>
      </c>
      <c r="AR211" s="67">
        <v>170</v>
      </c>
      <c r="AS211" s="68">
        <f t="shared" si="95"/>
        <v>14.923076923076934</v>
      </c>
      <c r="AT211" s="69"/>
      <c r="AU211" s="68">
        <f t="shared" si="96"/>
        <v>14.923076923076934</v>
      </c>
      <c r="AV211" s="70">
        <v>91.99</v>
      </c>
      <c r="AW211" s="65">
        <f t="shared" si="89"/>
        <v>15638.3</v>
      </c>
      <c r="AX211" s="24">
        <f t="shared" si="76"/>
        <v>89.171076511605705</v>
      </c>
      <c r="AY211" s="24"/>
      <c r="AZ211" s="24"/>
      <c r="BA211" s="24"/>
      <c r="BB211" s="24">
        <f t="shared" si="97"/>
        <v>0</v>
      </c>
      <c r="BC211" s="24">
        <f t="shared" si="98"/>
        <v>2834.1999999999971</v>
      </c>
      <c r="BD211" s="24"/>
      <c r="BE211" s="24"/>
      <c r="BF211" s="24"/>
      <c r="BG211" s="24">
        <f>+AB211*9.5%</f>
        <v>2617.25</v>
      </c>
      <c r="BH211" s="24"/>
      <c r="BI211" s="24"/>
      <c r="BJ211" s="24">
        <f t="shared" si="99"/>
        <v>26.172499999999999</v>
      </c>
      <c r="BK211" s="24">
        <f t="shared" si="100"/>
        <v>5425.2774999999974</v>
      </c>
      <c r="BL211" s="24" t="s">
        <v>147</v>
      </c>
      <c r="BM211" s="42">
        <f t="shared" si="91"/>
        <v>2</v>
      </c>
      <c r="BN211" s="24" t="s">
        <v>83</v>
      </c>
      <c r="BO211" s="2" t="s">
        <v>84</v>
      </c>
    </row>
    <row r="212" spans="1:67" s="1" customFormat="1" ht="15" customHeight="1" x14ac:dyDescent="0.3">
      <c r="A212" s="20">
        <v>208</v>
      </c>
      <c r="B212" s="21">
        <v>46095</v>
      </c>
      <c r="C212" s="21">
        <v>46102</v>
      </c>
      <c r="D212" s="52" t="s">
        <v>1141</v>
      </c>
      <c r="E212" s="23">
        <v>46104</v>
      </c>
      <c r="F212" s="23" t="s">
        <v>7</v>
      </c>
      <c r="G212" s="24" t="s">
        <v>87</v>
      </c>
      <c r="H212" s="24" t="s">
        <v>69</v>
      </c>
      <c r="I212" s="24" t="s">
        <v>263</v>
      </c>
      <c r="J212" s="25" t="s">
        <v>264</v>
      </c>
      <c r="K212" s="45" t="str">
        <f t="shared" si="92"/>
        <v>WB41G1024</v>
      </c>
      <c r="L212" s="26">
        <v>46097</v>
      </c>
      <c r="M212" s="34" t="s">
        <v>1246</v>
      </c>
      <c r="N212" s="27" t="s">
        <v>1247</v>
      </c>
      <c r="O212" s="28">
        <v>0</v>
      </c>
      <c r="P212" s="27"/>
      <c r="Q212" s="29">
        <v>2590198783</v>
      </c>
      <c r="R212" s="30">
        <v>2160376278</v>
      </c>
      <c r="S212" s="31" t="s">
        <v>73</v>
      </c>
      <c r="T212" s="24" t="s">
        <v>91</v>
      </c>
      <c r="U212" s="24" t="s">
        <v>347</v>
      </c>
      <c r="V212" s="32" t="s">
        <v>827</v>
      </c>
      <c r="W212" s="32" t="s">
        <v>1144</v>
      </c>
      <c r="X212" s="32" t="s">
        <v>1144</v>
      </c>
      <c r="Y212" s="24">
        <v>911</v>
      </c>
      <c r="Z212" s="24">
        <v>25</v>
      </c>
      <c r="AA212" s="24">
        <f t="shared" si="93"/>
        <v>865.44999999999993</v>
      </c>
      <c r="AB212" s="24">
        <f t="shared" si="85"/>
        <v>22775</v>
      </c>
      <c r="AC212" s="24">
        <f t="shared" si="86"/>
        <v>21636.25</v>
      </c>
      <c r="AD212" s="24">
        <f t="shared" si="87"/>
        <v>21636.25</v>
      </c>
      <c r="AE212" s="24">
        <f t="shared" si="88"/>
        <v>1138.75</v>
      </c>
      <c r="AF212" s="24">
        <v>0</v>
      </c>
      <c r="AG212" s="33">
        <v>5100</v>
      </c>
      <c r="AH212" s="24"/>
      <c r="AI212" s="24"/>
      <c r="AJ212" s="24"/>
      <c r="AK212" s="24"/>
      <c r="AL212" s="24"/>
      <c r="AM212" s="24" t="s">
        <v>79</v>
      </c>
      <c r="AN212" s="34" t="s">
        <v>1248</v>
      </c>
      <c r="AO212" s="35" t="s">
        <v>973</v>
      </c>
      <c r="AP212" s="24">
        <f>200*2</f>
        <v>400</v>
      </c>
      <c r="AQ212" s="36">
        <f t="shared" si="94"/>
        <v>123.07692307692308</v>
      </c>
      <c r="AR212" s="67">
        <v>130</v>
      </c>
      <c r="AS212" s="68">
        <f t="shared" si="95"/>
        <v>6.9230769230769198</v>
      </c>
      <c r="AT212" s="69"/>
      <c r="AU212" s="68">
        <f t="shared" si="96"/>
        <v>6.9230769230769198</v>
      </c>
      <c r="AV212" s="70">
        <v>91.99</v>
      </c>
      <c r="AW212" s="65">
        <f t="shared" si="89"/>
        <v>11958.699999999999</v>
      </c>
      <c r="AX212" s="24">
        <f t="shared" si="76"/>
        <v>78.843145184586035</v>
      </c>
      <c r="AY212" s="24"/>
      <c r="AZ212" s="24"/>
      <c r="BA212" s="24"/>
      <c r="BB212" s="24">
        <f t="shared" si="97"/>
        <v>0</v>
      </c>
      <c r="BC212" s="24">
        <f t="shared" si="98"/>
        <v>4577.5500000000011</v>
      </c>
      <c r="BD212" s="24">
        <v>135</v>
      </c>
      <c r="BE212" s="24">
        <v>135</v>
      </c>
      <c r="BF212" s="24"/>
      <c r="BG212" s="24">
        <f>+AB212*9.5%</f>
        <v>2163.625</v>
      </c>
      <c r="BH212" s="24"/>
      <c r="BI212" s="24"/>
      <c r="BJ212" s="24">
        <f t="shared" si="99"/>
        <v>21.63625</v>
      </c>
      <c r="BK212" s="24">
        <f t="shared" si="100"/>
        <v>6989.5387500000015</v>
      </c>
      <c r="BL212" s="24" t="s">
        <v>96</v>
      </c>
      <c r="BM212" s="42">
        <f t="shared" si="91"/>
        <v>3</v>
      </c>
      <c r="BN212" s="24" t="s">
        <v>139</v>
      </c>
      <c r="BO212" s="2" t="s">
        <v>148</v>
      </c>
    </row>
    <row r="213" spans="1:67" s="1" customFormat="1" ht="15" customHeight="1" x14ac:dyDescent="0.3">
      <c r="A213" s="20">
        <v>209</v>
      </c>
      <c r="B213" s="21">
        <v>46095</v>
      </c>
      <c r="C213" s="21">
        <v>46102</v>
      </c>
      <c r="D213" s="52" t="s">
        <v>718</v>
      </c>
      <c r="E213" s="23">
        <v>46105</v>
      </c>
      <c r="F213" s="23" t="s">
        <v>7</v>
      </c>
      <c r="G213" s="24" t="s">
        <v>68</v>
      </c>
      <c r="H213" s="24" t="s">
        <v>69</v>
      </c>
      <c r="I213" s="24" t="s">
        <v>166</v>
      </c>
      <c r="J213" s="25" t="s">
        <v>360</v>
      </c>
      <c r="K213" s="45" t="str">
        <f t="shared" si="92"/>
        <v>WB41H6585</v>
      </c>
      <c r="L213" s="26">
        <v>46096</v>
      </c>
      <c r="M213" s="34" t="s">
        <v>1249</v>
      </c>
      <c r="N213" s="27" t="s">
        <v>1250</v>
      </c>
      <c r="O213" s="28">
        <v>0</v>
      </c>
      <c r="P213" s="27" t="s">
        <v>1251</v>
      </c>
      <c r="Q213" s="29">
        <v>2525364628</v>
      </c>
      <c r="R213" s="30">
        <v>2110811094</v>
      </c>
      <c r="S213" s="31" t="s">
        <v>73</v>
      </c>
      <c r="T213" s="24" t="s">
        <v>91</v>
      </c>
      <c r="U213" s="24" t="s">
        <v>75</v>
      </c>
      <c r="V213" s="32" t="s">
        <v>999</v>
      </c>
      <c r="W213" s="32" t="s">
        <v>838</v>
      </c>
      <c r="X213" s="32" t="s">
        <v>1252</v>
      </c>
      <c r="Y213" s="24">
        <v>1047</v>
      </c>
      <c r="Z213" s="24">
        <v>25</v>
      </c>
      <c r="AA213" s="24">
        <f t="shared" si="93"/>
        <v>994.65000000000009</v>
      </c>
      <c r="AB213" s="24">
        <f t="shared" si="85"/>
        <v>26175</v>
      </c>
      <c r="AC213" s="24">
        <f t="shared" si="86"/>
        <v>24866.25</v>
      </c>
      <c r="AD213" s="24">
        <f t="shared" si="87"/>
        <v>24866.250000000004</v>
      </c>
      <c r="AE213" s="24">
        <f t="shared" si="88"/>
        <v>1308.7499999999964</v>
      </c>
      <c r="AF213" s="24">
        <v>0</v>
      </c>
      <c r="AG213" s="33">
        <v>3900</v>
      </c>
      <c r="AH213" s="24"/>
      <c r="AI213" s="24"/>
      <c r="AJ213" s="24"/>
      <c r="AK213" s="24"/>
      <c r="AL213" s="24"/>
      <c r="AM213" s="24" t="s">
        <v>79</v>
      </c>
      <c r="AN213" s="34" t="s">
        <v>1253</v>
      </c>
      <c r="AO213" s="35" t="s">
        <v>973</v>
      </c>
      <c r="AP213" s="24">
        <f>240*2</f>
        <v>480</v>
      </c>
      <c r="AQ213" s="36">
        <f t="shared" si="94"/>
        <v>147.69230769230768</v>
      </c>
      <c r="AR213" s="67">
        <v>145</v>
      </c>
      <c r="AS213" s="68">
        <f t="shared" si="95"/>
        <v>-2.6923076923076792</v>
      </c>
      <c r="AT213" s="69"/>
      <c r="AU213" s="68">
        <f t="shared" si="96"/>
        <v>-2.6923076923076792</v>
      </c>
      <c r="AV213" s="70">
        <v>91.99</v>
      </c>
      <c r="AW213" s="65">
        <f t="shared" si="89"/>
        <v>13338.55</v>
      </c>
      <c r="AX213" s="24">
        <f t="shared" si="76"/>
        <v>69.325089227366405</v>
      </c>
      <c r="AY213" s="24"/>
      <c r="AZ213" s="24"/>
      <c r="BA213" s="24"/>
      <c r="BB213" s="24">
        <f t="shared" si="97"/>
        <v>0</v>
      </c>
      <c r="BC213" s="24">
        <f t="shared" si="98"/>
        <v>7627.7000000000044</v>
      </c>
      <c r="BD213" s="24"/>
      <c r="BE213" s="24"/>
      <c r="BF213" s="24"/>
      <c r="BG213" s="24">
        <f>+AB213*9.5%</f>
        <v>2486.625</v>
      </c>
      <c r="BH213" s="24"/>
      <c r="BI213" s="24"/>
      <c r="BJ213" s="24">
        <f t="shared" si="99"/>
        <v>24.866250000000001</v>
      </c>
      <c r="BK213" s="24">
        <f t="shared" si="100"/>
        <v>10089.458750000005</v>
      </c>
      <c r="BL213" s="24" t="s">
        <v>365</v>
      </c>
      <c r="BM213" s="42">
        <f t="shared" si="91"/>
        <v>2</v>
      </c>
      <c r="BN213" s="24" t="s">
        <v>83</v>
      </c>
      <c r="BO213" s="2" t="s">
        <v>84</v>
      </c>
    </row>
    <row r="214" spans="1:67" s="1" customFormat="1" ht="15" customHeight="1" x14ac:dyDescent="0.3">
      <c r="A214" s="20">
        <v>210</v>
      </c>
      <c r="B214" s="21">
        <v>46095</v>
      </c>
      <c r="C214" s="21">
        <v>46102</v>
      </c>
      <c r="D214" s="52" t="s">
        <v>254</v>
      </c>
      <c r="E214" s="23">
        <v>46104</v>
      </c>
      <c r="F214" s="23" t="s">
        <v>7</v>
      </c>
      <c r="G214" s="24" t="s">
        <v>68</v>
      </c>
      <c r="H214" s="24" t="s">
        <v>69</v>
      </c>
      <c r="I214" s="24" t="s">
        <v>381</v>
      </c>
      <c r="J214" s="25" t="s">
        <v>382</v>
      </c>
      <c r="K214" s="45" t="str">
        <f t="shared" si="92"/>
        <v>WB41K2967</v>
      </c>
      <c r="L214" s="26">
        <v>46097</v>
      </c>
      <c r="M214" s="34" t="s">
        <v>1254</v>
      </c>
      <c r="N214" s="27" t="s">
        <v>1255</v>
      </c>
      <c r="O214" s="28">
        <v>0</v>
      </c>
      <c r="P214" s="27" t="s">
        <v>1256</v>
      </c>
      <c r="Q214" s="29">
        <v>2525365038</v>
      </c>
      <c r="R214" s="30">
        <v>2110811811</v>
      </c>
      <c r="S214" s="31" t="s">
        <v>73</v>
      </c>
      <c r="T214" s="24" t="s">
        <v>241</v>
      </c>
      <c r="U214" s="24" t="s">
        <v>75</v>
      </c>
      <c r="V214" s="32" t="s">
        <v>504</v>
      </c>
      <c r="W214" s="32" t="s">
        <v>505</v>
      </c>
      <c r="X214" s="32" t="s">
        <v>505</v>
      </c>
      <c r="Y214" s="24">
        <v>1385</v>
      </c>
      <c r="Z214" s="24">
        <v>30</v>
      </c>
      <c r="AA214" s="24">
        <f t="shared" si="93"/>
        <v>1315.75</v>
      </c>
      <c r="AB214" s="24">
        <f t="shared" si="85"/>
        <v>41550</v>
      </c>
      <c r="AC214" s="24">
        <f t="shared" si="86"/>
        <v>39472.5</v>
      </c>
      <c r="AD214" s="24">
        <f t="shared" si="87"/>
        <v>39472.5</v>
      </c>
      <c r="AE214" s="24">
        <f t="shared" si="88"/>
        <v>2077.5</v>
      </c>
      <c r="AF214" s="24">
        <f t="shared" si="84"/>
        <v>394.72500000000002</v>
      </c>
      <c r="AG214" s="33">
        <v>4000</v>
      </c>
      <c r="AH214" s="24"/>
      <c r="AI214" s="24"/>
      <c r="AJ214" s="24"/>
      <c r="AK214" s="24"/>
      <c r="AL214" s="24"/>
      <c r="AM214" s="24" t="s">
        <v>79</v>
      </c>
      <c r="AN214" s="34" t="s">
        <v>1257</v>
      </c>
      <c r="AO214" s="35" t="s">
        <v>973</v>
      </c>
      <c r="AP214" s="24">
        <f>337*2</f>
        <v>674</v>
      </c>
      <c r="AQ214" s="36">
        <f t="shared" si="94"/>
        <v>207.38461538461539</v>
      </c>
      <c r="AR214" s="67">
        <v>230</v>
      </c>
      <c r="AS214" s="68">
        <f t="shared" si="95"/>
        <v>22.615384615384613</v>
      </c>
      <c r="AT214" s="69"/>
      <c r="AU214" s="68">
        <f t="shared" si="96"/>
        <v>22.615384615384613</v>
      </c>
      <c r="AV214" s="70">
        <v>91.88</v>
      </c>
      <c r="AW214" s="65">
        <f t="shared" si="89"/>
        <v>21132.399999999998</v>
      </c>
      <c r="AX214" s="24">
        <f t="shared" si="76"/>
        <v>63.670656786370252</v>
      </c>
      <c r="AY214" s="24"/>
      <c r="AZ214" s="24"/>
      <c r="BA214" s="24"/>
      <c r="BB214" s="24">
        <f t="shared" si="97"/>
        <v>0</v>
      </c>
      <c r="BC214" s="24">
        <f t="shared" si="98"/>
        <v>13945.375000000004</v>
      </c>
      <c r="BD214" s="24"/>
      <c r="BE214" s="24"/>
      <c r="BF214" s="24"/>
      <c r="BG214" s="24">
        <f>+AB214*9.5%</f>
        <v>3947.25</v>
      </c>
      <c r="BH214" s="24"/>
      <c r="BI214" s="24"/>
      <c r="BJ214" s="24">
        <f t="shared" si="99"/>
        <v>39.472500000000004</v>
      </c>
      <c r="BK214" s="24">
        <f t="shared" si="100"/>
        <v>17853.152500000004</v>
      </c>
      <c r="BL214" s="24" t="s">
        <v>261</v>
      </c>
      <c r="BM214" s="42">
        <f t="shared" si="91"/>
        <v>3</v>
      </c>
      <c r="BN214" s="24" t="s">
        <v>139</v>
      </c>
      <c r="BO214" s="2" t="s">
        <v>175</v>
      </c>
    </row>
    <row r="215" spans="1:67" s="1" customFormat="1" ht="15" customHeight="1" x14ac:dyDescent="0.3">
      <c r="A215" s="20">
        <v>211</v>
      </c>
      <c r="B215" s="21">
        <v>46095</v>
      </c>
      <c r="C215" s="21">
        <v>46102</v>
      </c>
      <c r="D215" s="52" t="s">
        <v>1062</v>
      </c>
      <c r="E215" s="23">
        <v>46104</v>
      </c>
      <c r="F215" s="23" t="s">
        <v>7</v>
      </c>
      <c r="G215" s="24" t="s">
        <v>87</v>
      </c>
      <c r="H215" s="24" t="s">
        <v>69</v>
      </c>
      <c r="I215" s="24" t="s">
        <v>70</v>
      </c>
      <c r="J215" s="25" t="s">
        <v>630</v>
      </c>
      <c r="K215" s="45" t="str">
        <f t="shared" si="92"/>
        <v>WB39B8879</v>
      </c>
      <c r="L215" s="26">
        <v>46096</v>
      </c>
      <c r="M215" s="34" t="s">
        <v>1258</v>
      </c>
      <c r="N215" s="27" t="s">
        <v>1259</v>
      </c>
      <c r="O215" s="28">
        <v>0</v>
      </c>
      <c r="P215" s="27"/>
      <c r="Q215" s="29">
        <v>2525365251</v>
      </c>
      <c r="R215" s="30">
        <v>2110811040</v>
      </c>
      <c r="S215" s="31" t="s">
        <v>73</v>
      </c>
      <c r="T215" s="24" t="s">
        <v>91</v>
      </c>
      <c r="U215" s="24" t="s">
        <v>75</v>
      </c>
      <c r="V215" s="32" t="s">
        <v>1260</v>
      </c>
      <c r="W215" s="32" t="s">
        <v>1261</v>
      </c>
      <c r="X215" s="32" t="s">
        <v>1262</v>
      </c>
      <c r="Y215" s="24">
        <v>410</v>
      </c>
      <c r="Z215" s="24">
        <v>25</v>
      </c>
      <c r="AA215" s="24">
        <f t="shared" si="93"/>
        <v>389.49999999999994</v>
      </c>
      <c r="AB215" s="24">
        <f t="shared" si="85"/>
        <v>10250</v>
      </c>
      <c r="AC215" s="24">
        <f t="shared" si="86"/>
        <v>9737.5</v>
      </c>
      <c r="AD215" s="24">
        <f t="shared" si="87"/>
        <v>9737.4999999999982</v>
      </c>
      <c r="AE215" s="24">
        <f t="shared" si="88"/>
        <v>512.50000000000182</v>
      </c>
      <c r="AF215" s="24">
        <f t="shared" si="84"/>
        <v>97.374999999999986</v>
      </c>
      <c r="AG215" s="33">
        <v>3800</v>
      </c>
      <c r="AH215" s="24"/>
      <c r="AI215" s="24"/>
      <c r="AJ215" s="24"/>
      <c r="AK215" s="24"/>
      <c r="AL215" s="24"/>
      <c r="AM215" s="24" t="s">
        <v>79</v>
      </c>
      <c r="AN215" s="34" t="s">
        <v>1263</v>
      </c>
      <c r="AO215" s="35" t="s">
        <v>973</v>
      </c>
      <c r="AP215" s="24">
        <f>70*2</f>
        <v>140</v>
      </c>
      <c r="AQ215" s="36">
        <f t="shared" si="94"/>
        <v>43.07692307692308</v>
      </c>
      <c r="AR215" s="67">
        <v>45</v>
      </c>
      <c r="AS215" s="68">
        <f t="shared" si="95"/>
        <v>1.9230769230769198</v>
      </c>
      <c r="AT215" s="69"/>
      <c r="AU215" s="68">
        <f t="shared" si="96"/>
        <v>1.9230769230769198</v>
      </c>
      <c r="AV215" s="70">
        <v>91.99</v>
      </c>
      <c r="AW215" s="65">
        <f t="shared" si="89"/>
        <v>4139.55</v>
      </c>
      <c r="AX215" s="24">
        <f t="shared" ref="AX215:AX278" si="104">((AG215+AW215)/AD215)*100</f>
        <v>81.535815147625186</v>
      </c>
      <c r="AY215" s="24"/>
      <c r="AZ215" s="24"/>
      <c r="BA215" s="24"/>
      <c r="BB215" s="24">
        <f t="shared" si="97"/>
        <v>0</v>
      </c>
      <c r="BC215" s="24">
        <f t="shared" si="98"/>
        <v>1700.574999999998</v>
      </c>
      <c r="BD215" s="24"/>
      <c r="BE215" s="24"/>
      <c r="BF215" s="24">
        <v>750</v>
      </c>
      <c r="BG215" s="24">
        <f>+AD215*9.5%</f>
        <v>925.06249999999989</v>
      </c>
      <c r="BH215" s="24"/>
      <c r="BI215" s="24"/>
      <c r="BJ215" s="24">
        <f t="shared" si="99"/>
        <v>16.750624999999999</v>
      </c>
      <c r="BK215" s="24">
        <f t="shared" si="100"/>
        <v>3358.8868749999979</v>
      </c>
      <c r="BL215" s="24" t="s">
        <v>638</v>
      </c>
      <c r="BM215" s="42">
        <f t="shared" si="91"/>
        <v>2</v>
      </c>
      <c r="BN215" s="24" t="s">
        <v>83</v>
      </c>
      <c r="BO215" s="2" t="s">
        <v>84</v>
      </c>
    </row>
    <row r="216" spans="1:67" s="1" customFormat="1" ht="15" customHeight="1" x14ac:dyDescent="0.3">
      <c r="A216" s="20">
        <v>212</v>
      </c>
      <c r="B216" s="21">
        <v>46095</v>
      </c>
      <c r="C216" s="71">
        <v>46104</v>
      </c>
      <c r="D216" s="52" t="s">
        <v>1264</v>
      </c>
      <c r="E216" s="23">
        <v>46104</v>
      </c>
      <c r="F216" s="23" t="s">
        <v>7</v>
      </c>
      <c r="G216" s="24" t="s">
        <v>87</v>
      </c>
      <c r="H216" s="24" t="s">
        <v>69</v>
      </c>
      <c r="I216" s="24" t="s">
        <v>389</v>
      </c>
      <c r="J216" s="25" t="s">
        <v>390</v>
      </c>
      <c r="K216" s="45" t="str">
        <f t="shared" si="92"/>
        <v>WB39G6846</v>
      </c>
      <c r="L216" s="26">
        <v>46097</v>
      </c>
      <c r="M216" s="34" t="s">
        <v>1265</v>
      </c>
      <c r="N216" s="27" t="s">
        <v>1266</v>
      </c>
      <c r="O216" s="28">
        <v>0</v>
      </c>
      <c r="P216" s="27"/>
      <c r="Q216" s="29">
        <v>2590198965</v>
      </c>
      <c r="R216" s="30">
        <v>2160376733</v>
      </c>
      <c r="S216" s="31" t="s">
        <v>73</v>
      </c>
      <c r="T216" s="24" t="s">
        <v>91</v>
      </c>
      <c r="U216" s="24" t="s">
        <v>347</v>
      </c>
      <c r="V216" s="32" t="s">
        <v>1004</v>
      </c>
      <c r="W216" s="32" t="s">
        <v>1144</v>
      </c>
      <c r="X216" s="32"/>
      <c r="Y216" s="24">
        <v>778</v>
      </c>
      <c r="Z216" s="24">
        <v>25</v>
      </c>
      <c r="AA216" s="24">
        <f t="shared" si="93"/>
        <v>739.1</v>
      </c>
      <c r="AB216" s="24">
        <f t="shared" si="85"/>
        <v>19450</v>
      </c>
      <c r="AC216" s="24">
        <f t="shared" si="86"/>
        <v>18477.5</v>
      </c>
      <c r="AD216" s="24">
        <f t="shared" si="87"/>
        <v>18477.5</v>
      </c>
      <c r="AE216" s="24">
        <f t="shared" si="88"/>
        <v>972.5</v>
      </c>
      <c r="AF216" s="24">
        <v>0</v>
      </c>
      <c r="AG216" s="33">
        <v>3800</v>
      </c>
      <c r="AH216" s="24"/>
      <c r="AI216" s="24"/>
      <c r="AJ216" s="24"/>
      <c r="AK216" s="24"/>
      <c r="AL216" s="24"/>
      <c r="AM216" s="24" t="s">
        <v>79</v>
      </c>
      <c r="AN216" s="34" t="s">
        <v>1267</v>
      </c>
      <c r="AO216" s="35" t="s">
        <v>973</v>
      </c>
      <c r="AP216" s="24">
        <f>178*2</f>
        <v>356</v>
      </c>
      <c r="AQ216" s="36">
        <f t="shared" si="94"/>
        <v>109.53846153846153</v>
      </c>
      <c r="AR216" s="67">
        <v>116</v>
      </c>
      <c r="AS216" s="68">
        <f t="shared" si="95"/>
        <v>6.461538461538467</v>
      </c>
      <c r="AT216" s="69"/>
      <c r="AU216" s="68">
        <f t="shared" si="96"/>
        <v>6.461538461538467</v>
      </c>
      <c r="AV216" s="70">
        <v>91.99</v>
      </c>
      <c r="AW216" s="65">
        <f t="shared" si="89"/>
        <v>10670.84</v>
      </c>
      <c r="AX216" s="24">
        <f t="shared" si="104"/>
        <v>78.316005953186306</v>
      </c>
      <c r="AY216" s="24"/>
      <c r="AZ216" s="24"/>
      <c r="BA216" s="24"/>
      <c r="BB216" s="24">
        <f t="shared" si="97"/>
        <v>0</v>
      </c>
      <c r="BC216" s="24">
        <f t="shared" si="98"/>
        <v>4006.66</v>
      </c>
      <c r="BD216" s="24">
        <v>120</v>
      </c>
      <c r="BE216" s="24">
        <v>120</v>
      </c>
      <c r="BF216" s="24"/>
      <c r="BG216" s="24">
        <v>0</v>
      </c>
      <c r="BH216" s="24"/>
      <c r="BI216" s="24"/>
      <c r="BJ216" s="24">
        <f t="shared" si="99"/>
        <v>0</v>
      </c>
      <c r="BK216" s="24">
        <f t="shared" si="100"/>
        <v>4246.66</v>
      </c>
      <c r="BL216" s="24" t="s">
        <v>116</v>
      </c>
      <c r="BM216" s="42">
        <f t="shared" si="91"/>
        <v>3</v>
      </c>
      <c r="BN216" s="24" t="s">
        <v>139</v>
      </c>
      <c r="BO216" s="2" t="s">
        <v>148</v>
      </c>
    </row>
    <row r="217" spans="1:67" s="1" customFormat="1" ht="15" customHeight="1" x14ac:dyDescent="0.3">
      <c r="A217" s="20">
        <v>213</v>
      </c>
      <c r="B217" s="21">
        <v>46095</v>
      </c>
      <c r="C217" s="21">
        <v>46102</v>
      </c>
      <c r="D217" s="52" t="s">
        <v>351</v>
      </c>
      <c r="E217" s="23">
        <v>46104</v>
      </c>
      <c r="F217" s="23" t="s">
        <v>7</v>
      </c>
      <c r="G217" s="24" t="s">
        <v>68</v>
      </c>
      <c r="H217" s="24" t="s">
        <v>69</v>
      </c>
      <c r="I217" s="24" t="s">
        <v>112</v>
      </c>
      <c r="J217" s="25" t="s">
        <v>157</v>
      </c>
      <c r="K217" s="45" t="str">
        <f t="shared" si="92"/>
        <v>WB39A6898</v>
      </c>
      <c r="L217" s="26">
        <v>46096</v>
      </c>
      <c r="M217" s="34" t="s">
        <v>1268</v>
      </c>
      <c r="N217" s="27" t="s">
        <v>1269</v>
      </c>
      <c r="O217" s="28">
        <v>0</v>
      </c>
      <c r="P217" s="27" t="s">
        <v>1270</v>
      </c>
      <c r="Q217" s="29">
        <v>2525365890</v>
      </c>
      <c r="R217" s="30">
        <v>2110812412</v>
      </c>
      <c r="S217" s="31" t="s">
        <v>73</v>
      </c>
      <c r="T217" s="24" t="s">
        <v>74</v>
      </c>
      <c r="U217" s="24" t="s">
        <v>75</v>
      </c>
      <c r="V217" s="32" t="s">
        <v>1271</v>
      </c>
      <c r="W217" s="32" t="s">
        <v>1272</v>
      </c>
      <c r="X217" s="32" t="s">
        <v>1272</v>
      </c>
      <c r="Y217" s="24">
        <v>590</v>
      </c>
      <c r="Z217" s="24">
        <v>19</v>
      </c>
      <c r="AA217" s="24">
        <f t="shared" si="93"/>
        <v>560.5</v>
      </c>
      <c r="AB217" s="24">
        <f t="shared" si="85"/>
        <v>11210</v>
      </c>
      <c r="AC217" s="24">
        <f t="shared" si="86"/>
        <v>10649.5</v>
      </c>
      <c r="AD217" s="24">
        <f t="shared" si="87"/>
        <v>10649.5</v>
      </c>
      <c r="AE217" s="24">
        <f t="shared" si="88"/>
        <v>560.5</v>
      </c>
      <c r="AF217" s="24">
        <f t="shared" si="84"/>
        <v>106.495</v>
      </c>
      <c r="AG217" s="33">
        <v>3500</v>
      </c>
      <c r="AH217" s="24"/>
      <c r="AI217" s="24"/>
      <c r="AJ217" s="24"/>
      <c r="AK217" s="24"/>
      <c r="AL217" s="24"/>
      <c r="AM217" s="24" t="s">
        <v>79</v>
      </c>
      <c r="AN217" s="34" t="s">
        <v>1273</v>
      </c>
      <c r="AO217" s="35" t="s">
        <v>973</v>
      </c>
      <c r="AP217" s="24">
        <f>96*2</f>
        <v>192</v>
      </c>
      <c r="AQ217" s="36">
        <f t="shared" si="94"/>
        <v>59.07692307692308</v>
      </c>
      <c r="AR217" s="67">
        <f>10+45</f>
        <v>55</v>
      </c>
      <c r="AS217" s="68">
        <f t="shared" si="95"/>
        <v>-4.0769230769230802</v>
      </c>
      <c r="AT217" s="69"/>
      <c r="AU217" s="68">
        <f t="shared" si="96"/>
        <v>-4.0769230769230802</v>
      </c>
      <c r="AV217" s="70">
        <v>91.99</v>
      </c>
      <c r="AW217" s="65">
        <f>920+4135</f>
        <v>5055</v>
      </c>
      <c r="AX217" s="24">
        <f t="shared" si="104"/>
        <v>80.332409972299175</v>
      </c>
      <c r="AY217" s="24"/>
      <c r="AZ217" s="24"/>
      <c r="BA217" s="24"/>
      <c r="BB217" s="24">
        <f t="shared" si="97"/>
        <v>0</v>
      </c>
      <c r="BC217" s="24">
        <f t="shared" si="98"/>
        <v>1988.0049999999992</v>
      </c>
      <c r="BD217" s="24"/>
      <c r="BE217" s="24"/>
      <c r="BF217" s="24"/>
      <c r="BG217" s="24">
        <f>+AD217*8.5%</f>
        <v>905.2075000000001</v>
      </c>
      <c r="BH217" s="24">
        <f>+AD217*8.5%</f>
        <v>905.2075000000001</v>
      </c>
      <c r="BI217" s="24"/>
      <c r="BJ217" s="24">
        <f t="shared" si="99"/>
        <v>18.104150000000001</v>
      </c>
      <c r="BK217" s="24">
        <f t="shared" si="100"/>
        <v>3780.315849999999</v>
      </c>
      <c r="BL217" s="24" t="s">
        <v>163</v>
      </c>
      <c r="BM217" s="42">
        <f t="shared" si="91"/>
        <v>2</v>
      </c>
      <c r="BN217" s="24" t="s">
        <v>83</v>
      </c>
      <c r="BO217" s="2" t="s">
        <v>148</v>
      </c>
    </row>
    <row r="218" spans="1:67" s="1" customFormat="1" ht="15" customHeight="1" x14ac:dyDescent="0.3">
      <c r="A218" s="20">
        <v>214</v>
      </c>
      <c r="B218" s="21">
        <v>46095</v>
      </c>
      <c r="C218" s="21">
        <v>46102</v>
      </c>
      <c r="D218" s="52" t="s">
        <v>351</v>
      </c>
      <c r="E218" s="23">
        <v>46104</v>
      </c>
      <c r="F218" s="23" t="s">
        <v>7</v>
      </c>
      <c r="G218" s="24" t="s">
        <v>68</v>
      </c>
      <c r="H218" s="24" t="s">
        <v>69</v>
      </c>
      <c r="I218" s="24" t="s">
        <v>117</v>
      </c>
      <c r="J218" s="25" t="s">
        <v>118</v>
      </c>
      <c r="K218" s="45" t="str">
        <f t="shared" si="92"/>
        <v>WB37E6348</v>
      </c>
      <c r="L218" s="26">
        <v>46097</v>
      </c>
      <c r="M218" s="34" t="s">
        <v>1274</v>
      </c>
      <c r="N218" s="27" t="s">
        <v>1275</v>
      </c>
      <c r="O218" s="28">
        <v>0</v>
      </c>
      <c r="P218" s="27" t="s">
        <v>1276</v>
      </c>
      <c r="Q218" s="29">
        <v>2525366129</v>
      </c>
      <c r="R218" s="30">
        <v>2110812567</v>
      </c>
      <c r="S218" s="31" t="s">
        <v>73</v>
      </c>
      <c r="T218" s="24" t="s">
        <v>91</v>
      </c>
      <c r="U218" s="24" t="s">
        <v>75</v>
      </c>
      <c r="V218" s="32" t="s">
        <v>622</v>
      </c>
      <c r="W218" s="32" t="s">
        <v>251</v>
      </c>
      <c r="X218" s="32" t="s">
        <v>251</v>
      </c>
      <c r="Y218" s="24">
        <v>961</v>
      </c>
      <c r="Z218" s="24">
        <v>25</v>
      </c>
      <c r="AA218" s="24">
        <f t="shared" si="93"/>
        <v>912.94999999999993</v>
      </c>
      <c r="AB218" s="24">
        <f t="shared" si="85"/>
        <v>24025</v>
      </c>
      <c r="AC218" s="24">
        <f t="shared" si="86"/>
        <v>22823.75</v>
      </c>
      <c r="AD218" s="24">
        <f t="shared" si="87"/>
        <v>22823.75</v>
      </c>
      <c r="AE218" s="24">
        <f t="shared" si="88"/>
        <v>1201.25</v>
      </c>
      <c r="AF218" s="24">
        <v>0</v>
      </c>
      <c r="AG218" s="33">
        <v>3800</v>
      </c>
      <c r="AH218" s="24"/>
      <c r="AI218" s="24"/>
      <c r="AJ218" s="24"/>
      <c r="AK218" s="24"/>
      <c r="AL218" s="24"/>
      <c r="AM218" s="24" t="s">
        <v>79</v>
      </c>
      <c r="AN218" s="34" t="s">
        <v>1277</v>
      </c>
      <c r="AO218" s="35" t="s">
        <v>973</v>
      </c>
      <c r="AP218" s="24">
        <f>213*2</f>
        <v>426</v>
      </c>
      <c r="AQ218" s="36">
        <f t="shared" si="94"/>
        <v>131.07692307692307</v>
      </c>
      <c r="AR218" s="67">
        <v>128</v>
      </c>
      <c r="AS218" s="68">
        <f t="shared" si="95"/>
        <v>-3.076923076923066</v>
      </c>
      <c r="AT218" s="69"/>
      <c r="AU218" s="68">
        <f t="shared" si="96"/>
        <v>-3.076923076923066</v>
      </c>
      <c r="AV218" s="70">
        <v>91.99</v>
      </c>
      <c r="AW218" s="65">
        <f t="shared" si="89"/>
        <v>11774.72</v>
      </c>
      <c r="AX218" s="24">
        <f t="shared" si="104"/>
        <v>68.239093050002737</v>
      </c>
      <c r="AY218" s="24"/>
      <c r="AZ218" s="24"/>
      <c r="BA218" s="24"/>
      <c r="BB218" s="24">
        <f t="shared" si="97"/>
        <v>0</v>
      </c>
      <c r="BC218" s="24">
        <f t="shared" si="98"/>
        <v>7249.0300000000007</v>
      </c>
      <c r="BD218" s="24">
        <v>135</v>
      </c>
      <c r="BE218" s="24">
        <v>135</v>
      </c>
      <c r="BF218" s="24"/>
      <c r="BG218" s="24">
        <f t="shared" ref="BG218:BG226" si="105">+AB218*9.5%</f>
        <v>2282.375</v>
      </c>
      <c r="BH218" s="24"/>
      <c r="BI218" s="24"/>
      <c r="BJ218" s="24">
        <f t="shared" si="99"/>
        <v>22.82375</v>
      </c>
      <c r="BK218" s="24">
        <f t="shared" si="100"/>
        <v>9778.5812500000011</v>
      </c>
      <c r="BL218" s="24" t="s">
        <v>121</v>
      </c>
      <c r="BM218" s="42">
        <f t="shared" si="91"/>
        <v>3</v>
      </c>
      <c r="BN218" s="24" t="s">
        <v>139</v>
      </c>
      <c r="BO218" s="2" t="s">
        <v>424</v>
      </c>
    </row>
    <row r="219" spans="1:67" s="1" customFormat="1" ht="15" customHeight="1" x14ac:dyDescent="0.3">
      <c r="A219" s="20">
        <v>215</v>
      </c>
      <c r="B219" s="21">
        <v>46095</v>
      </c>
      <c r="C219" s="21">
        <v>46102</v>
      </c>
      <c r="D219" s="52" t="s">
        <v>254</v>
      </c>
      <c r="E219" s="23">
        <v>46104</v>
      </c>
      <c r="F219" s="23" t="s">
        <v>7</v>
      </c>
      <c r="G219" s="24" t="s">
        <v>68</v>
      </c>
      <c r="H219" s="24" t="s">
        <v>69</v>
      </c>
      <c r="I219" s="24" t="s">
        <v>112</v>
      </c>
      <c r="J219" s="25" t="s">
        <v>558</v>
      </c>
      <c r="K219" s="45" t="str">
        <f t="shared" si="92"/>
        <v>WB39A5858</v>
      </c>
      <c r="L219" s="26">
        <v>46097</v>
      </c>
      <c r="M219" s="34" t="s">
        <v>1278</v>
      </c>
      <c r="N219" s="27" t="s">
        <v>1279</v>
      </c>
      <c r="O219" s="28">
        <v>0</v>
      </c>
      <c r="P219" s="27" t="s">
        <v>1280</v>
      </c>
      <c r="Q219" s="29">
        <v>2525366103</v>
      </c>
      <c r="R219" s="30">
        <v>2110812538</v>
      </c>
      <c r="S219" s="31" t="s">
        <v>73</v>
      </c>
      <c r="T219" s="24" t="s">
        <v>74</v>
      </c>
      <c r="U219" s="24" t="s">
        <v>75</v>
      </c>
      <c r="V219" s="32" t="s">
        <v>1281</v>
      </c>
      <c r="W219" s="32" t="s">
        <v>563</v>
      </c>
      <c r="X219" s="32" t="s">
        <v>563</v>
      </c>
      <c r="Y219" s="24">
        <v>597</v>
      </c>
      <c r="Z219" s="24">
        <v>19</v>
      </c>
      <c r="AA219" s="24">
        <f t="shared" si="93"/>
        <v>567.15</v>
      </c>
      <c r="AB219" s="24">
        <f t="shared" si="85"/>
        <v>11343</v>
      </c>
      <c r="AC219" s="24">
        <f t="shared" si="86"/>
        <v>10775.85</v>
      </c>
      <c r="AD219" s="24">
        <f t="shared" si="87"/>
        <v>10775.85</v>
      </c>
      <c r="AE219" s="24">
        <f t="shared" si="88"/>
        <v>567.14999999999964</v>
      </c>
      <c r="AF219" s="24">
        <v>0</v>
      </c>
      <c r="AG219" s="33">
        <v>5700</v>
      </c>
      <c r="AH219" s="24"/>
      <c r="AI219" s="24">
        <v>6310</v>
      </c>
      <c r="AJ219" s="24">
        <v>150</v>
      </c>
      <c r="AK219" s="24"/>
      <c r="AL219" s="24"/>
      <c r="AM219" s="24" t="s">
        <v>79</v>
      </c>
      <c r="AN219" s="34" t="s">
        <v>1282</v>
      </c>
      <c r="AO219" s="35" t="s">
        <v>973</v>
      </c>
      <c r="AP219" s="24">
        <f>105*2</f>
        <v>210</v>
      </c>
      <c r="AQ219" s="36">
        <f t="shared" si="94"/>
        <v>64.615384615384613</v>
      </c>
      <c r="AR219" s="67">
        <v>55</v>
      </c>
      <c r="AS219" s="68">
        <f t="shared" si="95"/>
        <v>-9.6153846153846132</v>
      </c>
      <c r="AT219" s="69"/>
      <c r="AU219" s="68">
        <f t="shared" si="96"/>
        <v>-9.6153846153846132</v>
      </c>
      <c r="AV219" s="70">
        <v>91.99</v>
      </c>
      <c r="AW219" s="65">
        <f t="shared" si="89"/>
        <v>5059.45</v>
      </c>
      <c r="AX219" s="24">
        <f t="shared" si="104"/>
        <v>99.847807829544777</v>
      </c>
      <c r="AY219" s="24"/>
      <c r="AZ219" s="24"/>
      <c r="BA219" s="24"/>
      <c r="BB219" s="24">
        <f t="shared" si="97"/>
        <v>0</v>
      </c>
      <c r="BC219" s="24">
        <f t="shared" si="98"/>
        <v>-6443.5999999999995</v>
      </c>
      <c r="BD219" s="24"/>
      <c r="BE219" s="24"/>
      <c r="BF219" s="24"/>
      <c r="BG219" s="24">
        <f t="shared" si="105"/>
        <v>1077.585</v>
      </c>
      <c r="BH219" s="24">
        <f>+AB219*8.5%</f>
        <v>964.15500000000009</v>
      </c>
      <c r="BI219" s="24"/>
      <c r="BJ219" s="24">
        <f t="shared" si="99"/>
        <v>20.417400000000004</v>
      </c>
      <c r="BK219" s="24">
        <f t="shared" si="100"/>
        <v>-4422.2773999999999</v>
      </c>
      <c r="BL219" s="24" t="s">
        <v>565</v>
      </c>
      <c r="BM219" s="42">
        <f t="shared" si="91"/>
        <v>3</v>
      </c>
      <c r="BN219" s="24" t="s">
        <v>139</v>
      </c>
      <c r="BO219" s="2" t="s">
        <v>84</v>
      </c>
    </row>
    <row r="220" spans="1:67" s="1" customFormat="1" ht="15" customHeight="1" x14ac:dyDescent="0.3">
      <c r="A220" s="20">
        <v>216</v>
      </c>
      <c r="B220" s="21">
        <v>46096</v>
      </c>
      <c r="C220" s="21">
        <v>46102</v>
      </c>
      <c r="D220" s="52" t="s">
        <v>1132</v>
      </c>
      <c r="E220" s="23">
        <v>46104</v>
      </c>
      <c r="F220" s="23" t="s">
        <v>7</v>
      </c>
      <c r="G220" s="24" t="s">
        <v>68</v>
      </c>
      <c r="H220" s="24" t="s">
        <v>69</v>
      </c>
      <c r="I220" s="24" t="s">
        <v>88</v>
      </c>
      <c r="J220" s="25" t="s">
        <v>278</v>
      </c>
      <c r="K220" s="45" t="str">
        <f t="shared" si="92"/>
        <v>WB67A4475</v>
      </c>
      <c r="L220" s="26">
        <v>46097</v>
      </c>
      <c r="M220" s="53" t="s">
        <v>1283</v>
      </c>
      <c r="N220" s="53" t="s">
        <v>1284</v>
      </c>
      <c r="O220" s="28">
        <v>0</v>
      </c>
      <c r="P220" s="27" t="s">
        <v>1285</v>
      </c>
      <c r="Q220" s="29">
        <v>2590199108</v>
      </c>
      <c r="R220" s="30">
        <v>2160377052</v>
      </c>
      <c r="S220" s="31" t="s">
        <v>73</v>
      </c>
      <c r="T220" s="24" t="s">
        <v>91</v>
      </c>
      <c r="U220" s="24" t="s">
        <v>347</v>
      </c>
      <c r="V220" s="32" t="s">
        <v>1004</v>
      </c>
      <c r="W220" s="32" t="s">
        <v>349</v>
      </c>
      <c r="X220" s="32" t="s">
        <v>349</v>
      </c>
      <c r="Y220" s="24">
        <v>778</v>
      </c>
      <c r="Z220" s="24">
        <v>25</v>
      </c>
      <c r="AA220" s="24">
        <f t="shared" si="93"/>
        <v>739.1</v>
      </c>
      <c r="AB220" s="24">
        <f t="shared" si="85"/>
        <v>19450</v>
      </c>
      <c r="AC220" s="24">
        <f t="shared" si="86"/>
        <v>18477.5</v>
      </c>
      <c r="AD220" s="24">
        <f t="shared" si="87"/>
        <v>18477.5</v>
      </c>
      <c r="AE220" s="24">
        <f t="shared" si="88"/>
        <v>972.5</v>
      </c>
      <c r="AF220" s="24">
        <v>0</v>
      </c>
      <c r="AG220" s="33">
        <v>4000</v>
      </c>
      <c r="AH220" s="24"/>
      <c r="AI220" s="24"/>
      <c r="AJ220" s="24"/>
      <c r="AK220" s="24"/>
      <c r="AL220" s="24"/>
      <c r="AM220" s="24" t="s">
        <v>79</v>
      </c>
      <c r="AN220" s="34" t="s">
        <v>1286</v>
      </c>
      <c r="AO220" s="35" t="s">
        <v>973</v>
      </c>
      <c r="AP220" s="24">
        <f>178*2</f>
        <v>356</v>
      </c>
      <c r="AQ220" s="36">
        <f t="shared" si="94"/>
        <v>109.53846153846153</v>
      </c>
      <c r="AR220" s="67">
        <v>110</v>
      </c>
      <c r="AS220" s="68">
        <f t="shared" si="95"/>
        <v>0.461538461538467</v>
      </c>
      <c r="AT220" s="69"/>
      <c r="AU220" s="68">
        <f t="shared" si="96"/>
        <v>0.461538461538467</v>
      </c>
      <c r="AV220" s="70">
        <v>91.99</v>
      </c>
      <c r="AW220" s="65">
        <f t="shared" si="89"/>
        <v>10118.9</v>
      </c>
      <c r="AX220" s="24">
        <f t="shared" si="104"/>
        <v>76.411311053984576</v>
      </c>
      <c r="AY220" s="24"/>
      <c r="AZ220" s="24"/>
      <c r="BA220" s="24"/>
      <c r="BB220" s="24">
        <f t="shared" si="97"/>
        <v>0</v>
      </c>
      <c r="BC220" s="24">
        <f t="shared" si="98"/>
        <v>4358.6000000000004</v>
      </c>
      <c r="BD220" s="24">
        <v>120</v>
      </c>
      <c r="BE220" s="24">
        <v>120</v>
      </c>
      <c r="BF220" s="24"/>
      <c r="BG220" s="24">
        <f t="shared" si="105"/>
        <v>1847.75</v>
      </c>
      <c r="BH220" s="24"/>
      <c r="BI220" s="24"/>
      <c r="BJ220" s="24">
        <f t="shared" si="99"/>
        <v>18.477499999999999</v>
      </c>
      <c r="BK220" s="24">
        <f t="shared" si="100"/>
        <v>6427.8725000000004</v>
      </c>
      <c r="BL220" s="24" t="s">
        <v>283</v>
      </c>
      <c r="BM220" s="42">
        <f t="shared" si="91"/>
        <v>2</v>
      </c>
      <c r="BN220" s="24" t="s">
        <v>83</v>
      </c>
      <c r="BO220" s="2" t="s">
        <v>500</v>
      </c>
    </row>
    <row r="221" spans="1:67" s="1" customFormat="1" ht="15" customHeight="1" x14ac:dyDescent="0.3">
      <c r="A221" s="20">
        <v>217</v>
      </c>
      <c r="B221" s="21">
        <v>46096</v>
      </c>
      <c r="C221" s="21">
        <v>46102</v>
      </c>
      <c r="D221" s="52" t="s">
        <v>351</v>
      </c>
      <c r="E221" s="23">
        <v>46104</v>
      </c>
      <c r="F221" s="23" t="s">
        <v>7</v>
      </c>
      <c r="G221" s="24" t="s">
        <v>68</v>
      </c>
      <c r="H221" s="24" t="s">
        <v>69</v>
      </c>
      <c r="I221" s="24" t="s">
        <v>166</v>
      </c>
      <c r="J221" s="25" t="s">
        <v>167</v>
      </c>
      <c r="K221" s="45" t="str">
        <f t="shared" si="92"/>
        <v>WB41H0254</v>
      </c>
      <c r="L221" s="26">
        <v>46097</v>
      </c>
      <c r="M221" s="34" t="s">
        <v>1287</v>
      </c>
      <c r="N221" s="27" t="s">
        <v>1288</v>
      </c>
      <c r="O221" s="28">
        <v>0</v>
      </c>
      <c r="P221" s="27" t="s">
        <v>1289</v>
      </c>
      <c r="Q221" s="29">
        <v>2525366184</v>
      </c>
      <c r="R221" s="30">
        <v>2110812744</v>
      </c>
      <c r="S221" s="31" t="s">
        <v>73</v>
      </c>
      <c r="T221" s="24" t="s">
        <v>91</v>
      </c>
      <c r="U221" s="24" t="s">
        <v>75</v>
      </c>
      <c r="V221" s="32" t="s">
        <v>622</v>
      </c>
      <c r="W221" s="32" t="s">
        <v>251</v>
      </c>
      <c r="X221" s="32" t="s">
        <v>251</v>
      </c>
      <c r="Y221" s="24">
        <v>961</v>
      </c>
      <c r="Z221" s="24">
        <v>25</v>
      </c>
      <c r="AA221" s="24">
        <f t="shared" si="93"/>
        <v>912.94999999999993</v>
      </c>
      <c r="AB221" s="24">
        <f t="shared" si="85"/>
        <v>24025</v>
      </c>
      <c r="AC221" s="24">
        <f t="shared" si="86"/>
        <v>22823.75</v>
      </c>
      <c r="AD221" s="24">
        <f t="shared" si="87"/>
        <v>22823.75</v>
      </c>
      <c r="AE221" s="24">
        <f t="shared" si="88"/>
        <v>1201.25</v>
      </c>
      <c r="AF221" s="24">
        <v>0</v>
      </c>
      <c r="AG221" s="33">
        <v>5200</v>
      </c>
      <c r="AH221" s="24"/>
      <c r="AI221" s="24"/>
      <c r="AJ221" s="24"/>
      <c r="AK221" s="24"/>
      <c r="AL221" s="24"/>
      <c r="AM221" s="24" t="s">
        <v>79</v>
      </c>
      <c r="AN221" s="34" t="s">
        <v>1290</v>
      </c>
      <c r="AO221" s="35" t="s">
        <v>973</v>
      </c>
      <c r="AP221" s="24">
        <f>213*2</f>
        <v>426</v>
      </c>
      <c r="AQ221" s="36">
        <f t="shared" si="94"/>
        <v>131.07692307692307</v>
      </c>
      <c r="AR221" s="67">
        <v>125</v>
      </c>
      <c r="AS221" s="68">
        <f t="shared" si="95"/>
        <v>-6.076923076923066</v>
      </c>
      <c r="AT221" s="69"/>
      <c r="AU221" s="68">
        <f t="shared" si="96"/>
        <v>-6.076923076923066</v>
      </c>
      <c r="AV221" s="70">
        <v>91.88</v>
      </c>
      <c r="AW221" s="65">
        <f t="shared" si="89"/>
        <v>11485</v>
      </c>
      <c r="AX221" s="24">
        <f t="shared" si="104"/>
        <v>73.103674900049285</v>
      </c>
      <c r="AY221" s="24"/>
      <c r="AZ221" s="24"/>
      <c r="BA221" s="24"/>
      <c r="BB221" s="24">
        <f t="shared" si="97"/>
        <v>0</v>
      </c>
      <c r="BC221" s="24">
        <f t="shared" si="98"/>
        <v>6138.75</v>
      </c>
      <c r="BD221" s="24">
        <v>135</v>
      </c>
      <c r="BE221" s="24">
        <v>135</v>
      </c>
      <c r="BF221" s="24"/>
      <c r="BG221" s="24">
        <f t="shared" si="105"/>
        <v>2282.375</v>
      </c>
      <c r="BH221" s="24"/>
      <c r="BI221" s="24"/>
      <c r="BJ221" s="24">
        <f t="shared" si="99"/>
        <v>22.82375</v>
      </c>
      <c r="BK221" s="24">
        <f t="shared" si="100"/>
        <v>8668.3012500000004</v>
      </c>
      <c r="BL221" s="24" t="s">
        <v>173</v>
      </c>
      <c r="BM221" s="42">
        <f t="shared" si="91"/>
        <v>2</v>
      </c>
      <c r="BN221" s="24" t="s">
        <v>83</v>
      </c>
      <c r="BO221" s="2" t="s">
        <v>424</v>
      </c>
    </row>
    <row r="222" spans="1:67" s="1" customFormat="1" ht="15" customHeight="1" x14ac:dyDescent="0.3">
      <c r="A222" s="20">
        <v>218</v>
      </c>
      <c r="B222" s="21">
        <v>46096</v>
      </c>
      <c r="C222" s="21">
        <v>46102</v>
      </c>
      <c r="D222" s="52" t="s">
        <v>1141</v>
      </c>
      <c r="E222" s="23">
        <v>46104</v>
      </c>
      <c r="F222" s="23" t="s">
        <v>7</v>
      </c>
      <c r="G222" s="24" t="s">
        <v>87</v>
      </c>
      <c r="H222" s="24" t="s">
        <v>69</v>
      </c>
      <c r="I222" s="24" t="s">
        <v>70</v>
      </c>
      <c r="J222" s="25" t="s">
        <v>293</v>
      </c>
      <c r="K222" s="45" t="str">
        <f t="shared" si="92"/>
        <v>WB39B4313</v>
      </c>
      <c r="L222" s="26">
        <v>46097</v>
      </c>
      <c r="M222" s="53" t="s">
        <v>1291</v>
      </c>
      <c r="N222" s="53" t="s">
        <v>1292</v>
      </c>
      <c r="O222" s="28">
        <v>0</v>
      </c>
      <c r="P222" s="27"/>
      <c r="Q222" s="29">
        <v>2590199099</v>
      </c>
      <c r="R222" s="30">
        <v>2160376695</v>
      </c>
      <c r="S222" s="31" t="s">
        <v>73</v>
      </c>
      <c r="T222" s="24" t="s">
        <v>91</v>
      </c>
      <c r="U222" s="24" t="s">
        <v>347</v>
      </c>
      <c r="V222" s="32" t="s">
        <v>1004</v>
      </c>
      <c r="W222" s="32" t="s">
        <v>1144</v>
      </c>
      <c r="X222" s="32" t="s">
        <v>1144</v>
      </c>
      <c r="Y222" s="24">
        <v>778</v>
      </c>
      <c r="Z222" s="24">
        <v>25</v>
      </c>
      <c r="AA222" s="24">
        <f t="shared" si="93"/>
        <v>739.1</v>
      </c>
      <c r="AB222" s="24">
        <f t="shared" si="85"/>
        <v>19450</v>
      </c>
      <c r="AC222" s="24">
        <f t="shared" si="86"/>
        <v>18477.5</v>
      </c>
      <c r="AD222" s="24">
        <f t="shared" si="87"/>
        <v>18477.5</v>
      </c>
      <c r="AE222" s="24">
        <f t="shared" si="88"/>
        <v>972.5</v>
      </c>
      <c r="AF222" s="24">
        <f t="shared" si="84"/>
        <v>184.77500000000001</v>
      </c>
      <c r="AG222" s="33">
        <v>3800</v>
      </c>
      <c r="AH222" s="24"/>
      <c r="AI222" s="24"/>
      <c r="AJ222" s="24"/>
      <c r="AK222" s="24"/>
      <c r="AL222" s="24"/>
      <c r="AM222" s="24" t="s">
        <v>79</v>
      </c>
      <c r="AN222" s="34" t="s">
        <v>1293</v>
      </c>
      <c r="AO222" s="35" t="s">
        <v>973</v>
      </c>
      <c r="AP222" s="24">
        <f>178*2</f>
        <v>356</v>
      </c>
      <c r="AQ222" s="36">
        <f t="shared" si="94"/>
        <v>109.53846153846153</v>
      </c>
      <c r="AR222" s="67">
        <v>118</v>
      </c>
      <c r="AS222" s="68">
        <f t="shared" si="95"/>
        <v>8.461538461538467</v>
      </c>
      <c r="AT222" s="69"/>
      <c r="AU222" s="68">
        <f t="shared" si="96"/>
        <v>8.461538461538467</v>
      </c>
      <c r="AV222" s="70">
        <v>91.99</v>
      </c>
      <c r="AW222" s="65">
        <f t="shared" si="89"/>
        <v>10854.82</v>
      </c>
      <c r="AX222" s="24">
        <f t="shared" si="104"/>
        <v>79.311703423082122</v>
      </c>
      <c r="AY222" s="24"/>
      <c r="AZ222" s="24"/>
      <c r="BA222" s="24"/>
      <c r="BB222" s="24">
        <f t="shared" si="97"/>
        <v>0</v>
      </c>
      <c r="BC222" s="24">
        <f t="shared" si="98"/>
        <v>3637.9049999999988</v>
      </c>
      <c r="BD222" s="24">
        <v>120</v>
      </c>
      <c r="BE222" s="24">
        <v>120</v>
      </c>
      <c r="BF222" s="24"/>
      <c r="BG222" s="24">
        <f t="shared" si="105"/>
        <v>1847.75</v>
      </c>
      <c r="BH222" s="24"/>
      <c r="BI222" s="24"/>
      <c r="BJ222" s="24">
        <f t="shared" si="99"/>
        <v>18.477499999999999</v>
      </c>
      <c r="BK222" s="24">
        <f t="shared" si="100"/>
        <v>5707.1774999999989</v>
      </c>
      <c r="BL222" s="24" t="s">
        <v>253</v>
      </c>
      <c r="BM222" s="42">
        <f t="shared" si="91"/>
        <v>2</v>
      </c>
      <c r="BN222" s="24" t="s">
        <v>83</v>
      </c>
      <c r="BO222" s="2" t="s">
        <v>148</v>
      </c>
    </row>
    <row r="223" spans="1:67" s="1" customFormat="1" ht="15" customHeight="1" x14ac:dyDescent="0.3">
      <c r="A223" s="20">
        <v>219</v>
      </c>
      <c r="B223" s="21">
        <v>46097</v>
      </c>
      <c r="C223" s="21">
        <v>46102</v>
      </c>
      <c r="D223" s="52" t="s">
        <v>855</v>
      </c>
      <c r="E223" s="23">
        <v>46104</v>
      </c>
      <c r="F223" s="23" t="s">
        <v>7</v>
      </c>
      <c r="G223" s="24" t="s">
        <v>68</v>
      </c>
      <c r="H223" s="24" t="s">
        <v>69</v>
      </c>
      <c r="I223" s="24" t="s">
        <v>106</v>
      </c>
      <c r="J223" s="25" t="s">
        <v>107</v>
      </c>
      <c r="K223" s="45" t="str">
        <f t="shared" si="92"/>
        <v>WB57C7436</v>
      </c>
      <c r="L223" s="26">
        <v>46098</v>
      </c>
      <c r="M223" s="34" t="s">
        <v>1294</v>
      </c>
      <c r="N223" s="27" t="s">
        <v>1295</v>
      </c>
      <c r="O223" s="28">
        <v>0</v>
      </c>
      <c r="P223" s="27" t="s">
        <v>1296</v>
      </c>
      <c r="Q223" s="29">
        <v>2525367109</v>
      </c>
      <c r="R223" s="30">
        <v>2110814638</v>
      </c>
      <c r="S223" s="31" t="s">
        <v>73</v>
      </c>
      <c r="T223" s="24" t="s">
        <v>91</v>
      </c>
      <c r="U223" s="24" t="s">
        <v>75</v>
      </c>
      <c r="V223" s="32" t="s">
        <v>1297</v>
      </c>
      <c r="W223" s="32" t="s">
        <v>1298</v>
      </c>
      <c r="X223" s="32" t="s">
        <v>1298</v>
      </c>
      <c r="Y223" s="24">
        <v>982</v>
      </c>
      <c r="Z223" s="24">
        <v>25</v>
      </c>
      <c r="AA223" s="24">
        <f t="shared" si="93"/>
        <v>932.9</v>
      </c>
      <c r="AB223" s="24">
        <f t="shared" si="85"/>
        <v>24550</v>
      </c>
      <c r="AC223" s="24">
        <f t="shared" si="86"/>
        <v>23322.5</v>
      </c>
      <c r="AD223" s="24">
        <f t="shared" si="87"/>
        <v>23322.5</v>
      </c>
      <c r="AE223" s="24">
        <f t="shared" si="88"/>
        <v>1227.5</v>
      </c>
      <c r="AF223" s="24">
        <v>0</v>
      </c>
      <c r="AG223" s="33">
        <v>8600</v>
      </c>
      <c r="AH223" s="24"/>
      <c r="AI223" s="24"/>
      <c r="AJ223" s="24"/>
      <c r="AK223" s="24"/>
      <c r="AL223" s="24"/>
      <c r="AM223" s="24" t="s">
        <v>79</v>
      </c>
      <c r="AN223" s="34" t="s">
        <v>1299</v>
      </c>
      <c r="AO223" s="35" t="s">
        <v>973</v>
      </c>
      <c r="AP223" s="24">
        <f>215*2</f>
        <v>430</v>
      </c>
      <c r="AQ223" s="36">
        <f t="shared" si="94"/>
        <v>132.30769230769232</v>
      </c>
      <c r="AR223" s="67">
        <v>132</v>
      </c>
      <c r="AS223" s="68">
        <f t="shared" si="95"/>
        <v>-0.30769230769232081</v>
      </c>
      <c r="AT223" s="69"/>
      <c r="AU223" s="68">
        <f t="shared" si="96"/>
        <v>-0.30769230769232081</v>
      </c>
      <c r="AV223" s="70">
        <v>91.99</v>
      </c>
      <c r="AW223" s="65">
        <f t="shared" si="89"/>
        <v>12142.679999999998</v>
      </c>
      <c r="AX223" s="24">
        <f t="shared" si="104"/>
        <v>88.938492871690428</v>
      </c>
      <c r="AY223" s="24"/>
      <c r="AZ223" s="24"/>
      <c r="BA223" s="24"/>
      <c r="BB223" s="24">
        <f t="shared" si="97"/>
        <v>0</v>
      </c>
      <c r="BC223" s="24">
        <f t="shared" si="98"/>
        <v>2579.8200000000015</v>
      </c>
      <c r="BD223" s="24"/>
      <c r="BE223" s="24"/>
      <c r="BF223" s="24"/>
      <c r="BG223" s="24">
        <f t="shared" si="105"/>
        <v>2332.25</v>
      </c>
      <c r="BH223" s="24"/>
      <c r="BI223" s="24"/>
      <c r="BJ223" s="24">
        <f t="shared" si="99"/>
        <v>23.322500000000002</v>
      </c>
      <c r="BK223" s="24">
        <f t="shared" si="100"/>
        <v>4888.7475000000013</v>
      </c>
      <c r="BL223" s="24" t="s">
        <v>110</v>
      </c>
      <c r="BM223" s="42">
        <f t="shared" si="91"/>
        <v>2</v>
      </c>
      <c r="BN223" s="24" t="s">
        <v>83</v>
      </c>
      <c r="BO223" s="2" t="s">
        <v>148</v>
      </c>
    </row>
    <row r="224" spans="1:67" s="1" customFormat="1" ht="15" customHeight="1" x14ac:dyDescent="0.3">
      <c r="A224" s="20">
        <v>220</v>
      </c>
      <c r="B224" s="21">
        <v>46097</v>
      </c>
      <c r="C224" s="21">
        <v>46102</v>
      </c>
      <c r="D224" s="52" t="s">
        <v>254</v>
      </c>
      <c r="E224" s="23">
        <v>46104</v>
      </c>
      <c r="F224" s="23" t="s">
        <v>7</v>
      </c>
      <c r="G224" s="24" t="s">
        <v>68</v>
      </c>
      <c r="H224" s="24" t="s">
        <v>69</v>
      </c>
      <c r="I224" s="24" t="s">
        <v>166</v>
      </c>
      <c r="J224" s="25" t="s">
        <v>924</v>
      </c>
      <c r="K224" s="45" t="str">
        <f t="shared" si="92"/>
        <v>WB41H1234</v>
      </c>
      <c r="L224" s="26">
        <v>46098</v>
      </c>
      <c r="M224" s="34" t="s">
        <v>1300</v>
      </c>
      <c r="N224" s="27" t="s">
        <v>1301</v>
      </c>
      <c r="O224" s="28">
        <v>0</v>
      </c>
      <c r="P224" s="27" t="s">
        <v>1302</v>
      </c>
      <c r="Q224" s="29">
        <v>2525397166</v>
      </c>
      <c r="R224" s="30">
        <v>2110814730</v>
      </c>
      <c r="S224" s="31" t="s">
        <v>73</v>
      </c>
      <c r="T224" s="24" t="s">
        <v>91</v>
      </c>
      <c r="U224" s="24" t="s">
        <v>75</v>
      </c>
      <c r="V224" s="32" t="s">
        <v>179</v>
      </c>
      <c r="W224" s="32" t="s">
        <v>180</v>
      </c>
      <c r="X224" s="32" t="s">
        <v>180</v>
      </c>
      <c r="Y224" s="24">
        <v>1047</v>
      </c>
      <c r="Z224" s="24">
        <v>25</v>
      </c>
      <c r="AA224" s="24">
        <f t="shared" si="93"/>
        <v>994.65000000000009</v>
      </c>
      <c r="AB224" s="24">
        <f t="shared" si="85"/>
        <v>26175</v>
      </c>
      <c r="AC224" s="24">
        <f t="shared" si="86"/>
        <v>24866.25</v>
      </c>
      <c r="AD224" s="24">
        <f t="shared" si="87"/>
        <v>24866.250000000004</v>
      </c>
      <c r="AE224" s="24">
        <f t="shared" si="88"/>
        <v>1308.7499999999964</v>
      </c>
      <c r="AF224" s="24">
        <v>0</v>
      </c>
      <c r="AG224" s="33">
        <v>3500</v>
      </c>
      <c r="AH224" s="24"/>
      <c r="AI224" s="24"/>
      <c r="AJ224" s="24"/>
      <c r="AK224" s="24"/>
      <c r="AL224" s="24"/>
      <c r="AM224" s="24" t="s">
        <v>79</v>
      </c>
      <c r="AN224" s="34" t="s">
        <v>1303</v>
      </c>
      <c r="AO224" s="35" t="s">
        <v>973</v>
      </c>
      <c r="AP224" s="24">
        <f>250*2</f>
        <v>500</v>
      </c>
      <c r="AQ224" s="36">
        <f t="shared" si="94"/>
        <v>153.84615384615384</v>
      </c>
      <c r="AR224" s="67">
        <v>165</v>
      </c>
      <c r="AS224" s="68">
        <f t="shared" si="95"/>
        <v>11.15384615384616</v>
      </c>
      <c r="AT224" s="69"/>
      <c r="AU224" s="68">
        <f t="shared" si="96"/>
        <v>11.15384615384616</v>
      </c>
      <c r="AV224" s="70">
        <v>91.88</v>
      </c>
      <c r="AW224" s="65">
        <f t="shared" si="89"/>
        <v>15160.199999999999</v>
      </c>
      <c r="AX224" s="24">
        <f t="shared" si="104"/>
        <v>75.042276177549866</v>
      </c>
      <c r="AY224" s="24"/>
      <c r="AZ224" s="24"/>
      <c r="BA224" s="24"/>
      <c r="BB224" s="24">
        <f t="shared" si="97"/>
        <v>0</v>
      </c>
      <c r="BC224" s="24">
        <f t="shared" si="98"/>
        <v>6206.0500000000047</v>
      </c>
      <c r="BD224" s="24"/>
      <c r="BE224" s="24"/>
      <c r="BF224" s="24"/>
      <c r="BG224" s="24">
        <f t="shared" si="105"/>
        <v>2486.625</v>
      </c>
      <c r="BH224" s="24"/>
      <c r="BI224" s="24"/>
      <c r="BJ224" s="24">
        <f t="shared" si="99"/>
        <v>24.866250000000001</v>
      </c>
      <c r="BK224" s="24">
        <f t="shared" si="100"/>
        <v>8667.8087500000056</v>
      </c>
      <c r="BL224" s="24" t="s">
        <v>687</v>
      </c>
      <c r="BM224" s="42">
        <f t="shared" si="91"/>
        <v>2</v>
      </c>
      <c r="BN224" s="24" t="s">
        <v>83</v>
      </c>
      <c r="BO224" s="2" t="s">
        <v>148</v>
      </c>
    </row>
    <row r="225" spans="1:67" s="1" customFormat="1" ht="15" customHeight="1" x14ac:dyDescent="0.3">
      <c r="A225" s="20">
        <v>221</v>
      </c>
      <c r="B225" s="21">
        <v>46097</v>
      </c>
      <c r="C225" s="21">
        <v>46102</v>
      </c>
      <c r="D225" s="50" t="s">
        <v>668</v>
      </c>
      <c r="E225" s="23">
        <v>46160</v>
      </c>
      <c r="F225" s="23" t="s">
        <v>7</v>
      </c>
      <c r="G225" s="24" t="s">
        <v>68</v>
      </c>
      <c r="H225" s="24" t="s">
        <v>69</v>
      </c>
      <c r="I225" s="24" t="s">
        <v>98</v>
      </c>
      <c r="J225" s="25" t="s">
        <v>99</v>
      </c>
      <c r="K225" s="45" t="str">
        <f t="shared" si="92"/>
        <v>WB65D7397</v>
      </c>
      <c r="L225" s="26">
        <v>46099</v>
      </c>
      <c r="M225" s="34" t="s">
        <v>1304</v>
      </c>
      <c r="N225" s="27" t="s">
        <v>1305</v>
      </c>
      <c r="O225" s="28">
        <v>0</v>
      </c>
      <c r="P225" s="27" t="s">
        <v>1306</v>
      </c>
      <c r="Q225" s="29">
        <v>2525367343</v>
      </c>
      <c r="R225" s="30">
        <v>2110814818</v>
      </c>
      <c r="S225" s="31" t="s">
        <v>73</v>
      </c>
      <c r="T225" s="24" t="s">
        <v>91</v>
      </c>
      <c r="U225" s="24" t="s">
        <v>75</v>
      </c>
      <c r="V225" s="32" t="s">
        <v>169</v>
      </c>
      <c r="W225" s="32" t="s">
        <v>170</v>
      </c>
      <c r="X225" s="32" t="s">
        <v>1307</v>
      </c>
      <c r="Y225" s="24">
        <v>989</v>
      </c>
      <c r="Z225" s="24">
        <v>25</v>
      </c>
      <c r="AA225" s="24">
        <f t="shared" si="93"/>
        <v>939.55000000000007</v>
      </c>
      <c r="AB225" s="24">
        <f t="shared" si="85"/>
        <v>24725</v>
      </c>
      <c r="AC225" s="24">
        <f t="shared" si="86"/>
        <v>23488.75</v>
      </c>
      <c r="AD225" s="24">
        <f t="shared" si="87"/>
        <v>23488.75</v>
      </c>
      <c r="AE225" s="24">
        <f t="shared" si="88"/>
        <v>1236.25</v>
      </c>
      <c r="AF225" s="24">
        <v>0</v>
      </c>
      <c r="AG225" s="33">
        <v>4200</v>
      </c>
      <c r="AH225" s="24"/>
      <c r="AI225" s="24"/>
      <c r="AJ225" s="24"/>
      <c r="AK225" s="24"/>
      <c r="AL225" s="24"/>
      <c r="AM225" s="24" t="s">
        <v>79</v>
      </c>
      <c r="AN225" s="34" t="s">
        <v>1308</v>
      </c>
      <c r="AO225" s="35" t="s">
        <v>973</v>
      </c>
      <c r="AP225" s="24">
        <f>217*2</f>
        <v>434</v>
      </c>
      <c r="AQ225" s="36">
        <f t="shared" si="94"/>
        <v>133.53846153846155</v>
      </c>
      <c r="AR225" s="67">
        <v>140</v>
      </c>
      <c r="AS225" s="68">
        <f t="shared" si="95"/>
        <v>6.4615384615384528</v>
      </c>
      <c r="AT225" s="69"/>
      <c r="AU225" s="68">
        <f t="shared" si="96"/>
        <v>6.4615384615384528</v>
      </c>
      <c r="AV225" s="70">
        <v>91.99</v>
      </c>
      <c r="AW225" s="65">
        <f t="shared" si="89"/>
        <v>12878.599999999999</v>
      </c>
      <c r="AX225" s="24">
        <f t="shared" si="104"/>
        <v>72.709701452823154</v>
      </c>
      <c r="AY225" s="24"/>
      <c r="AZ225" s="24"/>
      <c r="BA225" s="24"/>
      <c r="BB225" s="24">
        <f t="shared" si="97"/>
        <v>0</v>
      </c>
      <c r="BC225" s="24">
        <f t="shared" si="98"/>
        <v>6410.1500000000015</v>
      </c>
      <c r="BD225" s="24"/>
      <c r="BE225" s="24"/>
      <c r="BF225" s="24"/>
      <c r="BG225" s="24">
        <f>+AD225*9.5%</f>
        <v>2231.4312500000001</v>
      </c>
      <c r="BH225" s="24"/>
      <c r="BI225" s="24"/>
      <c r="BJ225" s="24">
        <f t="shared" si="99"/>
        <v>22.3143125</v>
      </c>
      <c r="BK225" s="24">
        <f t="shared" si="100"/>
        <v>8619.2669375000005</v>
      </c>
      <c r="BL225" s="24" t="s">
        <v>105</v>
      </c>
      <c r="BM225" s="42">
        <f t="shared" si="91"/>
        <v>3</v>
      </c>
      <c r="BN225" s="24" t="s">
        <v>139</v>
      </c>
      <c r="BO225" s="2" t="s">
        <v>129</v>
      </c>
    </row>
    <row r="226" spans="1:67" s="1" customFormat="1" ht="15" customHeight="1" x14ac:dyDescent="0.3">
      <c r="A226" s="20">
        <v>222</v>
      </c>
      <c r="B226" s="21">
        <v>46097</v>
      </c>
      <c r="C226" s="21">
        <v>46102</v>
      </c>
      <c r="D226" s="52" t="s">
        <v>841</v>
      </c>
      <c r="E226" s="23">
        <v>46104</v>
      </c>
      <c r="F226" s="23" t="s">
        <v>7</v>
      </c>
      <c r="G226" s="24" t="s">
        <v>68</v>
      </c>
      <c r="H226" s="24" t="s">
        <v>69</v>
      </c>
      <c r="I226" s="24" t="s">
        <v>800</v>
      </c>
      <c r="J226" s="25" t="s">
        <v>801</v>
      </c>
      <c r="K226" s="45" t="str">
        <f t="shared" si="92"/>
        <v>WB41P4782</v>
      </c>
      <c r="L226" s="26">
        <v>46098</v>
      </c>
      <c r="M226" s="34" t="s">
        <v>1309</v>
      </c>
      <c r="N226" s="27" t="s">
        <v>1310</v>
      </c>
      <c r="O226" s="28">
        <v>0</v>
      </c>
      <c r="P226" s="27" t="s">
        <v>1311</v>
      </c>
      <c r="Q226" s="29">
        <v>2525367417</v>
      </c>
      <c r="R226" s="30">
        <v>2110814882</v>
      </c>
      <c r="S226" s="31" t="s">
        <v>73</v>
      </c>
      <c r="T226" s="24" t="s">
        <v>188</v>
      </c>
      <c r="U226" s="24" t="s">
        <v>75</v>
      </c>
      <c r="V226" s="32" t="s">
        <v>1312</v>
      </c>
      <c r="W226" s="32" t="s">
        <v>511</v>
      </c>
      <c r="X226" s="32" t="s">
        <v>511</v>
      </c>
      <c r="Y226" s="24">
        <v>464</v>
      </c>
      <c r="Z226" s="24">
        <v>13</v>
      </c>
      <c r="AA226" s="24">
        <f>+Y226/100*93</f>
        <v>431.52</v>
      </c>
      <c r="AB226" s="24">
        <f t="shared" si="85"/>
        <v>6032</v>
      </c>
      <c r="AC226" s="24">
        <f t="shared" si="86"/>
        <v>5730.4</v>
      </c>
      <c r="AD226" s="24">
        <f t="shared" si="87"/>
        <v>5609.76</v>
      </c>
      <c r="AE226" s="24">
        <f t="shared" si="88"/>
        <v>422.23999999999978</v>
      </c>
      <c r="AF226" s="24">
        <f t="shared" si="84"/>
        <v>56.0976</v>
      </c>
      <c r="AG226" s="33">
        <v>1650</v>
      </c>
      <c r="AH226" s="24"/>
      <c r="AI226" s="24"/>
      <c r="AJ226" s="24"/>
      <c r="AK226" s="24"/>
      <c r="AL226" s="24"/>
      <c r="AM226" s="24" t="s">
        <v>79</v>
      </c>
      <c r="AN226" s="34" t="s">
        <v>1313</v>
      </c>
      <c r="AO226" s="35" t="s">
        <v>973</v>
      </c>
      <c r="AP226" s="24">
        <f>75*2</f>
        <v>150</v>
      </c>
      <c r="AQ226" s="36">
        <f t="shared" si="94"/>
        <v>46.153846153846153</v>
      </c>
      <c r="AR226" s="67">
        <v>28</v>
      </c>
      <c r="AS226" s="68">
        <f t="shared" si="95"/>
        <v>-18.153846153846153</v>
      </c>
      <c r="AT226" s="69"/>
      <c r="AU226" s="68">
        <f t="shared" si="96"/>
        <v>-18.153846153846153</v>
      </c>
      <c r="AV226" s="70">
        <v>91.99</v>
      </c>
      <c r="AW226" s="65">
        <f t="shared" si="89"/>
        <v>2575.7199999999998</v>
      </c>
      <c r="AX226" s="24">
        <f t="shared" si="104"/>
        <v>75.327999771826228</v>
      </c>
      <c r="AY226" s="24"/>
      <c r="AZ226" s="24"/>
      <c r="BA226" s="24"/>
      <c r="BB226" s="24">
        <f t="shared" si="97"/>
        <v>0</v>
      </c>
      <c r="BC226" s="24">
        <f t="shared" si="98"/>
        <v>1327.9424000000004</v>
      </c>
      <c r="BD226" s="24"/>
      <c r="BE226" s="24"/>
      <c r="BF226" s="24"/>
      <c r="BG226" s="24">
        <f t="shared" si="105"/>
        <v>573.04</v>
      </c>
      <c r="BH226" s="24"/>
      <c r="BI226" s="24"/>
      <c r="BJ226" s="24">
        <f t="shared" si="99"/>
        <v>5.7303999999999995</v>
      </c>
      <c r="BK226" s="24">
        <f t="shared" si="100"/>
        <v>1895.2520000000004</v>
      </c>
      <c r="BL226" s="24" t="s">
        <v>807</v>
      </c>
      <c r="BM226" s="42">
        <f t="shared" si="91"/>
        <v>2</v>
      </c>
      <c r="BN226" s="24" t="s">
        <v>83</v>
      </c>
      <c r="BO226" s="2" t="s">
        <v>84</v>
      </c>
    </row>
    <row r="227" spans="1:67" s="1" customFormat="1" ht="15" customHeight="1" x14ac:dyDescent="0.3">
      <c r="A227" s="20">
        <v>223</v>
      </c>
      <c r="B227" s="21">
        <v>46097</v>
      </c>
      <c r="C227" s="21">
        <v>46102</v>
      </c>
      <c r="D227" s="62" t="s">
        <v>697</v>
      </c>
      <c r="E227" s="23">
        <v>46116</v>
      </c>
      <c r="F227" s="23" t="s">
        <v>7</v>
      </c>
      <c r="G227" s="24" t="s">
        <v>68</v>
      </c>
      <c r="H227" s="24" t="s">
        <v>69</v>
      </c>
      <c r="I227" s="24" t="s">
        <v>112</v>
      </c>
      <c r="J227" s="25" t="s">
        <v>157</v>
      </c>
      <c r="K227" s="45" t="str">
        <f t="shared" si="92"/>
        <v>WB39A6898</v>
      </c>
      <c r="L227" s="26">
        <v>46099</v>
      </c>
      <c r="M227" s="34" t="s">
        <v>1314</v>
      </c>
      <c r="N227" s="27" t="s">
        <v>1315</v>
      </c>
      <c r="O227" s="28">
        <v>0</v>
      </c>
      <c r="P227" s="27" t="s">
        <v>1316</v>
      </c>
      <c r="Q227" s="29">
        <v>2525367346</v>
      </c>
      <c r="R227" s="30">
        <v>2110814819</v>
      </c>
      <c r="S227" s="63" t="s">
        <v>73</v>
      </c>
      <c r="T227" s="24" t="s">
        <v>74</v>
      </c>
      <c r="U227" s="24" t="s">
        <v>75</v>
      </c>
      <c r="V227" s="32" t="s">
        <v>1317</v>
      </c>
      <c r="W227" s="32" t="s">
        <v>208</v>
      </c>
      <c r="X227" s="32" t="s">
        <v>1318</v>
      </c>
      <c r="Y227" s="24">
        <v>556</v>
      </c>
      <c r="Z227" s="24">
        <v>19</v>
      </c>
      <c r="AA227" s="24">
        <f t="shared" si="93"/>
        <v>528.19999999999993</v>
      </c>
      <c r="AB227" s="24">
        <f t="shared" si="85"/>
        <v>10564</v>
      </c>
      <c r="AC227" s="24">
        <f t="shared" si="86"/>
        <v>10035.799999999999</v>
      </c>
      <c r="AD227" s="24">
        <f t="shared" si="87"/>
        <v>10035.799999999999</v>
      </c>
      <c r="AE227" s="24">
        <f t="shared" si="88"/>
        <v>528.20000000000073</v>
      </c>
      <c r="AF227" s="24">
        <f t="shared" si="84"/>
        <v>100.35799999999999</v>
      </c>
      <c r="AG227" s="33">
        <v>2800</v>
      </c>
      <c r="AH227" s="24"/>
      <c r="AI227" s="24"/>
      <c r="AJ227" s="24"/>
      <c r="AK227" s="24"/>
      <c r="AL227" s="24"/>
      <c r="AM227" s="24" t="s">
        <v>79</v>
      </c>
      <c r="AN227" s="34" t="s">
        <v>1319</v>
      </c>
      <c r="AO227" s="35" t="s">
        <v>973</v>
      </c>
      <c r="AP227" s="24">
        <f>93*2</f>
        <v>186</v>
      </c>
      <c r="AQ227" s="36">
        <f t="shared" si="94"/>
        <v>57.230769230769234</v>
      </c>
      <c r="AR227" s="67">
        <f>10+60+10</f>
        <v>80</v>
      </c>
      <c r="AS227" s="68">
        <f t="shared" si="95"/>
        <v>22.769230769230766</v>
      </c>
      <c r="AT227" s="69"/>
      <c r="AU227" s="68">
        <f t="shared" si="96"/>
        <v>22.769230769230766</v>
      </c>
      <c r="AV227" s="72">
        <v>91.99</v>
      </c>
      <c r="AW227" s="69">
        <f t="shared" si="89"/>
        <v>7359.2</v>
      </c>
      <c r="AX227" s="24">
        <f t="shared" si="104"/>
        <v>101.22959803902032</v>
      </c>
      <c r="AY227" s="24">
        <v>120</v>
      </c>
      <c r="AZ227" s="24"/>
      <c r="BA227" s="24"/>
      <c r="BB227" s="24">
        <f t="shared" si="97"/>
        <v>0</v>
      </c>
      <c r="BC227" s="24">
        <f t="shared" si="98"/>
        <v>-343.75800000000072</v>
      </c>
      <c r="BD227" s="24"/>
      <c r="BE227" s="24"/>
      <c r="BF227" s="24"/>
      <c r="BG227" s="24">
        <f>+AD227*8.5%</f>
        <v>853.04300000000001</v>
      </c>
      <c r="BH227" s="24">
        <f t="shared" ref="BH227:BH230" si="106">+AD227*8.5%</f>
        <v>853.04300000000001</v>
      </c>
      <c r="BI227" s="24"/>
      <c r="BJ227" s="24">
        <f t="shared" si="99"/>
        <v>17.060860000000002</v>
      </c>
      <c r="BK227" s="24">
        <f t="shared" si="100"/>
        <v>1345.2671399999992</v>
      </c>
      <c r="BL227" s="24" t="s">
        <v>163</v>
      </c>
      <c r="BM227" s="42">
        <f t="shared" si="91"/>
        <v>3</v>
      </c>
      <c r="BN227" s="24" t="s">
        <v>139</v>
      </c>
      <c r="BO227" s="2" t="s">
        <v>84</v>
      </c>
    </row>
    <row r="228" spans="1:67" s="1" customFormat="1" ht="15" customHeight="1" x14ac:dyDescent="0.3">
      <c r="A228" s="20">
        <v>224</v>
      </c>
      <c r="B228" s="21">
        <v>46097</v>
      </c>
      <c r="C228" s="21">
        <v>46102</v>
      </c>
      <c r="D228" s="55" t="s">
        <v>1177</v>
      </c>
      <c r="E228" s="23">
        <v>46140</v>
      </c>
      <c r="F228" s="23" t="s">
        <v>7</v>
      </c>
      <c r="G228" s="24" t="s">
        <v>68</v>
      </c>
      <c r="H228" s="24" t="s">
        <v>69</v>
      </c>
      <c r="I228" s="24" t="s">
        <v>88</v>
      </c>
      <c r="J228" s="25" t="s">
        <v>194</v>
      </c>
      <c r="K228" s="45" t="str">
        <f t="shared" si="92"/>
        <v>WB67A2373</v>
      </c>
      <c r="L228" s="26">
        <v>46098</v>
      </c>
      <c r="M228" s="34" t="s">
        <v>1320</v>
      </c>
      <c r="N228" s="27" t="s">
        <v>1321</v>
      </c>
      <c r="O228" s="28">
        <v>0</v>
      </c>
      <c r="P228" s="27" t="s">
        <v>1322</v>
      </c>
      <c r="Q228" s="29">
        <v>2525367318</v>
      </c>
      <c r="R228" s="30">
        <v>2110814815</v>
      </c>
      <c r="S228" s="31" t="s">
        <v>73</v>
      </c>
      <c r="T228" s="24" t="s">
        <v>74</v>
      </c>
      <c r="U228" s="24" t="s">
        <v>75</v>
      </c>
      <c r="V228" s="32" t="s">
        <v>1323</v>
      </c>
      <c r="W228" s="32" t="s">
        <v>220</v>
      </c>
      <c r="X228" s="32" t="s">
        <v>1324</v>
      </c>
      <c r="Y228" s="24">
        <v>455</v>
      </c>
      <c r="Z228" s="24">
        <v>19</v>
      </c>
      <c r="AA228" s="24">
        <f t="shared" si="93"/>
        <v>432.25</v>
      </c>
      <c r="AB228" s="24">
        <f t="shared" si="85"/>
        <v>8645</v>
      </c>
      <c r="AC228" s="24">
        <f t="shared" si="86"/>
        <v>8212.75</v>
      </c>
      <c r="AD228" s="24">
        <f t="shared" si="87"/>
        <v>8212.75</v>
      </c>
      <c r="AE228" s="24">
        <f t="shared" si="88"/>
        <v>432.25</v>
      </c>
      <c r="AF228" s="24">
        <f t="shared" si="84"/>
        <v>82.127499999999998</v>
      </c>
      <c r="AG228" s="33">
        <v>2600</v>
      </c>
      <c r="AH228" s="24"/>
      <c r="AI228" s="24"/>
      <c r="AJ228" s="24"/>
      <c r="AK228" s="24"/>
      <c r="AL228" s="24"/>
      <c r="AM228" s="24" t="s">
        <v>79</v>
      </c>
      <c r="AN228" s="34" t="s">
        <v>1325</v>
      </c>
      <c r="AO228" s="35" t="s">
        <v>973</v>
      </c>
      <c r="AP228" s="24">
        <f>82*2</f>
        <v>164</v>
      </c>
      <c r="AQ228" s="36">
        <f t="shared" si="94"/>
        <v>50.46153846153846</v>
      </c>
      <c r="AR228" s="67">
        <v>80</v>
      </c>
      <c r="AS228" s="68">
        <f t="shared" si="95"/>
        <v>29.53846153846154</v>
      </c>
      <c r="AT228" s="69"/>
      <c r="AU228" s="68">
        <f t="shared" si="96"/>
        <v>29.53846153846154</v>
      </c>
      <c r="AV228" s="70">
        <v>91.88</v>
      </c>
      <c r="AW228" s="65">
        <f t="shared" si="89"/>
        <v>7350.4</v>
      </c>
      <c r="AX228" s="24">
        <f t="shared" si="104"/>
        <v>121.15795561778941</v>
      </c>
      <c r="AY228" s="24">
        <v>120</v>
      </c>
      <c r="AZ228" s="24"/>
      <c r="BA228" s="24"/>
      <c r="BB228" s="24">
        <f t="shared" si="97"/>
        <v>0</v>
      </c>
      <c r="BC228" s="24">
        <f t="shared" si="98"/>
        <v>-1939.7774999999992</v>
      </c>
      <c r="BD228" s="24">
        <v>110</v>
      </c>
      <c r="BE228" s="24">
        <v>110</v>
      </c>
      <c r="BF228" s="24"/>
      <c r="BG228" s="24">
        <f>+AD228*8.5%</f>
        <v>698.08375000000001</v>
      </c>
      <c r="BH228" s="24">
        <f t="shared" si="106"/>
        <v>698.08375000000001</v>
      </c>
      <c r="BI228" s="24"/>
      <c r="BJ228" s="24">
        <f t="shared" si="99"/>
        <v>13.961675</v>
      </c>
      <c r="BK228" s="24">
        <f t="shared" si="100"/>
        <v>-337.57167499999923</v>
      </c>
      <c r="BL228" s="24" t="s">
        <v>82</v>
      </c>
      <c r="BM228" s="42">
        <f t="shared" si="91"/>
        <v>2</v>
      </c>
      <c r="BN228" s="24" t="s">
        <v>83</v>
      </c>
      <c r="BO228" s="2" t="s">
        <v>84</v>
      </c>
    </row>
    <row r="229" spans="1:67" s="1" customFormat="1" ht="15" customHeight="1" x14ac:dyDescent="0.3">
      <c r="A229" s="20">
        <v>225</v>
      </c>
      <c r="B229" s="21">
        <v>46097</v>
      </c>
      <c r="C229" s="21">
        <v>46102</v>
      </c>
      <c r="D229" s="50" t="s">
        <v>223</v>
      </c>
      <c r="E229" s="23">
        <v>46130</v>
      </c>
      <c r="F229" s="23" t="s">
        <v>7</v>
      </c>
      <c r="G229" s="24" t="s">
        <v>68</v>
      </c>
      <c r="H229" s="24" t="s">
        <v>69</v>
      </c>
      <c r="I229" s="24" t="s">
        <v>70</v>
      </c>
      <c r="J229" s="25" t="s">
        <v>71</v>
      </c>
      <c r="K229" s="45" t="str">
        <f t="shared" si="92"/>
        <v>WB39B0034</v>
      </c>
      <c r="L229" s="26">
        <v>46098</v>
      </c>
      <c r="M229" s="34" t="s">
        <v>1326</v>
      </c>
      <c r="N229" s="27" t="s">
        <v>1327</v>
      </c>
      <c r="O229" s="28">
        <v>0</v>
      </c>
      <c r="P229" s="27" t="s">
        <v>1328</v>
      </c>
      <c r="Q229" s="29">
        <v>2525367383</v>
      </c>
      <c r="R229" s="30">
        <v>2110814856</v>
      </c>
      <c r="S229" s="31" t="s">
        <v>73</v>
      </c>
      <c r="T229" s="24" t="s">
        <v>74</v>
      </c>
      <c r="U229" s="24" t="s">
        <v>75</v>
      </c>
      <c r="V229" s="32" t="s">
        <v>1125</v>
      </c>
      <c r="W229" s="32" t="s">
        <v>1126</v>
      </c>
      <c r="X229" s="32" t="s">
        <v>1329</v>
      </c>
      <c r="Y229" s="24">
        <v>839</v>
      </c>
      <c r="Z229" s="24">
        <v>13</v>
      </c>
      <c r="AA229" s="24">
        <f t="shared" si="93"/>
        <v>797.05000000000007</v>
      </c>
      <c r="AB229" s="24">
        <f t="shared" si="85"/>
        <v>10907</v>
      </c>
      <c r="AC229" s="24">
        <f t="shared" si="86"/>
        <v>10361.65</v>
      </c>
      <c r="AD229" s="24">
        <f t="shared" si="87"/>
        <v>10361.650000000001</v>
      </c>
      <c r="AE229" s="24">
        <f t="shared" si="88"/>
        <v>545.34999999999854</v>
      </c>
      <c r="AF229" s="24">
        <f t="shared" si="84"/>
        <v>103.61650000000002</v>
      </c>
      <c r="AG229" s="33">
        <v>2800</v>
      </c>
      <c r="AH229" s="24"/>
      <c r="AI229" s="24"/>
      <c r="AJ229" s="24"/>
      <c r="AK229" s="24"/>
      <c r="AL229" s="24"/>
      <c r="AM229" s="24" t="s">
        <v>79</v>
      </c>
      <c r="AN229" s="34" t="s">
        <v>1330</v>
      </c>
      <c r="AO229" s="35" t="s">
        <v>973</v>
      </c>
      <c r="AP229" s="24">
        <f>182*2</f>
        <v>364</v>
      </c>
      <c r="AQ229" s="36">
        <f t="shared" si="94"/>
        <v>112</v>
      </c>
      <c r="AR229" s="67">
        <v>105</v>
      </c>
      <c r="AS229" s="68">
        <f t="shared" si="95"/>
        <v>-7</v>
      </c>
      <c r="AT229" s="69"/>
      <c r="AU229" s="68">
        <f t="shared" si="96"/>
        <v>-7</v>
      </c>
      <c r="AV229" s="70">
        <v>91.99</v>
      </c>
      <c r="AW229" s="65">
        <f t="shared" si="89"/>
        <v>9658.9499999999989</v>
      </c>
      <c r="AX229" s="24">
        <f t="shared" si="104"/>
        <v>120.24098478524169</v>
      </c>
      <c r="AY229" s="24">
        <v>120</v>
      </c>
      <c r="AZ229" s="24"/>
      <c r="BA229" s="24"/>
      <c r="BB229" s="24">
        <f t="shared" si="97"/>
        <v>0</v>
      </c>
      <c r="BC229" s="24">
        <f t="shared" si="98"/>
        <v>-2320.9164999999975</v>
      </c>
      <c r="BD229" s="24">
        <v>100</v>
      </c>
      <c r="BE229" s="24">
        <v>100</v>
      </c>
      <c r="BF229" s="24"/>
      <c r="BG229" s="24">
        <f t="shared" ref="BG229:BG230" si="107">+AD229*8.5%</f>
        <v>880.74025000000017</v>
      </c>
      <c r="BH229" s="24">
        <f t="shared" si="106"/>
        <v>880.74025000000017</v>
      </c>
      <c r="BI229" s="24"/>
      <c r="BJ229" s="24">
        <f t="shared" si="99"/>
        <v>17.614805000000004</v>
      </c>
      <c r="BK229" s="24">
        <f t="shared" si="100"/>
        <v>-377.05080499999707</v>
      </c>
      <c r="BL229" s="24" t="s">
        <v>82</v>
      </c>
      <c r="BM229" s="42">
        <f t="shared" si="91"/>
        <v>2</v>
      </c>
      <c r="BN229" s="24" t="s">
        <v>83</v>
      </c>
      <c r="BO229" s="2" t="s">
        <v>175</v>
      </c>
    </row>
    <row r="230" spans="1:67" s="1" customFormat="1" ht="15" customHeight="1" x14ac:dyDescent="0.3">
      <c r="A230" s="20">
        <v>226</v>
      </c>
      <c r="B230" s="21">
        <v>46097</v>
      </c>
      <c r="C230" s="21">
        <v>46102</v>
      </c>
      <c r="D230" s="50" t="s">
        <v>223</v>
      </c>
      <c r="E230" s="23">
        <v>46130</v>
      </c>
      <c r="F230" s="23" t="s">
        <v>7</v>
      </c>
      <c r="G230" s="24" t="s">
        <v>68</v>
      </c>
      <c r="H230" s="24" t="s">
        <v>69</v>
      </c>
      <c r="I230" s="24" t="s">
        <v>70</v>
      </c>
      <c r="J230" s="25" t="s">
        <v>71</v>
      </c>
      <c r="K230" s="45" t="str">
        <f t="shared" si="92"/>
        <v>WB39B0034</v>
      </c>
      <c r="L230" s="26">
        <v>46098</v>
      </c>
      <c r="M230" s="34" t="s">
        <v>1331</v>
      </c>
      <c r="N230" s="27" t="s">
        <v>1332</v>
      </c>
      <c r="O230" s="28">
        <v>0</v>
      </c>
      <c r="P230" s="27" t="s">
        <v>1333</v>
      </c>
      <c r="Q230" s="29">
        <v>2525367386</v>
      </c>
      <c r="R230" s="30">
        <v>2110814857</v>
      </c>
      <c r="S230" s="31" t="s">
        <v>73</v>
      </c>
      <c r="T230" s="24" t="s">
        <v>74</v>
      </c>
      <c r="U230" s="24" t="s">
        <v>75</v>
      </c>
      <c r="V230" s="32" t="s">
        <v>1125</v>
      </c>
      <c r="W230" s="32" t="s">
        <v>1126</v>
      </c>
      <c r="X230" s="32" t="s">
        <v>753</v>
      </c>
      <c r="Y230" s="24">
        <v>839</v>
      </c>
      <c r="Z230" s="24">
        <v>6</v>
      </c>
      <c r="AA230" s="24">
        <f t="shared" si="93"/>
        <v>797.05000000000007</v>
      </c>
      <c r="AB230" s="24">
        <f t="shared" si="85"/>
        <v>5034</v>
      </c>
      <c r="AC230" s="24">
        <f t="shared" si="86"/>
        <v>4782.3</v>
      </c>
      <c r="AD230" s="24">
        <f t="shared" si="87"/>
        <v>4782.3</v>
      </c>
      <c r="AE230" s="24">
        <f t="shared" si="88"/>
        <v>251.69999999999982</v>
      </c>
      <c r="AF230" s="24">
        <f t="shared" si="84"/>
        <v>47.823</v>
      </c>
      <c r="AG230" s="31">
        <v>0</v>
      </c>
      <c r="AH230" s="24"/>
      <c r="AI230" s="24"/>
      <c r="AJ230" s="24"/>
      <c r="AK230" s="24"/>
      <c r="AL230" s="24"/>
      <c r="AM230" s="24" t="s">
        <v>79</v>
      </c>
      <c r="AN230" s="34" t="s">
        <v>213</v>
      </c>
      <c r="AO230" s="35"/>
      <c r="AP230" s="24"/>
      <c r="AQ230" s="36">
        <f t="shared" si="94"/>
        <v>0</v>
      </c>
      <c r="AR230" s="16">
        <v>0</v>
      </c>
      <c r="AS230" s="47">
        <f t="shared" si="95"/>
        <v>0</v>
      </c>
      <c r="AT230" s="31"/>
      <c r="AU230" s="47">
        <f t="shared" si="96"/>
        <v>0</v>
      </c>
      <c r="AV230" s="48">
        <v>91.99</v>
      </c>
      <c r="AW230" s="24">
        <f t="shared" si="89"/>
        <v>0</v>
      </c>
      <c r="AX230" s="24">
        <f t="shared" si="104"/>
        <v>0</v>
      </c>
      <c r="AY230" s="24"/>
      <c r="AZ230" s="24"/>
      <c r="BA230" s="24"/>
      <c r="BB230" s="24">
        <f t="shared" si="97"/>
        <v>0</v>
      </c>
      <c r="BC230" s="24">
        <f t="shared" si="98"/>
        <v>4734.4769999999999</v>
      </c>
      <c r="BD230" s="24">
        <v>0</v>
      </c>
      <c r="BE230" s="24">
        <v>0</v>
      </c>
      <c r="BF230" s="24"/>
      <c r="BG230" s="24">
        <f t="shared" si="107"/>
        <v>406.49550000000005</v>
      </c>
      <c r="BH230" s="24">
        <f t="shared" si="106"/>
        <v>406.49550000000005</v>
      </c>
      <c r="BI230" s="24"/>
      <c r="BJ230" s="24">
        <f t="shared" si="99"/>
        <v>8.1299100000000006</v>
      </c>
      <c r="BK230" s="24">
        <f t="shared" si="100"/>
        <v>5539.3380900000002</v>
      </c>
      <c r="BL230" s="24" t="s">
        <v>82</v>
      </c>
      <c r="BM230" s="42">
        <f t="shared" si="91"/>
        <v>2</v>
      </c>
      <c r="BN230" s="24" t="s">
        <v>83</v>
      </c>
      <c r="BO230" s="2" t="s">
        <v>175</v>
      </c>
    </row>
    <row r="231" spans="1:67" s="1" customFormat="1" ht="15" customHeight="1" x14ac:dyDescent="0.3">
      <c r="A231" s="20">
        <v>227</v>
      </c>
      <c r="B231" s="21">
        <v>46097</v>
      </c>
      <c r="C231" s="71">
        <v>46104</v>
      </c>
      <c r="D231" s="52" t="s">
        <v>1334</v>
      </c>
      <c r="E231" s="23">
        <v>46104</v>
      </c>
      <c r="F231" s="23" t="s">
        <v>7</v>
      </c>
      <c r="G231" s="24" t="s">
        <v>68</v>
      </c>
      <c r="H231" s="24" t="s">
        <v>69</v>
      </c>
      <c r="I231" s="24" t="s">
        <v>263</v>
      </c>
      <c r="J231" s="25" t="s">
        <v>316</v>
      </c>
      <c r="K231" s="45" t="str">
        <f t="shared" si="92"/>
        <v>WB41G6396</v>
      </c>
      <c r="L231" s="26">
        <v>46098</v>
      </c>
      <c r="M231" s="34" t="s">
        <v>1335</v>
      </c>
      <c r="N231" s="27" t="s">
        <v>1336</v>
      </c>
      <c r="O231" s="28">
        <v>0</v>
      </c>
      <c r="P231" s="27" t="s">
        <v>1337</v>
      </c>
      <c r="Q231" s="29">
        <v>2525367675</v>
      </c>
      <c r="R231" s="30">
        <v>2110814990</v>
      </c>
      <c r="S231" s="31" t="s">
        <v>73</v>
      </c>
      <c r="T231" s="24" t="s">
        <v>91</v>
      </c>
      <c r="U231" s="24" t="s">
        <v>75</v>
      </c>
      <c r="V231" s="32" t="s">
        <v>1338</v>
      </c>
      <c r="W231" s="32" t="s">
        <v>1339</v>
      </c>
      <c r="X231" s="32"/>
      <c r="Y231" s="24">
        <v>1057</v>
      </c>
      <c r="Z231" s="24">
        <v>25</v>
      </c>
      <c r="AA231" s="24">
        <f t="shared" si="93"/>
        <v>1004.15</v>
      </c>
      <c r="AB231" s="24">
        <f t="shared" si="85"/>
        <v>26425</v>
      </c>
      <c r="AC231" s="24">
        <f t="shared" si="86"/>
        <v>25103.75</v>
      </c>
      <c r="AD231" s="24">
        <f t="shared" si="87"/>
        <v>25103.75</v>
      </c>
      <c r="AE231" s="24">
        <f t="shared" si="88"/>
        <v>1321.25</v>
      </c>
      <c r="AF231" s="24">
        <v>0</v>
      </c>
      <c r="AG231" s="33">
        <v>9000</v>
      </c>
      <c r="AH231" s="24"/>
      <c r="AI231" s="24"/>
      <c r="AJ231" s="24"/>
      <c r="AK231" s="24"/>
      <c r="AL231" s="24"/>
      <c r="AM231" s="24" t="s">
        <v>79</v>
      </c>
      <c r="AN231" s="34" t="s">
        <v>1340</v>
      </c>
      <c r="AO231" s="35" t="s">
        <v>973</v>
      </c>
      <c r="AP231" s="24">
        <f>251*2</f>
        <v>502</v>
      </c>
      <c r="AQ231" s="36">
        <f t="shared" si="94"/>
        <v>154.46153846153845</v>
      </c>
      <c r="AR231" s="67">
        <v>160</v>
      </c>
      <c r="AS231" s="68">
        <f t="shared" si="95"/>
        <v>5.5384615384615472</v>
      </c>
      <c r="AT231" s="69"/>
      <c r="AU231" s="68">
        <f t="shared" si="96"/>
        <v>5.5384615384615472</v>
      </c>
      <c r="AV231" s="70">
        <v>91.99</v>
      </c>
      <c r="AW231" s="65">
        <f t="shared" si="89"/>
        <v>14718.4</v>
      </c>
      <c r="AX231" s="24">
        <f t="shared" si="104"/>
        <v>94.481501767664199</v>
      </c>
      <c r="AY231" s="24"/>
      <c r="AZ231" s="24"/>
      <c r="BA231" s="24"/>
      <c r="BB231" s="24">
        <f t="shared" si="97"/>
        <v>0</v>
      </c>
      <c r="BC231" s="24">
        <f t="shared" si="98"/>
        <v>1385.3500000000004</v>
      </c>
      <c r="BD231" s="24">
        <v>135</v>
      </c>
      <c r="BE231" s="24">
        <v>135</v>
      </c>
      <c r="BF231" s="24"/>
      <c r="BG231" s="24">
        <f>+AB231*9.5%</f>
        <v>2510.375</v>
      </c>
      <c r="BH231" s="24"/>
      <c r="BI231" s="24"/>
      <c r="BJ231" s="24">
        <f t="shared" si="99"/>
        <v>25.103750000000002</v>
      </c>
      <c r="BK231" s="24">
        <f t="shared" si="100"/>
        <v>4140.6212500000001</v>
      </c>
      <c r="BL231" s="24" t="s">
        <v>121</v>
      </c>
      <c r="BM231" s="42">
        <f t="shared" si="91"/>
        <v>2</v>
      </c>
      <c r="BN231" s="24" t="s">
        <v>83</v>
      </c>
      <c r="BO231" s="2" t="s">
        <v>1341</v>
      </c>
    </row>
    <row r="232" spans="1:67" s="1" customFormat="1" ht="15" customHeight="1" x14ac:dyDescent="0.3">
      <c r="A232" s="20">
        <v>228</v>
      </c>
      <c r="B232" s="21">
        <v>46097</v>
      </c>
      <c r="C232" s="21">
        <v>46102</v>
      </c>
      <c r="D232" s="52" t="s">
        <v>254</v>
      </c>
      <c r="E232" s="23">
        <v>46104</v>
      </c>
      <c r="F232" s="23" t="s">
        <v>7</v>
      </c>
      <c r="G232" s="24" t="s">
        <v>68</v>
      </c>
      <c r="H232" s="24" t="s">
        <v>69</v>
      </c>
      <c r="I232" s="24" t="s">
        <v>70</v>
      </c>
      <c r="J232" s="25" t="s">
        <v>150</v>
      </c>
      <c r="K232" s="45" t="str">
        <f t="shared" si="92"/>
        <v>WB39B9201</v>
      </c>
      <c r="L232" s="26">
        <v>46099</v>
      </c>
      <c r="M232" s="34" t="s">
        <v>1342</v>
      </c>
      <c r="N232" s="27" t="s">
        <v>1343</v>
      </c>
      <c r="O232" s="28">
        <v>0</v>
      </c>
      <c r="P232" s="27" t="s">
        <v>1344</v>
      </c>
      <c r="Q232" s="29">
        <v>2525367421</v>
      </c>
      <c r="R232" s="30">
        <v>2110814884</v>
      </c>
      <c r="S232" s="31" t="s">
        <v>73</v>
      </c>
      <c r="T232" s="24" t="s">
        <v>91</v>
      </c>
      <c r="U232" s="24" t="s">
        <v>75</v>
      </c>
      <c r="V232" s="32" t="s">
        <v>1345</v>
      </c>
      <c r="W232" s="32" t="s">
        <v>269</v>
      </c>
      <c r="X232" s="32" t="s">
        <v>269</v>
      </c>
      <c r="Y232" s="24">
        <v>1258</v>
      </c>
      <c r="Z232" s="24">
        <v>25</v>
      </c>
      <c r="AA232" s="24">
        <f t="shared" si="93"/>
        <v>1195.0999999999999</v>
      </c>
      <c r="AB232" s="24">
        <f t="shared" si="85"/>
        <v>31450</v>
      </c>
      <c r="AC232" s="24">
        <f t="shared" si="86"/>
        <v>29877.5</v>
      </c>
      <c r="AD232" s="24">
        <f t="shared" si="87"/>
        <v>29877.499999999996</v>
      </c>
      <c r="AE232" s="24">
        <f t="shared" si="88"/>
        <v>1572.5000000000036</v>
      </c>
      <c r="AF232" s="24">
        <v>0</v>
      </c>
      <c r="AG232" s="33">
        <v>4500</v>
      </c>
      <c r="AH232" s="24"/>
      <c r="AI232" s="24"/>
      <c r="AJ232" s="24"/>
      <c r="AK232" s="24"/>
      <c r="AL232" s="24"/>
      <c r="AM232" s="24" t="s">
        <v>79</v>
      </c>
      <c r="AN232" s="34" t="s">
        <v>1346</v>
      </c>
      <c r="AO232" s="35" t="s">
        <v>973</v>
      </c>
      <c r="AP232" s="24">
        <f>310*2</f>
        <v>620</v>
      </c>
      <c r="AQ232" s="36">
        <f t="shared" si="94"/>
        <v>190.76923076923077</v>
      </c>
      <c r="AR232" s="67">
        <v>190</v>
      </c>
      <c r="AS232" s="68">
        <f t="shared" si="95"/>
        <v>-0.7692307692307736</v>
      </c>
      <c r="AT232" s="69"/>
      <c r="AU232" s="68">
        <f t="shared" si="96"/>
        <v>-0.7692307692307736</v>
      </c>
      <c r="AV232" s="70">
        <v>91.88</v>
      </c>
      <c r="AW232" s="65">
        <f t="shared" si="89"/>
        <v>17457.2</v>
      </c>
      <c r="AX232" s="24">
        <f t="shared" si="104"/>
        <v>73.49075391180655</v>
      </c>
      <c r="AY232" s="24"/>
      <c r="AZ232" s="24"/>
      <c r="BA232" s="24"/>
      <c r="BB232" s="24">
        <f t="shared" si="97"/>
        <v>0</v>
      </c>
      <c r="BC232" s="24">
        <f t="shared" si="98"/>
        <v>7920.2999999999956</v>
      </c>
      <c r="BD232" s="24">
        <v>135</v>
      </c>
      <c r="BE232" s="24">
        <v>135</v>
      </c>
      <c r="BF232" s="24"/>
      <c r="BG232" s="24">
        <f>+AB232*9.5%</f>
        <v>2987.75</v>
      </c>
      <c r="BH232" s="24"/>
      <c r="BI232" s="24"/>
      <c r="BJ232" s="24">
        <f t="shared" si="99"/>
        <v>29.877500000000001</v>
      </c>
      <c r="BK232" s="24">
        <f t="shared" si="100"/>
        <v>11148.172499999995</v>
      </c>
      <c r="BL232" s="24" t="s">
        <v>155</v>
      </c>
      <c r="BM232" s="42">
        <f t="shared" si="91"/>
        <v>3</v>
      </c>
      <c r="BN232" s="24" t="s">
        <v>139</v>
      </c>
      <c r="BO232" s="2" t="s">
        <v>175</v>
      </c>
    </row>
    <row r="233" spans="1:67" s="1" customFormat="1" ht="15" customHeight="1" x14ac:dyDescent="0.3">
      <c r="A233" s="20">
        <v>229</v>
      </c>
      <c r="B233" s="21">
        <v>46097</v>
      </c>
      <c r="C233" s="21">
        <v>46102</v>
      </c>
      <c r="D233" s="50" t="s">
        <v>774</v>
      </c>
      <c r="E233" s="23">
        <v>46108</v>
      </c>
      <c r="F233" s="23" t="s">
        <v>7</v>
      </c>
      <c r="G233" s="24" t="s">
        <v>68</v>
      </c>
      <c r="H233" s="24" t="s">
        <v>69</v>
      </c>
      <c r="I233" s="24" t="s">
        <v>131</v>
      </c>
      <c r="J233" s="25" t="s">
        <v>132</v>
      </c>
      <c r="K233" s="45" t="str">
        <f t="shared" si="92"/>
        <v>WB29A8166</v>
      </c>
      <c r="L233" s="26">
        <v>46098</v>
      </c>
      <c r="M233" s="34" t="s">
        <v>1347</v>
      </c>
      <c r="N233" s="27" t="s">
        <v>1348</v>
      </c>
      <c r="O233" s="28">
        <v>0</v>
      </c>
      <c r="P233" s="27" t="s">
        <v>1349</v>
      </c>
      <c r="Q233" s="29">
        <v>2525367624</v>
      </c>
      <c r="R233" s="30">
        <v>2110814942</v>
      </c>
      <c r="S233" s="31" t="s">
        <v>73</v>
      </c>
      <c r="T233" s="24" t="s">
        <v>91</v>
      </c>
      <c r="U233" s="24" t="s">
        <v>75</v>
      </c>
      <c r="V233" s="32" t="s">
        <v>510</v>
      </c>
      <c r="W233" s="32" t="s">
        <v>511</v>
      </c>
      <c r="X233" s="32" t="s">
        <v>1350</v>
      </c>
      <c r="Y233" s="24">
        <v>499</v>
      </c>
      <c r="Z233" s="24">
        <v>25</v>
      </c>
      <c r="AA233" s="24">
        <f t="shared" si="93"/>
        <v>474.05</v>
      </c>
      <c r="AB233" s="24">
        <f t="shared" si="85"/>
        <v>12475</v>
      </c>
      <c r="AC233" s="24">
        <f t="shared" si="86"/>
        <v>11851.25</v>
      </c>
      <c r="AD233" s="24">
        <f t="shared" si="87"/>
        <v>11851.25</v>
      </c>
      <c r="AE233" s="24">
        <f t="shared" si="88"/>
        <v>623.75</v>
      </c>
      <c r="AF233" s="24">
        <v>0</v>
      </c>
      <c r="AG233" s="33">
        <v>3300</v>
      </c>
      <c r="AH233" s="24"/>
      <c r="AI233" s="24"/>
      <c r="AJ233" s="24"/>
      <c r="AK233" s="24"/>
      <c r="AL233" s="24"/>
      <c r="AM233" s="24" t="s">
        <v>79</v>
      </c>
      <c r="AN233" s="34" t="s">
        <v>1351</v>
      </c>
      <c r="AO233" s="35" t="s">
        <v>973</v>
      </c>
      <c r="AP233" s="24">
        <f>77*2</f>
        <v>154</v>
      </c>
      <c r="AQ233" s="36">
        <f t="shared" si="94"/>
        <v>47.384615384615387</v>
      </c>
      <c r="AR233" s="67">
        <v>50</v>
      </c>
      <c r="AS233" s="68">
        <f t="shared" si="95"/>
        <v>2.6153846153846132</v>
      </c>
      <c r="AT233" s="69"/>
      <c r="AU233" s="68">
        <f t="shared" si="96"/>
        <v>2.6153846153846132</v>
      </c>
      <c r="AV233" s="70">
        <v>91.99</v>
      </c>
      <c r="AW233" s="65">
        <f t="shared" si="89"/>
        <v>4599.5</v>
      </c>
      <c r="AX233" s="24">
        <f t="shared" si="104"/>
        <v>66.655416095348599</v>
      </c>
      <c r="AY233" s="24"/>
      <c r="AZ233" s="24"/>
      <c r="BA233" s="24"/>
      <c r="BB233" s="24">
        <f t="shared" si="97"/>
        <v>0</v>
      </c>
      <c r="BC233" s="24">
        <f t="shared" si="98"/>
        <v>3951.75</v>
      </c>
      <c r="BD233" s="24">
        <v>135</v>
      </c>
      <c r="BE233" s="24">
        <v>135</v>
      </c>
      <c r="BF233" s="24"/>
      <c r="BG233" s="24">
        <f>+AB233*9.5%</f>
        <v>1185.125</v>
      </c>
      <c r="BH233" s="24"/>
      <c r="BI233" s="24"/>
      <c r="BJ233" s="24">
        <f t="shared" si="99"/>
        <v>11.85125</v>
      </c>
      <c r="BK233" s="24">
        <f t="shared" si="100"/>
        <v>5395.0237500000003</v>
      </c>
      <c r="BL233" s="24" t="s">
        <v>138</v>
      </c>
      <c r="BM233" s="42">
        <f t="shared" si="91"/>
        <v>2</v>
      </c>
      <c r="BN233" s="24" t="s">
        <v>83</v>
      </c>
      <c r="BO233" s="2" t="s">
        <v>84</v>
      </c>
    </row>
    <row r="234" spans="1:67" s="1" customFormat="1" ht="15" customHeight="1" x14ac:dyDescent="0.3">
      <c r="A234" s="20">
        <v>230</v>
      </c>
      <c r="B234" s="21">
        <v>46097</v>
      </c>
      <c r="C234" s="21">
        <v>46102</v>
      </c>
      <c r="D234" s="52" t="s">
        <v>1062</v>
      </c>
      <c r="E234" s="23">
        <v>46104</v>
      </c>
      <c r="F234" s="23" t="s">
        <v>7</v>
      </c>
      <c r="G234" s="24" t="s">
        <v>87</v>
      </c>
      <c r="H234" s="24" t="s">
        <v>69</v>
      </c>
      <c r="I234" s="24">
        <v>35</v>
      </c>
      <c r="J234" s="25" t="s">
        <v>451</v>
      </c>
      <c r="K234" s="45" t="str">
        <f t="shared" si="92"/>
        <v>WB351813</v>
      </c>
      <c r="L234" s="26">
        <v>46099</v>
      </c>
      <c r="M234" s="34" t="s">
        <v>1352</v>
      </c>
      <c r="N234" s="27" t="s">
        <v>1353</v>
      </c>
      <c r="O234" s="28">
        <v>0</v>
      </c>
      <c r="P234" s="27"/>
      <c r="Q234" s="29">
        <v>2525367871</v>
      </c>
      <c r="R234" s="30">
        <v>2110814178</v>
      </c>
      <c r="S234" s="31" t="s">
        <v>73</v>
      </c>
      <c r="T234" s="24" t="s">
        <v>91</v>
      </c>
      <c r="U234" s="24" t="s">
        <v>75</v>
      </c>
      <c r="V234" s="32" t="s">
        <v>483</v>
      </c>
      <c r="W234" s="32" t="s">
        <v>872</v>
      </c>
      <c r="X234" s="32" t="s">
        <v>872</v>
      </c>
      <c r="Y234" s="24">
        <v>1063</v>
      </c>
      <c r="Z234" s="24">
        <v>25</v>
      </c>
      <c r="AA234" s="24">
        <f t="shared" si="93"/>
        <v>1009.85</v>
      </c>
      <c r="AB234" s="24">
        <f t="shared" si="85"/>
        <v>26575</v>
      </c>
      <c r="AC234" s="24">
        <f t="shared" si="86"/>
        <v>25246.25</v>
      </c>
      <c r="AD234" s="24">
        <f t="shared" si="87"/>
        <v>25246.25</v>
      </c>
      <c r="AE234" s="24">
        <f t="shared" si="88"/>
        <v>1328.75</v>
      </c>
      <c r="AF234" s="24">
        <v>0</v>
      </c>
      <c r="AG234" s="33">
        <v>3800</v>
      </c>
      <c r="AH234" s="24"/>
      <c r="AI234" s="24"/>
      <c r="AJ234" s="24"/>
      <c r="AK234" s="24"/>
      <c r="AL234" s="24"/>
      <c r="AM234" s="24" t="s">
        <v>79</v>
      </c>
      <c r="AN234" s="34" t="s">
        <v>1354</v>
      </c>
      <c r="AO234" s="35" t="s">
        <v>973</v>
      </c>
      <c r="AP234" s="24">
        <f>258*2</f>
        <v>516</v>
      </c>
      <c r="AQ234" s="36">
        <f t="shared" si="94"/>
        <v>158.76923076923077</v>
      </c>
      <c r="AR234" s="67">
        <v>145</v>
      </c>
      <c r="AS234" s="68">
        <f t="shared" si="95"/>
        <v>-13.769230769230774</v>
      </c>
      <c r="AT234" s="69"/>
      <c r="AU234" s="68">
        <f t="shared" si="96"/>
        <v>-13.769230769230774</v>
      </c>
      <c r="AV234" s="70">
        <v>91.99</v>
      </c>
      <c r="AW234" s="65">
        <f t="shared" si="89"/>
        <v>13338.55</v>
      </c>
      <c r="AX234" s="24">
        <f t="shared" si="104"/>
        <v>67.885527553597072</v>
      </c>
      <c r="AY234" s="24"/>
      <c r="AZ234" s="24"/>
      <c r="BA234" s="24"/>
      <c r="BB234" s="24">
        <f t="shared" si="97"/>
        <v>0</v>
      </c>
      <c r="BC234" s="24">
        <f t="shared" si="98"/>
        <v>8107.7000000000007</v>
      </c>
      <c r="BD234" s="24">
        <v>135</v>
      </c>
      <c r="BE234" s="24">
        <v>135</v>
      </c>
      <c r="BF234" s="24"/>
      <c r="BG234" s="24">
        <f>+AB234*9.5%</f>
        <v>2524.625</v>
      </c>
      <c r="BH234" s="24"/>
      <c r="BI234" s="24"/>
      <c r="BJ234" s="24">
        <f t="shared" si="99"/>
        <v>25.24625</v>
      </c>
      <c r="BK234" s="24">
        <f t="shared" si="100"/>
        <v>10877.078750000001</v>
      </c>
      <c r="BL234" s="24" t="s">
        <v>155</v>
      </c>
      <c r="BM234" s="42">
        <f t="shared" si="91"/>
        <v>3</v>
      </c>
      <c r="BN234" s="24" t="s">
        <v>139</v>
      </c>
      <c r="BO234" s="2" t="s">
        <v>175</v>
      </c>
    </row>
    <row r="235" spans="1:67" s="1" customFormat="1" ht="15" customHeight="1" x14ac:dyDescent="0.3">
      <c r="A235" s="20">
        <v>231</v>
      </c>
      <c r="B235" s="21">
        <v>46098</v>
      </c>
      <c r="C235" s="21">
        <v>46107</v>
      </c>
      <c r="D235" s="50" t="s">
        <v>1355</v>
      </c>
      <c r="E235" s="23">
        <v>46108</v>
      </c>
      <c r="F235" s="23" t="s">
        <v>7</v>
      </c>
      <c r="G235" s="24" t="s">
        <v>68</v>
      </c>
      <c r="H235" s="24" t="s">
        <v>69</v>
      </c>
      <c r="I235" s="24" t="s">
        <v>70</v>
      </c>
      <c r="J235" s="25" t="s">
        <v>612</v>
      </c>
      <c r="K235" s="45" t="str">
        <f t="shared" si="92"/>
        <v>WB39B2382</v>
      </c>
      <c r="L235" s="26">
        <v>46099</v>
      </c>
      <c r="M235" s="34" t="s">
        <v>1356</v>
      </c>
      <c r="N235" s="27" t="s">
        <v>1357</v>
      </c>
      <c r="O235" s="28">
        <v>0</v>
      </c>
      <c r="P235" s="27" t="s">
        <v>1358</v>
      </c>
      <c r="Q235" s="29">
        <v>2525368311</v>
      </c>
      <c r="R235" s="30">
        <v>2110815419</v>
      </c>
      <c r="S235" s="31" t="s">
        <v>73</v>
      </c>
      <c r="T235" s="24" t="s">
        <v>91</v>
      </c>
      <c r="U235" s="24" t="s">
        <v>75</v>
      </c>
      <c r="V235" s="32" t="s">
        <v>179</v>
      </c>
      <c r="W235" s="32" t="s">
        <v>180</v>
      </c>
      <c r="X235" s="32" t="s">
        <v>180</v>
      </c>
      <c r="Y235" s="24">
        <v>1047</v>
      </c>
      <c r="Z235" s="24">
        <v>25</v>
      </c>
      <c r="AA235" s="24">
        <f t="shared" si="93"/>
        <v>994.65000000000009</v>
      </c>
      <c r="AB235" s="24">
        <f t="shared" si="85"/>
        <v>26175</v>
      </c>
      <c r="AC235" s="24">
        <f t="shared" si="86"/>
        <v>24866.25</v>
      </c>
      <c r="AD235" s="24">
        <f t="shared" si="87"/>
        <v>24866.250000000004</v>
      </c>
      <c r="AE235" s="24">
        <f t="shared" si="88"/>
        <v>1308.7499999999964</v>
      </c>
      <c r="AF235" s="24">
        <f t="shared" ref="AF235:AF258" si="108">+AD235*1%</f>
        <v>248.66250000000005</v>
      </c>
      <c r="AG235" s="33">
        <v>7300</v>
      </c>
      <c r="AH235" s="24"/>
      <c r="AI235" s="24"/>
      <c r="AJ235" s="24"/>
      <c r="AK235" s="24"/>
      <c r="AL235" s="24"/>
      <c r="AM235" s="24" t="s">
        <v>79</v>
      </c>
      <c r="AN235" s="34" t="s">
        <v>1359</v>
      </c>
      <c r="AO235" s="35" t="s">
        <v>973</v>
      </c>
      <c r="AP235" s="24">
        <f>250*2</f>
        <v>500</v>
      </c>
      <c r="AQ235" s="36">
        <f t="shared" si="94"/>
        <v>153.84615384615384</v>
      </c>
      <c r="AR235" s="67">
        <v>161</v>
      </c>
      <c r="AS235" s="68">
        <f t="shared" si="95"/>
        <v>7.1538461538461604</v>
      </c>
      <c r="AT235" s="69"/>
      <c r="AU235" s="68">
        <f t="shared" si="96"/>
        <v>7.1538461538461604</v>
      </c>
      <c r="AV235" s="70">
        <v>91.99</v>
      </c>
      <c r="AW235" s="65">
        <f t="shared" si="89"/>
        <v>14810.39</v>
      </c>
      <c r="AX235" s="24">
        <f t="shared" si="104"/>
        <v>88.917267380485583</v>
      </c>
      <c r="AY235" s="24"/>
      <c r="AZ235" s="24"/>
      <c r="BA235" s="24"/>
      <c r="BB235" s="24">
        <f t="shared" si="97"/>
        <v>0</v>
      </c>
      <c r="BC235" s="24">
        <f t="shared" si="98"/>
        <v>2507.1975000000057</v>
      </c>
      <c r="BD235" s="24"/>
      <c r="BE235" s="24"/>
      <c r="BF235" s="24"/>
      <c r="BG235" s="24">
        <f>+AD235*9.5%</f>
        <v>2362.2937500000003</v>
      </c>
      <c r="BH235" s="24"/>
      <c r="BI235" s="24"/>
      <c r="BJ235" s="24">
        <f t="shared" si="99"/>
        <v>23.622937500000003</v>
      </c>
      <c r="BK235" s="24">
        <f t="shared" si="100"/>
        <v>4845.8683125000061</v>
      </c>
      <c r="BL235" s="24" t="s">
        <v>618</v>
      </c>
      <c r="BM235" s="42">
        <f t="shared" si="91"/>
        <v>2</v>
      </c>
      <c r="BN235" s="24" t="s">
        <v>83</v>
      </c>
      <c r="BO235" s="2" t="s">
        <v>175</v>
      </c>
    </row>
    <row r="236" spans="1:67" s="1" customFormat="1" ht="15" customHeight="1" x14ac:dyDescent="0.3">
      <c r="A236" s="20">
        <v>232</v>
      </c>
      <c r="B236" s="21">
        <v>46098</v>
      </c>
      <c r="C236" s="21">
        <v>46102</v>
      </c>
      <c r="D236" s="52" t="s">
        <v>855</v>
      </c>
      <c r="E236" s="23">
        <v>46104</v>
      </c>
      <c r="F236" s="23" t="s">
        <v>7</v>
      </c>
      <c r="G236" s="24" t="s">
        <v>68</v>
      </c>
      <c r="H236" s="24" t="s">
        <v>69</v>
      </c>
      <c r="I236" s="24" t="s">
        <v>88</v>
      </c>
      <c r="J236" s="25" t="s">
        <v>89</v>
      </c>
      <c r="K236" s="45" t="str">
        <f t="shared" si="92"/>
        <v>WB67A9375</v>
      </c>
      <c r="L236" s="26">
        <v>46100</v>
      </c>
      <c r="M236" s="34" t="s">
        <v>1360</v>
      </c>
      <c r="N236" s="27" t="s">
        <v>1361</v>
      </c>
      <c r="O236" s="28">
        <v>0</v>
      </c>
      <c r="P236" s="27" t="s">
        <v>1362</v>
      </c>
      <c r="Q236" s="29">
        <v>2525368322</v>
      </c>
      <c r="R236" s="30">
        <v>2110815450</v>
      </c>
      <c r="S236" s="31" t="s">
        <v>73</v>
      </c>
      <c r="T236" s="24" t="s">
        <v>91</v>
      </c>
      <c r="U236" s="24" t="s">
        <v>75</v>
      </c>
      <c r="V236" s="32" t="s">
        <v>1242</v>
      </c>
      <c r="W236" s="32" t="s">
        <v>1243</v>
      </c>
      <c r="X236" s="32" t="s">
        <v>1243</v>
      </c>
      <c r="Y236" s="24">
        <v>1102</v>
      </c>
      <c r="Z236" s="24">
        <v>25</v>
      </c>
      <c r="AA236" s="24">
        <f t="shared" si="93"/>
        <v>1046.8999999999999</v>
      </c>
      <c r="AB236" s="24">
        <f t="shared" si="85"/>
        <v>27550</v>
      </c>
      <c r="AC236" s="24">
        <f t="shared" si="86"/>
        <v>26172.5</v>
      </c>
      <c r="AD236" s="24">
        <f t="shared" si="87"/>
        <v>26172.499999999996</v>
      </c>
      <c r="AE236" s="24">
        <f t="shared" si="88"/>
        <v>1377.5000000000036</v>
      </c>
      <c r="AF236" s="24">
        <v>0</v>
      </c>
      <c r="AG236" s="33">
        <v>4000</v>
      </c>
      <c r="AH236" s="24"/>
      <c r="AI236" s="24"/>
      <c r="AJ236" s="24"/>
      <c r="AK236" s="24"/>
      <c r="AL236" s="24"/>
      <c r="AM236" s="24" t="s">
        <v>79</v>
      </c>
      <c r="AN236" s="34" t="s">
        <v>1363</v>
      </c>
      <c r="AO236" s="35" t="s">
        <v>973</v>
      </c>
      <c r="AP236" s="24">
        <f>252*2</f>
        <v>504</v>
      </c>
      <c r="AQ236" s="36">
        <f t="shared" si="94"/>
        <v>155.07692307692307</v>
      </c>
      <c r="AR236" s="67">
        <v>163</v>
      </c>
      <c r="AS236" s="68">
        <f t="shared" si="95"/>
        <v>7.923076923076934</v>
      </c>
      <c r="AT236" s="69"/>
      <c r="AU236" s="68">
        <f t="shared" si="96"/>
        <v>7.923076923076934</v>
      </c>
      <c r="AV236" s="70">
        <v>91.99</v>
      </c>
      <c r="AW236" s="65">
        <f t="shared" si="89"/>
        <v>14994.369999999999</v>
      </c>
      <c r="AX236" s="24">
        <f t="shared" si="104"/>
        <v>72.57377017862261</v>
      </c>
      <c r="AY236" s="24"/>
      <c r="AZ236" s="24"/>
      <c r="BA236" s="24"/>
      <c r="BB236" s="24">
        <f t="shared" si="97"/>
        <v>0</v>
      </c>
      <c r="BC236" s="24">
        <f t="shared" si="98"/>
        <v>7178.1299999999974</v>
      </c>
      <c r="BD236" s="24"/>
      <c r="BE236" s="24"/>
      <c r="BF236" s="24"/>
      <c r="BG236" s="24">
        <f>+AB236*9.5%</f>
        <v>2617.25</v>
      </c>
      <c r="BH236" s="24"/>
      <c r="BI236" s="24"/>
      <c r="BJ236" s="24">
        <f t="shared" si="99"/>
        <v>26.172499999999999</v>
      </c>
      <c r="BK236" s="24">
        <f t="shared" si="100"/>
        <v>9769.2074999999968</v>
      </c>
      <c r="BL236" s="24" t="s">
        <v>96</v>
      </c>
      <c r="BM236" s="42">
        <f t="shared" si="91"/>
        <v>3</v>
      </c>
      <c r="BN236" s="24" t="s">
        <v>139</v>
      </c>
      <c r="BO236" s="2" t="s">
        <v>175</v>
      </c>
    </row>
    <row r="237" spans="1:67" s="1" customFormat="1" ht="15" customHeight="1" x14ac:dyDescent="0.3">
      <c r="A237" s="20">
        <v>233</v>
      </c>
      <c r="B237" s="21">
        <v>46098</v>
      </c>
      <c r="C237" s="21">
        <v>46102</v>
      </c>
      <c r="D237" s="52" t="s">
        <v>629</v>
      </c>
      <c r="E237" s="23">
        <v>46105</v>
      </c>
      <c r="F237" s="23" t="s">
        <v>7</v>
      </c>
      <c r="G237" s="24" t="s">
        <v>68</v>
      </c>
      <c r="H237" s="24" t="s">
        <v>69</v>
      </c>
      <c r="I237" s="24" t="s">
        <v>263</v>
      </c>
      <c r="J237" s="25" t="s">
        <v>264</v>
      </c>
      <c r="K237" s="45" t="str">
        <f t="shared" si="92"/>
        <v>WB41G1024</v>
      </c>
      <c r="L237" s="26">
        <v>46099</v>
      </c>
      <c r="M237" s="34" t="s">
        <v>1364</v>
      </c>
      <c r="N237" s="27" t="s">
        <v>1365</v>
      </c>
      <c r="O237" s="28">
        <v>0</v>
      </c>
      <c r="P237" s="27" t="s">
        <v>1366</v>
      </c>
      <c r="Q237" s="29">
        <v>2525368349</v>
      </c>
      <c r="R237" s="30">
        <v>2110815481</v>
      </c>
      <c r="S237" s="31" t="s">
        <v>73</v>
      </c>
      <c r="T237" s="24" t="s">
        <v>91</v>
      </c>
      <c r="U237" s="24" t="s">
        <v>75</v>
      </c>
      <c r="V237" s="32" t="s">
        <v>908</v>
      </c>
      <c r="W237" s="32" t="s">
        <v>909</v>
      </c>
      <c r="X237" s="32" t="s">
        <v>1367</v>
      </c>
      <c r="Y237" s="24">
        <v>1063</v>
      </c>
      <c r="Z237" s="24">
        <v>25</v>
      </c>
      <c r="AA237" s="24">
        <f t="shared" si="93"/>
        <v>1009.85</v>
      </c>
      <c r="AB237" s="24">
        <f t="shared" si="85"/>
        <v>26575</v>
      </c>
      <c r="AC237" s="24">
        <f t="shared" si="86"/>
        <v>25246.25</v>
      </c>
      <c r="AD237" s="24">
        <f t="shared" si="87"/>
        <v>25246.25</v>
      </c>
      <c r="AE237" s="24">
        <f t="shared" si="88"/>
        <v>1328.75</v>
      </c>
      <c r="AF237" s="24">
        <v>0</v>
      </c>
      <c r="AG237" s="33">
        <v>3500</v>
      </c>
      <c r="AH237" s="24"/>
      <c r="AI237" s="24"/>
      <c r="AJ237" s="24"/>
      <c r="AK237" s="24"/>
      <c r="AL237" s="24"/>
      <c r="AM237" s="24" t="s">
        <v>79</v>
      </c>
      <c r="AN237" s="34" t="s">
        <v>1368</v>
      </c>
      <c r="AO237" s="35" t="s">
        <v>973</v>
      </c>
      <c r="AP237" s="24">
        <f>251*2</f>
        <v>502</v>
      </c>
      <c r="AQ237" s="36">
        <f t="shared" si="94"/>
        <v>154.46153846153845</v>
      </c>
      <c r="AR237" s="67">
        <v>170</v>
      </c>
      <c r="AS237" s="68">
        <f t="shared" si="95"/>
        <v>15.538461538461547</v>
      </c>
      <c r="AT237" s="69"/>
      <c r="AU237" s="68">
        <f t="shared" si="96"/>
        <v>15.538461538461547</v>
      </c>
      <c r="AV237" s="70">
        <v>91.88</v>
      </c>
      <c r="AW237" s="65">
        <f t="shared" si="89"/>
        <v>15619.599999999999</v>
      </c>
      <c r="AX237" s="24">
        <f t="shared" si="104"/>
        <v>75.732435510224278</v>
      </c>
      <c r="AY237" s="24"/>
      <c r="AZ237" s="24"/>
      <c r="BA237" s="24"/>
      <c r="BB237" s="24">
        <f t="shared" si="97"/>
        <v>0</v>
      </c>
      <c r="BC237" s="24">
        <f t="shared" si="98"/>
        <v>6126.6500000000015</v>
      </c>
      <c r="BD237" s="24"/>
      <c r="BE237" s="24"/>
      <c r="BF237" s="24"/>
      <c r="BG237" s="24">
        <f>+AB237*9.5%</f>
        <v>2524.625</v>
      </c>
      <c r="BH237" s="24"/>
      <c r="BI237" s="24"/>
      <c r="BJ237" s="24">
        <f t="shared" si="99"/>
        <v>25.24625</v>
      </c>
      <c r="BK237" s="24">
        <f t="shared" si="100"/>
        <v>8626.0287500000013</v>
      </c>
      <c r="BL237" s="24" t="s">
        <v>96</v>
      </c>
      <c r="BM237" s="42">
        <f t="shared" si="91"/>
        <v>2</v>
      </c>
      <c r="BN237" s="24" t="s">
        <v>83</v>
      </c>
      <c r="BO237" s="2" t="s">
        <v>148</v>
      </c>
    </row>
    <row r="238" spans="1:67" s="1" customFormat="1" ht="15" customHeight="1" x14ac:dyDescent="0.3">
      <c r="A238" s="20">
        <v>234</v>
      </c>
      <c r="B238" s="21">
        <v>46098</v>
      </c>
      <c r="C238" s="21">
        <v>46102</v>
      </c>
      <c r="D238" s="62" t="s">
        <v>697</v>
      </c>
      <c r="E238" s="23">
        <v>46116</v>
      </c>
      <c r="F238" s="23" t="s">
        <v>7</v>
      </c>
      <c r="G238" s="24" t="s">
        <v>68</v>
      </c>
      <c r="H238" s="24" t="s">
        <v>69</v>
      </c>
      <c r="I238" s="24" t="s">
        <v>70</v>
      </c>
      <c r="J238" s="25" t="s">
        <v>215</v>
      </c>
      <c r="K238" s="45" t="str">
        <f t="shared" si="92"/>
        <v>WB39B0802</v>
      </c>
      <c r="L238" s="26">
        <v>46100</v>
      </c>
      <c r="M238" s="34" t="s">
        <v>1369</v>
      </c>
      <c r="N238" s="27" t="s">
        <v>1370</v>
      </c>
      <c r="O238" s="28">
        <v>0</v>
      </c>
      <c r="P238" s="27" t="s">
        <v>1371</v>
      </c>
      <c r="Q238" s="29">
        <v>2525368354</v>
      </c>
      <c r="R238" s="30">
        <v>2110815462</v>
      </c>
      <c r="S238" s="63" t="s">
        <v>73</v>
      </c>
      <c r="T238" s="24" t="s">
        <v>74</v>
      </c>
      <c r="U238" s="24" t="s">
        <v>75</v>
      </c>
      <c r="V238" s="32" t="s">
        <v>1372</v>
      </c>
      <c r="W238" s="32" t="s">
        <v>563</v>
      </c>
      <c r="X238" s="32" t="s">
        <v>1373</v>
      </c>
      <c r="Y238" s="24">
        <v>842</v>
      </c>
      <c r="Z238" s="24">
        <v>19</v>
      </c>
      <c r="AA238" s="24">
        <f t="shared" si="93"/>
        <v>799.9</v>
      </c>
      <c r="AB238" s="24">
        <f t="shared" si="85"/>
        <v>15998</v>
      </c>
      <c r="AC238" s="24">
        <f t="shared" si="86"/>
        <v>15198.099999999999</v>
      </c>
      <c r="AD238" s="24">
        <f t="shared" si="87"/>
        <v>15198.1</v>
      </c>
      <c r="AE238" s="24">
        <f t="shared" si="88"/>
        <v>799.89999999999964</v>
      </c>
      <c r="AF238" s="24">
        <f t="shared" si="108"/>
        <v>151.98099999999999</v>
      </c>
      <c r="AG238" s="33">
        <v>3700</v>
      </c>
      <c r="AH238" s="24"/>
      <c r="AI238" s="24"/>
      <c r="AJ238" s="24"/>
      <c r="AK238" s="24"/>
      <c r="AL238" s="24"/>
      <c r="AM238" s="24" t="s">
        <v>79</v>
      </c>
      <c r="AN238" s="34" t="s">
        <v>1374</v>
      </c>
      <c r="AO238" s="35" t="s">
        <v>973</v>
      </c>
      <c r="AP238" s="24">
        <f>178*2</f>
        <v>356</v>
      </c>
      <c r="AQ238" s="36">
        <f t="shared" si="94"/>
        <v>109.53846153846153</v>
      </c>
      <c r="AR238" s="67">
        <v>95</v>
      </c>
      <c r="AS238" s="68">
        <f t="shared" si="95"/>
        <v>-14.538461538461533</v>
      </c>
      <c r="AT238" s="69"/>
      <c r="AU238" s="68">
        <f t="shared" si="96"/>
        <v>-14.538461538461533</v>
      </c>
      <c r="AV238" s="70">
        <v>91.99</v>
      </c>
      <c r="AW238" s="65">
        <f t="shared" si="89"/>
        <v>8739.0499999999993</v>
      </c>
      <c r="AX238" s="24">
        <f t="shared" si="104"/>
        <v>81.846086023910885</v>
      </c>
      <c r="AY238" s="24">
        <v>120</v>
      </c>
      <c r="AZ238" s="24"/>
      <c r="BA238" s="24"/>
      <c r="BB238" s="24">
        <f t="shared" si="97"/>
        <v>0</v>
      </c>
      <c r="BC238" s="24">
        <f t="shared" si="98"/>
        <v>2487.0690000000013</v>
      </c>
      <c r="BD238" s="24">
        <v>110</v>
      </c>
      <c r="BE238" s="24">
        <v>110</v>
      </c>
      <c r="BF238" s="24"/>
      <c r="BG238" s="24">
        <f>+AD238*8.5%</f>
        <v>1291.8385000000001</v>
      </c>
      <c r="BH238" s="24">
        <f>+AD238*8.5%</f>
        <v>1291.8385000000001</v>
      </c>
      <c r="BI238" s="24"/>
      <c r="BJ238" s="24">
        <f t="shared" si="99"/>
        <v>25.836770000000001</v>
      </c>
      <c r="BK238" s="24">
        <f t="shared" si="100"/>
        <v>5264.9092300000011</v>
      </c>
      <c r="BL238" s="24" t="s">
        <v>82</v>
      </c>
      <c r="BM238" s="42">
        <f t="shared" si="91"/>
        <v>3</v>
      </c>
      <c r="BN238" s="24" t="s">
        <v>139</v>
      </c>
      <c r="BO238" s="2" t="s">
        <v>424</v>
      </c>
    </row>
    <row r="239" spans="1:67" s="1" customFormat="1" ht="15" customHeight="1" x14ac:dyDescent="0.3">
      <c r="A239" s="20">
        <v>235</v>
      </c>
      <c r="B239" s="21">
        <v>46098</v>
      </c>
      <c r="C239" s="21">
        <v>46105</v>
      </c>
      <c r="D239" s="56" t="s">
        <v>1015</v>
      </c>
      <c r="E239" s="23">
        <v>46107</v>
      </c>
      <c r="F239" s="23" t="s">
        <v>7</v>
      </c>
      <c r="G239" s="24" t="s">
        <v>68</v>
      </c>
      <c r="H239" s="24" t="s">
        <v>69</v>
      </c>
      <c r="I239" s="24" t="s">
        <v>70</v>
      </c>
      <c r="J239" s="25" t="s">
        <v>650</v>
      </c>
      <c r="K239" s="45" t="str">
        <f t="shared" si="92"/>
        <v>WB39B0926</v>
      </c>
      <c r="L239" s="26">
        <v>46101</v>
      </c>
      <c r="M239" s="34" t="s">
        <v>1375</v>
      </c>
      <c r="N239" s="27" t="s">
        <v>1376</v>
      </c>
      <c r="O239" s="28">
        <v>0</v>
      </c>
      <c r="P239" s="27" t="s">
        <v>1377</v>
      </c>
      <c r="Q239" s="29">
        <v>2525368330</v>
      </c>
      <c r="R239" s="30">
        <v>2110815454</v>
      </c>
      <c r="S239" s="31" t="s">
        <v>73</v>
      </c>
      <c r="T239" s="24" t="s">
        <v>91</v>
      </c>
      <c r="U239" s="24" t="s">
        <v>75</v>
      </c>
      <c r="V239" s="32" t="s">
        <v>1242</v>
      </c>
      <c r="W239" s="32" t="s">
        <v>1243</v>
      </c>
      <c r="X239" s="32" t="s">
        <v>1378</v>
      </c>
      <c r="Y239" s="24">
        <v>1102</v>
      </c>
      <c r="Z239" s="24">
        <v>25</v>
      </c>
      <c r="AA239" s="24">
        <f t="shared" si="93"/>
        <v>1046.8999999999999</v>
      </c>
      <c r="AB239" s="24">
        <f t="shared" si="85"/>
        <v>27550</v>
      </c>
      <c r="AC239" s="24">
        <f t="shared" si="86"/>
        <v>26172.5</v>
      </c>
      <c r="AD239" s="24">
        <f t="shared" si="87"/>
        <v>26172.499999999996</v>
      </c>
      <c r="AE239" s="24">
        <f t="shared" si="88"/>
        <v>1377.5000000000036</v>
      </c>
      <c r="AF239" s="24">
        <v>0</v>
      </c>
      <c r="AG239" s="33">
        <v>7700</v>
      </c>
      <c r="AH239" s="24"/>
      <c r="AI239" s="24"/>
      <c r="AJ239" s="24"/>
      <c r="AK239" s="24"/>
      <c r="AL239" s="24"/>
      <c r="AM239" s="24" t="s">
        <v>79</v>
      </c>
      <c r="AN239" s="34" t="s">
        <v>1379</v>
      </c>
      <c r="AO239" s="35" t="s">
        <v>973</v>
      </c>
      <c r="AP239" s="24">
        <f>252*2</f>
        <v>504</v>
      </c>
      <c r="AQ239" s="36">
        <f t="shared" si="94"/>
        <v>155.07692307692307</v>
      </c>
      <c r="AR239" s="67">
        <v>150</v>
      </c>
      <c r="AS239" s="68">
        <f t="shared" si="95"/>
        <v>-5.076923076923066</v>
      </c>
      <c r="AT239" s="69"/>
      <c r="AU239" s="68">
        <f t="shared" si="96"/>
        <v>-5.076923076923066</v>
      </c>
      <c r="AV239" s="70">
        <v>91.99</v>
      </c>
      <c r="AW239" s="65">
        <f t="shared" si="89"/>
        <v>13798.5</v>
      </c>
      <c r="AX239" s="24">
        <f t="shared" si="104"/>
        <v>82.141560798548113</v>
      </c>
      <c r="AY239" s="24"/>
      <c r="AZ239" s="24"/>
      <c r="BA239" s="24"/>
      <c r="BB239" s="24">
        <f t="shared" si="97"/>
        <v>0</v>
      </c>
      <c r="BC239" s="24">
        <f t="shared" si="98"/>
        <v>4673.9999999999964</v>
      </c>
      <c r="BD239" s="24"/>
      <c r="BE239" s="24"/>
      <c r="BF239" s="24"/>
      <c r="BG239" s="24">
        <f>+AB239*9.5%</f>
        <v>2617.25</v>
      </c>
      <c r="BH239" s="24"/>
      <c r="BI239" s="24"/>
      <c r="BJ239" s="24">
        <f t="shared" si="99"/>
        <v>26.172499999999999</v>
      </c>
      <c r="BK239" s="24">
        <f t="shared" si="100"/>
        <v>7265.0774999999967</v>
      </c>
      <c r="BL239" s="24" t="s">
        <v>657</v>
      </c>
      <c r="BM239" s="42">
        <f t="shared" si="91"/>
        <v>4</v>
      </c>
      <c r="BN239" s="24" t="s">
        <v>174</v>
      </c>
      <c r="BO239" s="2" t="s">
        <v>175</v>
      </c>
    </row>
    <row r="240" spans="1:67" s="1" customFormat="1" ht="15" customHeight="1" x14ac:dyDescent="0.3">
      <c r="A240" s="20">
        <v>236</v>
      </c>
      <c r="B240" s="21">
        <v>46098</v>
      </c>
      <c r="C240" s="21">
        <v>46102</v>
      </c>
      <c r="D240" s="62" t="s">
        <v>1380</v>
      </c>
      <c r="E240" s="23">
        <v>46116</v>
      </c>
      <c r="F240" s="23" t="s">
        <v>7</v>
      </c>
      <c r="G240" s="24" t="s">
        <v>68</v>
      </c>
      <c r="H240" s="24" t="s">
        <v>69</v>
      </c>
      <c r="I240" s="24" t="s">
        <v>70</v>
      </c>
      <c r="J240" s="25" t="s">
        <v>203</v>
      </c>
      <c r="K240" s="45" t="str">
        <f t="shared" si="92"/>
        <v>WB39B0800</v>
      </c>
      <c r="L240" s="26">
        <v>46098</v>
      </c>
      <c r="M240" s="34" t="s">
        <v>1381</v>
      </c>
      <c r="N240" s="27" t="s">
        <v>1382</v>
      </c>
      <c r="O240" s="28">
        <v>0</v>
      </c>
      <c r="P240" s="27" t="s">
        <v>1383</v>
      </c>
      <c r="Q240" s="29">
        <v>2525368389</v>
      </c>
      <c r="R240" s="30">
        <v>2110815505</v>
      </c>
      <c r="S240" s="63" t="s">
        <v>73</v>
      </c>
      <c r="T240" s="24" t="s">
        <v>74</v>
      </c>
      <c r="U240" s="24" t="s">
        <v>75</v>
      </c>
      <c r="V240" s="32" t="s">
        <v>805</v>
      </c>
      <c r="W240" s="32" t="s">
        <v>208</v>
      </c>
      <c r="X240" s="32" t="s">
        <v>1384</v>
      </c>
      <c r="Y240" s="24">
        <v>365</v>
      </c>
      <c r="Z240" s="24">
        <v>19</v>
      </c>
      <c r="AA240" s="24">
        <f t="shared" si="93"/>
        <v>346.75</v>
      </c>
      <c r="AB240" s="24">
        <f t="shared" si="85"/>
        <v>6935</v>
      </c>
      <c r="AC240" s="24">
        <f t="shared" si="86"/>
        <v>6588.2499999999991</v>
      </c>
      <c r="AD240" s="24">
        <f t="shared" si="87"/>
        <v>6588.25</v>
      </c>
      <c r="AE240" s="24">
        <f t="shared" si="88"/>
        <v>346.75</v>
      </c>
      <c r="AF240" s="24">
        <f t="shared" si="108"/>
        <v>65.882500000000007</v>
      </c>
      <c r="AG240" s="33">
        <v>2700</v>
      </c>
      <c r="AH240" s="24"/>
      <c r="AI240" s="24">
        <v>6000</v>
      </c>
      <c r="AJ240" s="24"/>
      <c r="AK240" s="24"/>
      <c r="AL240" s="24"/>
      <c r="AM240" s="24" t="s">
        <v>79</v>
      </c>
      <c r="AN240" s="34" t="s">
        <v>1385</v>
      </c>
      <c r="AO240" s="35" t="s">
        <v>973</v>
      </c>
      <c r="AP240" s="24">
        <f>52*2</f>
        <v>104</v>
      </c>
      <c r="AQ240" s="36">
        <f t="shared" si="94"/>
        <v>32</v>
      </c>
      <c r="AR240" s="67">
        <v>35</v>
      </c>
      <c r="AS240" s="68">
        <f t="shared" si="95"/>
        <v>3</v>
      </c>
      <c r="AT240" s="69"/>
      <c r="AU240" s="68">
        <f t="shared" si="96"/>
        <v>3</v>
      </c>
      <c r="AV240" s="70">
        <v>91.99</v>
      </c>
      <c r="AW240" s="65">
        <f t="shared" si="89"/>
        <v>3219.6499999999996</v>
      </c>
      <c r="AX240" s="24">
        <f t="shared" si="104"/>
        <v>89.851629795469208</v>
      </c>
      <c r="AY240" s="24">
        <v>120</v>
      </c>
      <c r="AZ240" s="24"/>
      <c r="BA240" s="24"/>
      <c r="BB240" s="24">
        <f t="shared" si="97"/>
        <v>0</v>
      </c>
      <c r="BC240" s="24">
        <f t="shared" si="98"/>
        <v>-5517.2824999999993</v>
      </c>
      <c r="BD240" s="24">
        <v>110</v>
      </c>
      <c r="BE240" s="24">
        <v>110</v>
      </c>
      <c r="BF240" s="24"/>
      <c r="BG240" s="24">
        <f>+AD240*8.5%</f>
        <v>560.00125000000003</v>
      </c>
      <c r="BH240" s="24">
        <f>+AD240*8.5%</f>
        <v>560.00125000000003</v>
      </c>
      <c r="BI240" s="24"/>
      <c r="BJ240" s="24">
        <f t="shared" si="99"/>
        <v>11.200025</v>
      </c>
      <c r="BK240" s="24">
        <f t="shared" si="100"/>
        <v>-4188.4800249999989</v>
      </c>
      <c r="BL240" s="24" t="s">
        <v>82</v>
      </c>
      <c r="BM240" s="42">
        <f t="shared" si="91"/>
        <v>1</v>
      </c>
      <c r="BN240" s="24" t="s">
        <v>610</v>
      </c>
      <c r="BO240" s="2" t="s">
        <v>148</v>
      </c>
    </row>
    <row r="241" spans="1:67" s="1" customFormat="1" ht="15" customHeight="1" x14ac:dyDescent="0.3">
      <c r="A241" s="20">
        <v>237</v>
      </c>
      <c r="B241" s="21">
        <v>46098</v>
      </c>
      <c r="C241" s="21">
        <v>46102</v>
      </c>
      <c r="D241" s="52" t="s">
        <v>1132</v>
      </c>
      <c r="E241" s="23">
        <v>46104</v>
      </c>
      <c r="F241" s="23" t="s">
        <v>7</v>
      </c>
      <c r="G241" s="24" t="s">
        <v>68</v>
      </c>
      <c r="H241" s="24" t="s">
        <v>69</v>
      </c>
      <c r="I241" s="24" t="s">
        <v>70</v>
      </c>
      <c r="J241" s="25" t="s">
        <v>674</v>
      </c>
      <c r="K241" s="45" t="str">
        <f t="shared" si="92"/>
        <v>WB39B3049</v>
      </c>
      <c r="L241" s="26">
        <v>46100</v>
      </c>
      <c r="M241" s="34" t="s">
        <v>1386</v>
      </c>
      <c r="N241" s="27" t="s">
        <v>1387</v>
      </c>
      <c r="O241" s="28">
        <v>0</v>
      </c>
      <c r="P241" s="27" t="s">
        <v>1388</v>
      </c>
      <c r="Q241" s="29">
        <v>2590200372</v>
      </c>
      <c r="R241" s="30">
        <v>2160378214</v>
      </c>
      <c r="S241" s="31" t="s">
        <v>73</v>
      </c>
      <c r="T241" s="24" t="s">
        <v>91</v>
      </c>
      <c r="U241" s="24" t="s">
        <v>347</v>
      </c>
      <c r="V241" s="32" t="s">
        <v>616</v>
      </c>
      <c r="W241" s="32" t="s">
        <v>349</v>
      </c>
      <c r="X241" s="32" t="s">
        <v>349</v>
      </c>
      <c r="Y241" s="24">
        <v>934</v>
      </c>
      <c r="Z241" s="24">
        <v>25</v>
      </c>
      <c r="AA241" s="24">
        <f t="shared" si="93"/>
        <v>887.3</v>
      </c>
      <c r="AB241" s="24">
        <f t="shared" si="85"/>
        <v>23350</v>
      </c>
      <c r="AC241" s="24">
        <f t="shared" si="86"/>
        <v>22182.5</v>
      </c>
      <c r="AD241" s="24">
        <f t="shared" si="87"/>
        <v>22182.5</v>
      </c>
      <c r="AE241" s="24">
        <f t="shared" si="88"/>
        <v>1167.5</v>
      </c>
      <c r="AF241" s="24">
        <f t="shared" si="108"/>
        <v>221.82500000000002</v>
      </c>
      <c r="AG241" s="33">
        <v>5400</v>
      </c>
      <c r="AH241" s="24"/>
      <c r="AI241" s="24"/>
      <c r="AJ241" s="24"/>
      <c r="AK241" s="24">
        <v>115</v>
      </c>
      <c r="AL241" s="24"/>
      <c r="AM241" s="24" t="s">
        <v>79</v>
      </c>
      <c r="AN241" s="34" t="s">
        <v>1389</v>
      </c>
      <c r="AO241" s="35" t="s">
        <v>973</v>
      </c>
      <c r="AP241" s="24">
        <f>225*2</f>
        <v>450</v>
      </c>
      <c r="AQ241" s="36">
        <f t="shared" si="94"/>
        <v>138.46153846153845</v>
      </c>
      <c r="AR241" s="67">
        <v>150</v>
      </c>
      <c r="AS241" s="68">
        <f t="shared" si="95"/>
        <v>11.538461538461547</v>
      </c>
      <c r="AT241" s="69"/>
      <c r="AU241" s="68">
        <f t="shared" si="96"/>
        <v>11.538461538461547</v>
      </c>
      <c r="AV241" s="70">
        <v>91.99</v>
      </c>
      <c r="AW241" s="65">
        <f t="shared" si="89"/>
        <v>13798.5</v>
      </c>
      <c r="AX241" s="24">
        <f t="shared" si="104"/>
        <v>86.547954468612645</v>
      </c>
      <c r="AY241" s="24"/>
      <c r="AZ241" s="24"/>
      <c r="BA241" s="24"/>
      <c r="BB241" s="24">
        <f t="shared" si="97"/>
        <v>0</v>
      </c>
      <c r="BC241" s="24">
        <f t="shared" si="98"/>
        <v>2647.1749999999993</v>
      </c>
      <c r="BD241" s="24"/>
      <c r="BE241" s="24"/>
      <c r="BF241" s="24"/>
      <c r="BG241" s="24">
        <f>+AD241*9.5%</f>
        <v>2107.3375000000001</v>
      </c>
      <c r="BH241" s="24"/>
      <c r="BI241" s="24"/>
      <c r="BJ241" s="24">
        <f t="shared" si="99"/>
        <v>21.073375000000002</v>
      </c>
      <c r="BK241" s="24">
        <f t="shared" si="100"/>
        <v>4733.439124999999</v>
      </c>
      <c r="BL241" s="24" t="s">
        <v>680</v>
      </c>
      <c r="BM241" s="42">
        <f t="shared" si="91"/>
        <v>3</v>
      </c>
      <c r="BN241" s="24" t="s">
        <v>139</v>
      </c>
      <c r="BO241" s="2" t="s">
        <v>500</v>
      </c>
    </row>
    <row r="242" spans="1:67" s="1" customFormat="1" ht="15" customHeight="1" x14ac:dyDescent="0.3">
      <c r="A242" s="20">
        <v>238</v>
      </c>
      <c r="B242" s="21">
        <v>46098</v>
      </c>
      <c r="C242" s="21">
        <v>46112</v>
      </c>
      <c r="D242" s="62" t="s">
        <v>1380</v>
      </c>
      <c r="E242" s="23">
        <v>46116</v>
      </c>
      <c r="F242" s="23" t="s">
        <v>7</v>
      </c>
      <c r="G242" s="24" t="s">
        <v>68</v>
      </c>
      <c r="H242" s="24" t="s">
        <v>69</v>
      </c>
      <c r="I242" s="24" t="s">
        <v>70</v>
      </c>
      <c r="J242" s="25" t="s">
        <v>630</v>
      </c>
      <c r="K242" s="45" t="str">
        <f t="shared" si="92"/>
        <v>WB39B8879</v>
      </c>
      <c r="L242" s="26">
        <v>46099</v>
      </c>
      <c r="M242" s="34" t="s">
        <v>1390</v>
      </c>
      <c r="N242" s="27" t="s">
        <v>1391</v>
      </c>
      <c r="O242" s="28">
        <v>0</v>
      </c>
      <c r="P242" s="27" t="s">
        <v>1392</v>
      </c>
      <c r="Q242" s="29">
        <v>2525368641</v>
      </c>
      <c r="R242" s="30">
        <v>2110816007</v>
      </c>
      <c r="S242" s="63" t="s">
        <v>73</v>
      </c>
      <c r="T242" s="24" t="s">
        <v>91</v>
      </c>
      <c r="U242" s="24" t="s">
        <v>75</v>
      </c>
      <c r="V242" s="32" t="s">
        <v>616</v>
      </c>
      <c r="W242" s="32" t="s">
        <v>838</v>
      </c>
      <c r="X242" s="32" t="s">
        <v>1393</v>
      </c>
      <c r="Y242" s="24">
        <v>934</v>
      </c>
      <c r="Z242" s="24">
        <v>25</v>
      </c>
      <c r="AA242" s="24">
        <f t="shared" si="93"/>
        <v>887.3</v>
      </c>
      <c r="AB242" s="24">
        <f t="shared" si="85"/>
        <v>23350</v>
      </c>
      <c r="AC242" s="24">
        <f t="shared" si="86"/>
        <v>22182.5</v>
      </c>
      <c r="AD242" s="24">
        <f t="shared" si="87"/>
        <v>22182.5</v>
      </c>
      <c r="AE242" s="24">
        <f t="shared" si="88"/>
        <v>1167.5</v>
      </c>
      <c r="AF242" s="24">
        <f t="shared" si="108"/>
        <v>221.82500000000002</v>
      </c>
      <c r="AG242" s="33">
        <v>3600</v>
      </c>
      <c r="AH242" s="24"/>
      <c r="AI242" s="24"/>
      <c r="AJ242" s="24"/>
      <c r="AK242" s="24"/>
      <c r="AL242" s="24"/>
      <c r="AM242" s="24" t="s">
        <v>79</v>
      </c>
      <c r="AN242" s="34" t="s">
        <v>1394</v>
      </c>
      <c r="AO242" s="35" t="s">
        <v>973</v>
      </c>
      <c r="AP242" s="24">
        <f>225*2</f>
        <v>450</v>
      </c>
      <c r="AQ242" s="36">
        <f t="shared" si="94"/>
        <v>138.46153846153845</v>
      </c>
      <c r="AR242" s="67">
        <v>150</v>
      </c>
      <c r="AS242" s="68">
        <f t="shared" si="95"/>
        <v>11.538461538461547</v>
      </c>
      <c r="AT242" s="69"/>
      <c r="AU242" s="68">
        <f t="shared" si="96"/>
        <v>11.538461538461547</v>
      </c>
      <c r="AV242" s="70">
        <v>91.99</v>
      </c>
      <c r="AW242" s="65">
        <f t="shared" si="89"/>
        <v>13798.5</v>
      </c>
      <c r="AX242" s="24">
        <f t="shared" si="104"/>
        <v>78.433449791502312</v>
      </c>
      <c r="AY242" s="24"/>
      <c r="AZ242" s="24"/>
      <c r="BA242" s="24"/>
      <c r="BB242" s="24">
        <f t="shared" si="97"/>
        <v>0</v>
      </c>
      <c r="BC242" s="24">
        <f t="shared" si="98"/>
        <v>4562.1749999999993</v>
      </c>
      <c r="BD242" s="24"/>
      <c r="BE242" s="24"/>
      <c r="BF242" s="24"/>
      <c r="BG242" s="24">
        <f>+AD242*9.5%</f>
        <v>2107.3375000000001</v>
      </c>
      <c r="BH242" s="24"/>
      <c r="BI242" s="24"/>
      <c r="BJ242" s="24">
        <f t="shared" si="99"/>
        <v>21.073375000000002</v>
      </c>
      <c r="BK242" s="24">
        <f t="shared" si="100"/>
        <v>6648.439124999999</v>
      </c>
      <c r="BL242" s="24" t="s">
        <v>638</v>
      </c>
      <c r="BM242" s="42">
        <f t="shared" si="91"/>
        <v>2</v>
      </c>
      <c r="BN242" s="24" t="s">
        <v>83</v>
      </c>
      <c r="BO242" s="2" t="s">
        <v>84</v>
      </c>
    </row>
    <row r="243" spans="1:67" s="1" customFormat="1" ht="15" customHeight="1" x14ac:dyDescent="0.3">
      <c r="A243" s="20">
        <v>239</v>
      </c>
      <c r="B243" s="21">
        <v>46098</v>
      </c>
      <c r="C243" s="21">
        <v>46102</v>
      </c>
      <c r="D243" s="52" t="s">
        <v>855</v>
      </c>
      <c r="E243" s="23">
        <v>46104</v>
      </c>
      <c r="F243" s="23" t="s">
        <v>7</v>
      </c>
      <c r="G243" s="24" t="s">
        <v>68</v>
      </c>
      <c r="H243" s="24" t="s">
        <v>69</v>
      </c>
      <c r="I243" s="24" t="s">
        <v>70</v>
      </c>
      <c r="J243" s="25" t="s">
        <v>842</v>
      </c>
      <c r="K243" s="45" t="str">
        <f t="shared" si="92"/>
        <v>WB39B8924</v>
      </c>
      <c r="L243" s="26">
        <v>46099</v>
      </c>
      <c r="M243" s="34" t="s">
        <v>1395</v>
      </c>
      <c r="N243" s="27" t="s">
        <v>1396</v>
      </c>
      <c r="O243" s="28">
        <v>0</v>
      </c>
      <c r="P243" s="27" t="s">
        <v>1397</v>
      </c>
      <c r="Q243" s="29">
        <v>2525368742</v>
      </c>
      <c r="R243" s="30">
        <v>2110816142</v>
      </c>
      <c r="S243" s="31" t="s">
        <v>73</v>
      </c>
      <c r="T243" s="24" t="s">
        <v>91</v>
      </c>
      <c r="U243" s="24" t="s">
        <v>75</v>
      </c>
      <c r="V243" s="32" t="s">
        <v>179</v>
      </c>
      <c r="W243" s="32" t="s">
        <v>180</v>
      </c>
      <c r="X243" s="32" t="s">
        <v>180</v>
      </c>
      <c r="Y243" s="24">
        <v>1047</v>
      </c>
      <c r="Z243" s="24">
        <v>25</v>
      </c>
      <c r="AA243" s="24">
        <f t="shared" si="93"/>
        <v>994.65000000000009</v>
      </c>
      <c r="AB243" s="24">
        <f t="shared" si="85"/>
        <v>26175</v>
      </c>
      <c r="AC243" s="24">
        <f t="shared" si="86"/>
        <v>24866.25</v>
      </c>
      <c r="AD243" s="24">
        <f t="shared" si="87"/>
        <v>24866.250000000004</v>
      </c>
      <c r="AE243" s="24">
        <f t="shared" si="88"/>
        <v>1308.7499999999964</v>
      </c>
      <c r="AF243" s="24">
        <f t="shared" si="108"/>
        <v>248.66250000000005</v>
      </c>
      <c r="AG243" s="33">
        <v>3600</v>
      </c>
      <c r="AH243" s="24"/>
      <c r="AI243" s="24"/>
      <c r="AJ243" s="24"/>
      <c r="AK243" s="24">
        <v>115</v>
      </c>
      <c r="AL243" s="24"/>
      <c r="AM243" s="24" t="s">
        <v>79</v>
      </c>
      <c r="AN243" s="34" t="s">
        <v>1398</v>
      </c>
      <c r="AO243" s="35" t="s">
        <v>973</v>
      </c>
      <c r="AP243" s="24">
        <f>250*2</f>
        <v>500</v>
      </c>
      <c r="AQ243" s="36">
        <f t="shared" si="94"/>
        <v>153.84615384615384</v>
      </c>
      <c r="AR243" s="67">
        <v>165</v>
      </c>
      <c r="AS243" s="68">
        <f t="shared" si="95"/>
        <v>11.15384615384616</v>
      </c>
      <c r="AT243" s="69"/>
      <c r="AU243" s="68">
        <f t="shared" si="96"/>
        <v>11.15384615384616</v>
      </c>
      <c r="AV243" s="70">
        <v>91.99</v>
      </c>
      <c r="AW243" s="65">
        <f t="shared" si="89"/>
        <v>15178.349999999999</v>
      </c>
      <c r="AX243" s="24">
        <f t="shared" si="104"/>
        <v>75.517418187302056</v>
      </c>
      <c r="AY243" s="24"/>
      <c r="AZ243" s="24"/>
      <c r="BA243" s="24"/>
      <c r="BB243" s="24">
        <f t="shared" si="97"/>
        <v>0</v>
      </c>
      <c r="BC243" s="24">
        <f t="shared" si="98"/>
        <v>5724.2375000000065</v>
      </c>
      <c r="BD243" s="24"/>
      <c r="BE243" s="24"/>
      <c r="BF243" s="24"/>
      <c r="BG243" s="24">
        <f>+AD243*9.5%</f>
        <v>2362.2937500000003</v>
      </c>
      <c r="BH243" s="24"/>
      <c r="BI243" s="24"/>
      <c r="BJ243" s="24">
        <f t="shared" si="99"/>
        <v>23.622937500000003</v>
      </c>
      <c r="BK243" s="24">
        <f t="shared" si="100"/>
        <v>8062.908312500007</v>
      </c>
      <c r="BL243" s="24" t="s">
        <v>638</v>
      </c>
      <c r="BM243" s="42">
        <f t="shared" si="91"/>
        <v>2</v>
      </c>
      <c r="BN243" s="24" t="s">
        <v>83</v>
      </c>
      <c r="BO243" s="2" t="s">
        <v>175</v>
      </c>
    </row>
    <row r="244" spans="1:67" s="1" customFormat="1" ht="15" customHeight="1" x14ac:dyDescent="0.3">
      <c r="A244" s="20">
        <v>240</v>
      </c>
      <c r="B244" s="21">
        <v>46098</v>
      </c>
      <c r="C244" s="71">
        <v>46104</v>
      </c>
      <c r="D244" s="52" t="s">
        <v>1199</v>
      </c>
      <c r="E244" s="23">
        <v>46104</v>
      </c>
      <c r="F244" s="23" t="s">
        <v>7</v>
      </c>
      <c r="G244" s="24" t="s">
        <v>68</v>
      </c>
      <c r="H244" s="24" t="s">
        <v>69</v>
      </c>
      <c r="I244" s="24" t="s">
        <v>513</v>
      </c>
      <c r="J244" s="25" t="s">
        <v>514</v>
      </c>
      <c r="K244" s="45" t="str">
        <f t="shared" si="92"/>
        <v>WB67B3669</v>
      </c>
      <c r="L244" s="26">
        <v>46099</v>
      </c>
      <c r="M244" s="34" t="s">
        <v>1399</v>
      </c>
      <c r="N244" s="27" t="s">
        <v>1400</v>
      </c>
      <c r="O244" s="28">
        <v>0</v>
      </c>
      <c r="P244" s="27" t="s">
        <v>1401</v>
      </c>
      <c r="Q244" s="29">
        <v>2525368755</v>
      </c>
      <c r="R244" s="30">
        <v>2110816144</v>
      </c>
      <c r="S244" s="31" t="s">
        <v>73</v>
      </c>
      <c r="T244" s="24" t="s">
        <v>241</v>
      </c>
      <c r="U244" s="24" t="s">
        <v>75</v>
      </c>
      <c r="V244" s="32" t="s">
        <v>1013</v>
      </c>
      <c r="W244" s="32" t="s">
        <v>243</v>
      </c>
      <c r="X244" s="32"/>
      <c r="Y244" s="24">
        <v>972</v>
      </c>
      <c r="Z244" s="24">
        <v>15</v>
      </c>
      <c r="AA244" s="24">
        <f t="shared" si="93"/>
        <v>923.40000000000009</v>
      </c>
      <c r="AB244" s="24">
        <f t="shared" si="85"/>
        <v>14580</v>
      </c>
      <c r="AC244" s="24">
        <f t="shared" si="86"/>
        <v>13851.000000000002</v>
      </c>
      <c r="AD244" s="24">
        <f t="shared" si="87"/>
        <v>13851.000000000002</v>
      </c>
      <c r="AE244" s="24">
        <f t="shared" si="88"/>
        <v>728.99999999999818</v>
      </c>
      <c r="AF244" s="24">
        <v>0</v>
      </c>
      <c r="AG244" s="33">
        <v>4900</v>
      </c>
      <c r="AH244" s="24"/>
      <c r="AI244" s="24"/>
      <c r="AJ244" s="24"/>
      <c r="AK244" s="24"/>
      <c r="AL244" s="24"/>
      <c r="AM244" s="24" t="s">
        <v>79</v>
      </c>
      <c r="AN244" s="34" t="s">
        <v>1402</v>
      </c>
      <c r="AO244" s="35" t="s">
        <v>973</v>
      </c>
      <c r="AP244" s="24">
        <f>237*2</f>
        <v>474</v>
      </c>
      <c r="AQ244" s="36">
        <f t="shared" si="94"/>
        <v>145.84615384615384</v>
      </c>
      <c r="AR244" s="67">
        <v>188</v>
      </c>
      <c r="AS244" s="68">
        <f t="shared" si="95"/>
        <v>42.15384615384616</v>
      </c>
      <c r="AT244" s="69"/>
      <c r="AU244" s="68">
        <f t="shared" si="96"/>
        <v>42.15384615384616</v>
      </c>
      <c r="AV244" s="70">
        <v>91.99</v>
      </c>
      <c r="AW244" s="65">
        <f t="shared" si="89"/>
        <v>17294.12</v>
      </c>
      <c r="AX244" s="24">
        <f t="shared" si="104"/>
        <v>160.23478449209441</v>
      </c>
      <c r="AY244" s="24"/>
      <c r="AZ244" s="24"/>
      <c r="BA244" s="24"/>
      <c r="BB244" s="24">
        <f t="shared" si="97"/>
        <v>0</v>
      </c>
      <c r="BC244" s="24">
        <f t="shared" si="98"/>
        <v>-8343.1199999999972</v>
      </c>
      <c r="BD244" s="24"/>
      <c r="BE244" s="24"/>
      <c r="BF244" s="24"/>
      <c r="BG244" s="24">
        <f t="shared" ref="BG244:BG249" si="109">+AB244*9.5%</f>
        <v>1385.1</v>
      </c>
      <c r="BH244" s="24"/>
      <c r="BI244" s="24"/>
      <c r="BJ244" s="24">
        <f t="shared" si="99"/>
        <v>13.850999999999999</v>
      </c>
      <c r="BK244" s="24">
        <f t="shared" si="100"/>
        <v>-6971.8709999999965</v>
      </c>
      <c r="BL244" s="24" t="s">
        <v>173</v>
      </c>
      <c r="BM244" s="42">
        <f t="shared" si="91"/>
        <v>2</v>
      </c>
      <c r="BN244" s="24" t="s">
        <v>83</v>
      </c>
      <c r="BO244" s="2" t="s">
        <v>175</v>
      </c>
    </row>
    <row r="245" spans="1:67" s="1" customFormat="1" ht="15" customHeight="1" x14ac:dyDescent="0.3">
      <c r="A245" s="20">
        <v>241</v>
      </c>
      <c r="B245" s="21">
        <v>46098</v>
      </c>
      <c r="C245" s="71">
        <v>46104</v>
      </c>
      <c r="D245" s="52" t="s">
        <v>1199</v>
      </c>
      <c r="E245" s="23">
        <v>46104</v>
      </c>
      <c r="F245" s="23" t="s">
        <v>7</v>
      </c>
      <c r="G245" s="24" t="s">
        <v>68</v>
      </c>
      <c r="H245" s="24" t="s">
        <v>69</v>
      </c>
      <c r="I245" s="24" t="s">
        <v>513</v>
      </c>
      <c r="J245" s="25" t="s">
        <v>514</v>
      </c>
      <c r="K245" s="45" t="str">
        <f t="shared" si="92"/>
        <v>WB67B3669</v>
      </c>
      <c r="L245" s="26">
        <v>46099</v>
      </c>
      <c r="M245" s="34" t="s">
        <v>1403</v>
      </c>
      <c r="N245" s="27" t="s">
        <v>1404</v>
      </c>
      <c r="O245" s="28">
        <v>0</v>
      </c>
      <c r="P245" s="27" t="s">
        <v>1405</v>
      </c>
      <c r="Q245" s="29">
        <v>2525368757</v>
      </c>
      <c r="R245" s="30">
        <v>2110816145</v>
      </c>
      <c r="S245" s="31" t="s">
        <v>73</v>
      </c>
      <c r="T245" s="24" t="s">
        <v>241</v>
      </c>
      <c r="U245" s="24" t="s">
        <v>75</v>
      </c>
      <c r="V245" s="32" t="s">
        <v>1013</v>
      </c>
      <c r="W245" s="32" t="s">
        <v>243</v>
      </c>
      <c r="X245" s="32"/>
      <c r="Y245" s="24">
        <v>972</v>
      </c>
      <c r="Z245" s="24">
        <v>15</v>
      </c>
      <c r="AA245" s="24">
        <f t="shared" si="93"/>
        <v>923.40000000000009</v>
      </c>
      <c r="AB245" s="24">
        <f t="shared" si="85"/>
        <v>14580</v>
      </c>
      <c r="AC245" s="24">
        <f t="shared" si="86"/>
        <v>13851.000000000002</v>
      </c>
      <c r="AD245" s="24">
        <f t="shared" si="87"/>
        <v>13851.000000000002</v>
      </c>
      <c r="AE245" s="24">
        <f t="shared" si="88"/>
        <v>728.99999999999818</v>
      </c>
      <c r="AF245" s="24">
        <v>0</v>
      </c>
      <c r="AG245" s="31">
        <v>0</v>
      </c>
      <c r="AH245" s="24"/>
      <c r="AI245" s="24"/>
      <c r="AJ245" s="24"/>
      <c r="AK245" s="24">
        <v>115</v>
      </c>
      <c r="AL245" s="24"/>
      <c r="AM245" s="24">
        <v>0</v>
      </c>
      <c r="AN245" s="34" t="s">
        <v>213</v>
      </c>
      <c r="AO245" s="35"/>
      <c r="AP245" s="24"/>
      <c r="AQ245" s="36">
        <f t="shared" si="94"/>
        <v>0</v>
      </c>
      <c r="AR245" s="16">
        <v>0</v>
      </c>
      <c r="AS245" s="47">
        <f t="shared" si="95"/>
        <v>0</v>
      </c>
      <c r="AT245" s="31"/>
      <c r="AU245" s="47">
        <f t="shared" si="96"/>
        <v>0</v>
      </c>
      <c r="AV245" s="48">
        <v>91.99</v>
      </c>
      <c r="AW245" s="24">
        <f t="shared" si="89"/>
        <v>0</v>
      </c>
      <c r="AX245" s="24">
        <f t="shared" si="104"/>
        <v>0</v>
      </c>
      <c r="AY245" s="24"/>
      <c r="AZ245" s="24"/>
      <c r="BA245" s="24"/>
      <c r="BB245" s="24">
        <f t="shared" si="97"/>
        <v>0</v>
      </c>
      <c r="BC245" s="24">
        <f t="shared" si="98"/>
        <v>13736.000000000002</v>
      </c>
      <c r="BD245" s="24"/>
      <c r="BE245" s="24"/>
      <c r="BF245" s="24"/>
      <c r="BG245" s="24">
        <f t="shared" si="109"/>
        <v>1385.1</v>
      </c>
      <c r="BH245" s="24"/>
      <c r="BI245" s="24"/>
      <c r="BJ245" s="24">
        <f t="shared" si="99"/>
        <v>13.850999999999999</v>
      </c>
      <c r="BK245" s="24">
        <f t="shared" si="100"/>
        <v>15107.249000000002</v>
      </c>
      <c r="BL245" s="24" t="s">
        <v>173</v>
      </c>
      <c r="BM245" s="42">
        <f t="shared" si="91"/>
        <v>2</v>
      </c>
      <c r="BN245" s="24" t="s">
        <v>83</v>
      </c>
      <c r="BO245" s="2" t="s">
        <v>175</v>
      </c>
    </row>
    <row r="246" spans="1:67" s="1" customFormat="1" ht="15" customHeight="1" x14ac:dyDescent="0.3">
      <c r="A246" s="20">
        <v>242</v>
      </c>
      <c r="B246" s="21">
        <v>46098</v>
      </c>
      <c r="C246" s="21">
        <v>46102</v>
      </c>
      <c r="D246" s="52" t="s">
        <v>718</v>
      </c>
      <c r="E246" s="23">
        <v>46105</v>
      </c>
      <c r="F246" s="23" t="s">
        <v>7</v>
      </c>
      <c r="G246" s="24" t="s">
        <v>68</v>
      </c>
      <c r="H246" s="24" t="s">
        <v>69</v>
      </c>
      <c r="I246" s="24" t="s">
        <v>236</v>
      </c>
      <c r="J246" s="25" t="s">
        <v>237</v>
      </c>
      <c r="K246" s="45" t="str">
        <f t="shared" si="92"/>
        <v>WB41J9798</v>
      </c>
      <c r="L246" s="26">
        <v>46099</v>
      </c>
      <c r="M246" s="34" t="s">
        <v>1406</v>
      </c>
      <c r="N246" s="27" t="s">
        <v>1407</v>
      </c>
      <c r="O246" s="28">
        <v>0</v>
      </c>
      <c r="P246" s="27" t="s">
        <v>1408</v>
      </c>
      <c r="Q246" s="29">
        <v>2525368749</v>
      </c>
      <c r="R246" s="30">
        <v>2110816143</v>
      </c>
      <c r="S246" s="31" t="s">
        <v>73</v>
      </c>
      <c r="T246" s="24" t="s">
        <v>241</v>
      </c>
      <c r="U246" s="24" t="s">
        <v>75</v>
      </c>
      <c r="V246" s="32" t="s">
        <v>616</v>
      </c>
      <c r="W246" s="32" t="s">
        <v>838</v>
      </c>
      <c r="X246" s="32" t="s">
        <v>1409</v>
      </c>
      <c r="Y246" s="24">
        <v>934</v>
      </c>
      <c r="Z246" s="24">
        <v>30</v>
      </c>
      <c r="AA246" s="24">
        <f t="shared" si="93"/>
        <v>887.3</v>
      </c>
      <c r="AB246" s="24">
        <f t="shared" si="85"/>
        <v>28020</v>
      </c>
      <c r="AC246" s="24">
        <f t="shared" si="86"/>
        <v>26619</v>
      </c>
      <c r="AD246" s="24">
        <f t="shared" si="87"/>
        <v>26619</v>
      </c>
      <c r="AE246" s="24">
        <f t="shared" si="88"/>
        <v>1401</v>
      </c>
      <c r="AF246" s="24">
        <v>0</v>
      </c>
      <c r="AG246" s="33">
        <v>4000</v>
      </c>
      <c r="AH246" s="24"/>
      <c r="AI246" s="24"/>
      <c r="AJ246" s="24"/>
      <c r="AK246" s="24"/>
      <c r="AL246" s="24"/>
      <c r="AM246" s="24" t="s">
        <v>79</v>
      </c>
      <c r="AN246" s="34" t="s">
        <v>1410</v>
      </c>
      <c r="AO246" s="35" t="s">
        <v>973</v>
      </c>
      <c r="AP246" s="24">
        <f>225*2</f>
        <v>450</v>
      </c>
      <c r="AQ246" s="36">
        <f t="shared" si="94"/>
        <v>138.46153846153845</v>
      </c>
      <c r="AR246" s="67">
        <v>160</v>
      </c>
      <c r="AS246" s="68">
        <f t="shared" si="95"/>
        <v>21.538461538461547</v>
      </c>
      <c r="AT246" s="69"/>
      <c r="AU246" s="68">
        <f t="shared" si="96"/>
        <v>21.538461538461547</v>
      </c>
      <c r="AV246" s="70">
        <v>91.99</v>
      </c>
      <c r="AW246" s="65">
        <f t="shared" si="89"/>
        <v>14718.4</v>
      </c>
      <c r="AX246" s="24">
        <f t="shared" si="104"/>
        <v>70.319696457417635</v>
      </c>
      <c r="AY246" s="24"/>
      <c r="AZ246" s="24"/>
      <c r="BA246" s="24"/>
      <c r="BB246" s="24">
        <f t="shared" si="97"/>
        <v>0</v>
      </c>
      <c r="BC246" s="24">
        <f t="shared" si="98"/>
        <v>7900.6</v>
      </c>
      <c r="BD246" s="24"/>
      <c r="BE246" s="24"/>
      <c r="BF246" s="24"/>
      <c r="BG246" s="24">
        <f t="shared" si="109"/>
        <v>2661.9</v>
      </c>
      <c r="BH246" s="24"/>
      <c r="BI246" s="24"/>
      <c r="BJ246" s="24">
        <f t="shared" si="99"/>
        <v>26.619</v>
      </c>
      <c r="BK246" s="24">
        <f t="shared" si="100"/>
        <v>10535.880999999999</v>
      </c>
      <c r="BL246" s="24" t="s">
        <v>245</v>
      </c>
      <c r="BM246" s="42">
        <f t="shared" si="91"/>
        <v>2</v>
      </c>
      <c r="BN246" s="24" t="s">
        <v>83</v>
      </c>
      <c r="BO246" s="2" t="s">
        <v>175</v>
      </c>
    </row>
    <row r="247" spans="1:67" s="1" customFormat="1" ht="15" customHeight="1" x14ac:dyDescent="0.3">
      <c r="A247" s="20">
        <v>243</v>
      </c>
      <c r="B247" s="21">
        <v>46098</v>
      </c>
      <c r="C247" s="21">
        <v>46105</v>
      </c>
      <c r="D247" s="50" t="s">
        <v>223</v>
      </c>
      <c r="E247" s="23">
        <v>46130</v>
      </c>
      <c r="F247" s="23" t="s">
        <v>7</v>
      </c>
      <c r="G247" s="24" t="s">
        <v>68</v>
      </c>
      <c r="H247" s="24" t="s">
        <v>69</v>
      </c>
      <c r="I247" s="24" t="s">
        <v>112</v>
      </c>
      <c r="J247" s="25" t="s">
        <v>113</v>
      </c>
      <c r="K247" s="45" t="str">
        <f t="shared" si="92"/>
        <v>WB39A5062</v>
      </c>
      <c r="L247" s="26">
        <v>46100</v>
      </c>
      <c r="M247" s="34" t="s">
        <v>1411</v>
      </c>
      <c r="N247" s="27" t="s">
        <v>1412</v>
      </c>
      <c r="O247" s="28">
        <v>0</v>
      </c>
      <c r="P247" s="27" t="s">
        <v>1413</v>
      </c>
      <c r="Q247" s="29">
        <v>2525368765</v>
      </c>
      <c r="R247" s="30">
        <v>2110816146</v>
      </c>
      <c r="S247" s="31" t="s">
        <v>73</v>
      </c>
      <c r="T247" s="24" t="s">
        <v>91</v>
      </c>
      <c r="U247" s="24" t="s">
        <v>75</v>
      </c>
      <c r="V247" s="32" t="s">
        <v>1414</v>
      </c>
      <c r="W247" s="32" t="s">
        <v>1415</v>
      </c>
      <c r="X247" s="32" t="s">
        <v>1416</v>
      </c>
      <c r="Y247" s="24">
        <v>1110</v>
      </c>
      <c r="Z247" s="24">
        <v>25</v>
      </c>
      <c r="AA247" s="24">
        <f t="shared" si="93"/>
        <v>1054.5</v>
      </c>
      <c r="AB247" s="24">
        <f t="shared" si="85"/>
        <v>27750</v>
      </c>
      <c r="AC247" s="24">
        <f t="shared" si="86"/>
        <v>26362.5</v>
      </c>
      <c r="AD247" s="24">
        <f t="shared" si="87"/>
        <v>26362.5</v>
      </c>
      <c r="AE247" s="24">
        <f t="shared" si="88"/>
        <v>1387.5</v>
      </c>
      <c r="AF247" s="24">
        <v>0</v>
      </c>
      <c r="AG247" s="33">
        <v>3800</v>
      </c>
      <c r="AH247" s="24"/>
      <c r="AI247" s="24"/>
      <c r="AJ247" s="24"/>
      <c r="AK247" s="24"/>
      <c r="AL247" s="24"/>
      <c r="AM247" s="24" t="s">
        <v>79</v>
      </c>
      <c r="AN247" s="34" t="s">
        <v>1417</v>
      </c>
      <c r="AO247" s="35" t="s">
        <v>973</v>
      </c>
      <c r="AP247" s="24">
        <f>253*2</f>
        <v>506</v>
      </c>
      <c r="AQ247" s="36">
        <f t="shared" si="94"/>
        <v>155.69230769230768</v>
      </c>
      <c r="AR247" s="67">
        <v>166</v>
      </c>
      <c r="AS247" s="68">
        <f t="shared" si="95"/>
        <v>10.307692307692321</v>
      </c>
      <c r="AT247" s="69"/>
      <c r="AU247" s="68">
        <f t="shared" si="96"/>
        <v>10.307692307692321</v>
      </c>
      <c r="AV247" s="70">
        <v>91.99</v>
      </c>
      <c r="AW247" s="65">
        <f t="shared" si="89"/>
        <v>15270.339999999998</v>
      </c>
      <c r="AX247" s="24">
        <f t="shared" si="104"/>
        <v>72.338890469416768</v>
      </c>
      <c r="AY247" s="24"/>
      <c r="AZ247" s="24"/>
      <c r="BA247" s="24"/>
      <c r="BB247" s="24">
        <f t="shared" si="97"/>
        <v>0</v>
      </c>
      <c r="BC247" s="24">
        <f t="shared" si="98"/>
        <v>7292.1600000000017</v>
      </c>
      <c r="BD247" s="24"/>
      <c r="BE247" s="24"/>
      <c r="BF247" s="24"/>
      <c r="BG247" s="24">
        <f t="shared" si="109"/>
        <v>2636.25</v>
      </c>
      <c r="BH247" s="24"/>
      <c r="BI247" s="24"/>
      <c r="BJ247" s="24">
        <f t="shared" si="99"/>
        <v>26.362500000000001</v>
      </c>
      <c r="BK247" s="24">
        <f t="shared" si="100"/>
        <v>9902.0475000000024</v>
      </c>
      <c r="BL247" s="24" t="s">
        <v>116</v>
      </c>
      <c r="BM247" s="42">
        <f t="shared" si="91"/>
        <v>3</v>
      </c>
      <c r="BN247" s="24" t="s">
        <v>139</v>
      </c>
      <c r="BO247" s="2" t="s">
        <v>129</v>
      </c>
    </row>
    <row r="248" spans="1:67" s="1" customFormat="1" ht="15" customHeight="1" x14ac:dyDescent="0.3">
      <c r="A248" s="20">
        <v>244</v>
      </c>
      <c r="B248" s="21">
        <v>46098</v>
      </c>
      <c r="C248" s="21">
        <v>46102</v>
      </c>
      <c r="D248" s="52" t="s">
        <v>629</v>
      </c>
      <c r="E248" s="23">
        <v>46105</v>
      </c>
      <c r="F248" s="23" t="s">
        <v>7</v>
      </c>
      <c r="G248" s="24" t="s">
        <v>68</v>
      </c>
      <c r="H248" s="24" t="s">
        <v>69</v>
      </c>
      <c r="I248" s="24" t="s">
        <v>236</v>
      </c>
      <c r="J248" s="25" t="s">
        <v>366</v>
      </c>
      <c r="K248" s="45" t="str">
        <f t="shared" si="92"/>
        <v>WB41J5775</v>
      </c>
      <c r="L248" s="26">
        <v>46099</v>
      </c>
      <c r="M248" s="34" t="s">
        <v>1418</v>
      </c>
      <c r="N248" s="27" t="s">
        <v>1419</v>
      </c>
      <c r="O248" s="28">
        <v>0</v>
      </c>
      <c r="P248" s="27" t="s">
        <v>1420</v>
      </c>
      <c r="Q248" s="29">
        <v>2525368779</v>
      </c>
      <c r="R248" s="30">
        <v>2110816201</v>
      </c>
      <c r="S248" s="31" t="s">
        <v>73</v>
      </c>
      <c r="T248" s="24" t="s">
        <v>91</v>
      </c>
      <c r="U248" s="24" t="s">
        <v>75</v>
      </c>
      <c r="V248" s="32" t="s">
        <v>483</v>
      </c>
      <c r="W248" s="32" t="s">
        <v>484</v>
      </c>
      <c r="X248" s="32" t="s">
        <v>1421</v>
      </c>
      <c r="Y248" s="24">
        <v>1063</v>
      </c>
      <c r="Z248" s="24">
        <v>25</v>
      </c>
      <c r="AA248" s="24">
        <f t="shared" si="93"/>
        <v>1009.85</v>
      </c>
      <c r="AB248" s="24">
        <f t="shared" si="85"/>
        <v>26575</v>
      </c>
      <c r="AC248" s="24">
        <f t="shared" si="86"/>
        <v>25246.25</v>
      </c>
      <c r="AD248" s="24">
        <f t="shared" si="87"/>
        <v>25246.25</v>
      </c>
      <c r="AE248" s="24">
        <f t="shared" si="88"/>
        <v>1328.75</v>
      </c>
      <c r="AF248" s="24">
        <v>0</v>
      </c>
      <c r="AG248" s="33">
        <v>3700</v>
      </c>
      <c r="AH248" s="24"/>
      <c r="AI248" s="24"/>
      <c r="AJ248" s="24"/>
      <c r="AK248" s="24"/>
      <c r="AL248" s="24"/>
      <c r="AM248" s="24" t="s">
        <v>79</v>
      </c>
      <c r="AN248" s="34" t="s">
        <v>1422</v>
      </c>
      <c r="AO248" s="35" t="s">
        <v>973</v>
      </c>
      <c r="AP248" s="24">
        <f>258*2</f>
        <v>516</v>
      </c>
      <c r="AQ248" s="36">
        <f t="shared" si="94"/>
        <v>158.76923076923077</v>
      </c>
      <c r="AR248" s="67">
        <v>160</v>
      </c>
      <c r="AS248" s="68">
        <f t="shared" si="95"/>
        <v>1.2307692307692264</v>
      </c>
      <c r="AT248" s="69"/>
      <c r="AU248" s="68">
        <f t="shared" si="96"/>
        <v>1.2307692307692264</v>
      </c>
      <c r="AV248" s="70">
        <v>91.88</v>
      </c>
      <c r="AW248" s="65">
        <f t="shared" si="89"/>
        <v>14700.8</v>
      </c>
      <c r="AX248" s="24">
        <f t="shared" si="104"/>
        <v>72.88527999207804</v>
      </c>
      <c r="AY248" s="24"/>
      <c r="AZ248" s="24"/>
      <c r="BA248" s="24"/>
      <c r="BB248" s="24">
        <f t="shared" si="97"/>
        <v>0</v>
      </c>
      <c r="BC248" s="24">
        <f t="shared" si="98"/>
        <v>6845.4500000000007</v>
      </c>
      <c r="BD248" s="24">
        <v>135</v>
      </c>
      <c r="BE248" s="24">
        <v>135</v>
      </c>
      <c r="BF248" s="24"/>
      <c r="BG248" s="24">
        <f t="shared" si="109"/>
        <v>2524.625</v>
      </c>
      <c r="BH248" s="24"/>
      <c r="BI248" s="24"/>
      <c r="BJ248" s="24">
        <f t="shared" si="99"/>
        <v>25.24625</v>
      </c>
      <c r="BK248" s="24">
        <f t="shared" si="100"/>
        <v>9614.8287500000006</v>
      </c>
      <c r="BL248" s="24" t="s">
        <v>245</v>
      </c>
      <c r="BM248" s="42">
        <f t="shared" si="91"/>
        <v>2</v>
      </c>
      <c r="BN248" s="24" t="s">
        <v>83</v>
      </c>
      <c r="BO248" s="2" t="s">
        <v>84</v>
      </c>
    </row>
    <row r="249" spans="1:67" s="1" customFormat="1" ht="15" customHeight="1" x14ac:dyDescent="0.3">
      <c r="A249" s="20">
        <v>245</v>
      </c>
      <c r="B249" s="21">
        <v>46098</v>
      </c>
      <c r="C249" s="21">
        <v>46102</v>
      </c>
      <c r="D249" s="50" t="s">
        <v>479</v>
      </c>
      <c r="E249" s="23">
        <v>46108</v>
      </c>
      <c r="F249" s="23" t="s">
        <v>7</v>
      </c>
      <c r="G249" s="24" t="s">
        <v>68</v>
      </c>
      <c r="H249" s="24" t="s">
        <v>69</v>
      </c>
      <c r="I249" s="24" t="s">
        <v>389</v>
      </c>
      <c r="J249" s="25" t="s">
        <v>1423</v>
      </c>
      <c r="K249" s="45" t="str">
        <f t="shared" si="92"/>
        <v>WB39G8384</v>
      </c>
      <c r="L249" s="26">
        <v>46099</v>
      </c>
      <c r="M249" s="34" t="s">
        <v>1424</v>
      </c>
      <c r="N249" s="27" t="s">
        <v>1425</v>
      </c>
      <c r="O249" s="28">
        <v>0</v>
      </c>
      <c r="P249" s="27" t="s">
        <v>1426</v>
      </c>
      <c r="Q249" s="29">
        <v>2525368769</v>
      </c>
      <c r="R249" s="30">
        <v>2110816193</v>
      </c>
      <c r="S249" s="31" t="s">
        <v>73</v>
      </c>
      <c r="T249" s="24" t="s">
        <v>91</v>
      </c>
      <c r="U249" s="24" t="s">
        <v>75</v>
      </c>
      <c r="V249" s="32" t="s">
        <v>715</v>
      </c>
      <c r="W249" s="32" t="s">
        <v>574</v>
      </c>
      <c r="X249" s="32" t="s">
        <v>1427</v>
      </c>
      <c r="Y249" s="24">
        <v>972</v>
      </c>
      <c r="Z249" s="24">
        <v>25</v>
      </c>
      <c r="AA249" s="24">
        <f t="shared" si="93"/>
        <v>923.40000000000009</v>
      </c>
      <c r="AB249" s="24">
        <f t="shared" si="85"/>
        <v>24300</v>
      </c>
      <c r="AC249" s="24">
        <f t="shared" si="86"/>
        <v>23085</v>
      </c>
      <c r="AD249" s="24">
        <f t="shared" si="87"/>
        <v>23085.000000000004</v>
      </c>
      <c r="AE249" s="24">
        <f t="shared" si="88"/>
        <v>1214.9999999999964</v>
      </c>
      <c r="AF249" s="24">
        <f t="shared" si="108"/>
        <v>230.85000000000005</v>
      </c>
      <c r="AG249" s="33">
        <v>3400</v>
      </c>
      <c r="AH249" s="24"/>
      <c r="AI249" s="24"/>
      <c r="AJ249" s="24">
        <v>100</v>
      </c>
      <c r="AK249" s="24">
        <v>115</v>
      </c>
      <c r="AL249" s="24">
        <v>1500</v>
      </c>
      <c r="AM249" s="24" t="s">
        <v>79</v>
      </c>
      <c r="AN249" s="34" t="s">
        <v>1428</v>
      </c>
      <c r="AO249" s="35" t="s">
        <v>973</v>
      </c>
      <c r="AP249" s="24">
        <f>240*2</f>
        <v>480</v>
      </c>
      <c r="AQ249" s="36">
        <f t="shared" si="94"/>
        <v>147.69230769230768</v>
      </c>
      <c r="AR249" s="67">
        <v>345.01</v>
      </c>
      <c r="AS249" s="68">
        <f t="shared" si="95"/>
        <v>197.31769230769231</v>
      </c>
      <c r="AT249" s="69"/>
      <c r="AU249" s="68">
        <f t="shared" si="96"/>
        <v>197.31769230769231</v>
      </c>
      <c r="AV249" s="70">
        <v>91.99</v>
      </c>
      <c r="AW249" s="65">
        <f t="shared" si="89"/>
        <v>31737.469899999996</v>
      </c>
      <c r="AX249" s="24">
        <f t="shared" si="104"/>
        <v>152.20909638293261</v>
      </c>
      <c r="AY249" s="24"/>
      <c r="AZ249" s="24"/>
      <c r="BA249" s="24"/>
      <c r="BB249" s="24">
        <f t="shared" si="97"/>
        <v>0</v>
      </c>
      <c r="BC249" s="24">
        <f t="shared" si="98"/>
        <v>-13998.319899999991</v>
      </c>
      <c r="BD249" s="24"/>
      <c r="BE249" s="24"/>
      <c r="BF249" s="24"/>
      <c r="BG249" s="24">
        <f t="shared" si="109"/>
        <v>2308.5</v>
      </c>
      <c r="BH249" s="24"/>
      <c r="BI249" s="24"/>
      <c r="BJ249" s="24">
        <f t="shared" si="99"/>
        <v>23.085000000000001</v>
      </c>
      <c r="BK249" s="24">
        <f t="shared" si="100"/>
        <v>-11712.90489999999</v>
      </c>
      <c r="BL249" s="24" t="s">
        <v>261</v>
      </c>
      <c r="BM249" s="42">
        <f t="shared" si="91"/>
        <v>2</v>
      </c>
      <c r="BN249" s="24" t="s">
        <v>83</v>
      </c>
      <c r="BO249" s="2" t="s">
        <v>148</v>
      </c>
    </row>
    <row r="250" spans="1:67" s="1" customFormat="1" ht="15" customHeight="1" x14ac:dyDescent="0.3">
      <c r="A250" s="20">
        <v>246</v>
      </c>
      <c r="B250" s="21">
        <v>46098</v>
      </c>
      <c r="C250" s="21">
        <v>46102</v>
      </c>
      <c r="D250" s="52" t="s">
        <v>855</v>
      </c>
      <c r="E250" s="23">
        <v>46104</v>
      </c>
      <c r="F250" s="23" t="s">
        <v>7</v>
      </c>
      <c r="G250" s="24" t="s">
        <v>68</v>
      </c>
      <c r="H250" s="24" t="s">
        <v>69</v>
      </c>
      <c r="I250" s="24" t="s">
        <v>70</v>
      </c>
      <c r="J250" s="25" t="s">
        <v>177</v>
      </c>
      <c r="K250" s="45" t="str">
        <f t="shared" si="92"/>
        <v>WB39B8916</v>
      </c>
      <c r="L250" s="26">
        <v>46099</v>
      </c>
      <c r="M250" s="34" t="s">
        <v>1429</v>
      </c>
      <c r="N250" s="27" t="s">
        <v>1430</v>
      </c>
      <c r="O250" s="28">
        <v>0</v>
      </c>
      <c r="P250" s="27" t="s">
        <v>1431</v>
      </c>
      <c r="Q250" s="29">
        <v>2525368802</v>
      </c>
      <c r="R250" s="30">
        <v>2110816207</v>
      </c>
      <c r="S250" s="31" t="s">
        <v>73</v>
      </c>
      <c r="T250" s="24" t="s">
        <v>91</v>
      </c>
      <c r="U250" s="24" t="s">
        <v>75</v>
      </c>
      <c r="V250" s="32" t="s">
        <v>179</v>
      </c>
      <c r="W250" s="32" t="s">
        <v>180</v>
      </c>
      <c r="X250" s="32" t="s">
        <v>180</v>
      </c>
      <c r="Y250" s="24">
        <v>1047</v>
      </c>
      <c r="Z250" s="24">
        <v>25</v>
      </c>
      <c r="AA250" s="24">
        <f t="shared" si="93"/>
        <v>994.65000000000009</v>
      </c>
      <c r="AB250" s="24">
        <f t="shared" si="85"/>
        <v>26175</v>
      </c>
      <c r="AC250" s="24">
        <f t="shared" si="86"/>
        <v>24866.25</v>
      </c>
      <c r="AD250" s="24">
        <f t="shared" si="87"/>
        <v>24866.250000000004</v>
      </c>
      <c r="AE250" s="24">
        <f t="shared" si="88"/>
        <v>1308.7499999999964</v>
      </c>
      <c r="AF250" s="24">
        <f t="shared" si="108"/>
        <v>248.66250000000005</v>
      </c>
      <c r="AG250" s="33">
        <v>3700</v>
      </c>
      <c r="AH250" s="24"/>
      <c r="AI250" s="24">
        <v>5408</v>
      </c>
      <c r="AJ250" s="24"/>
      <c r="AK250" s="24"/>
      <c r="AL250" s="24"/>
      <c r="AM250" s="24" t="s">
        <v>79</v>
      </c>
      <c r="AN250" s="34" t="s">
        <v>1432</v>
      </c>
      <c r="AO250" s="35" t="s">
        <v>973</v>
      </c>
      <c r="AP250" s="24">
        <f>250*2</f>
        <v>500</v>
      </c>
      <c r="AQ250" s="36">
        <f t="shared" si="94"/>
        <v>153.84615384615384</v>
      </c>
      <c r="AR250" s="67">
        <v>160</v>
      </c>
      <c r="AS250" s="68">
        <f t="shared" si="95"/>
        <v>6.1538461538461604</v>
      </c>
      <c r="AT250" s="69"/>
      <c r="AU250" s="68">
        <f t="shared" si="96"/>
        <v>6.1538461538461604</v>
      </c>
      <c r="AV250" s="70">
        <v>91.99</v>
      </c>
      <c r="AW250" s="65">
        <f t="shared" si="89"/>
        <v>14718.4</v>
      </c>
      <c r="AX250" s="24">
        <f t="shared" si="104"/>
        <v>74.069873824963551</v>
      </c>
      <c r="AY250" s="24"/>
      <c r="AZ250" s="24"/>
      <c r="BA250" s="24"/>
      <c r="BB250" s="24">
        <f t="shared" si="97"/>
        <v>0</v>
      </c>
      <c r="BC250" s="24">
        <f t="shared" si="98"/>
        <v>791.18750000000546</v>
      </c>
      <c r="BD250" s="24"/>
      <c r="BE250" s="24"/>
      <c r="BF250" s="24"/>
      <c r="BG250" s="24">
        <f>+AD250*9.5%</f>
        <v>2362.2937500000003</v>
      </c>
      <c r="BH250" s="24"/>
      <c r="BI250" s="24"/>
      <c r="BJ250" s="24">
        <f t="shared" si="99"/>
        <v>23.622937500000003</v>
      </c>
      <c r="BK250" s="24">
        <f t="shared" si="100"/>
        <v>3129.8583125000059</v>
      </c>
      <c r="BL250" s="24" t="s">
        <v>182</v>
      </c>
      <c r="BM250" s="42">
        <f t="shared" si="91"/>
        <v>2</v>
      </c>
      <c r="BN250" s="24" t="s">
        <v>83</v>
      </c>
      <c r="BO250" s="2" t="s">
        <v>129</v>
      </c>
    </row>
    <row r="251" spans="1:67" s="1" customFormat="1" ht="15" customHeight="1" x14ac:dyDescent="0.3">
      <c r="A251" s="20">
        <v>247</v>
      </c>
      <c r="B251" s="21">
        <v>46098</v>
      </c>
      <c r="C251" s="21">
        <v>46102</v>
      </c>
      <c r="D251" s="52" t="s">
        <v>1132</v>
      </c>
      <c r="E251" s="23">
        <v>46104</v>
      </c>
      <c r="F251" s="23" t="s">
        <v>7</v>
      </c>
      <c r="G251" s="24" t="s">
        <v>68</v>
      </c>
      <c r="H251" s="24" t="s">
        <v>69</v>
      </c>
      <c r="I251" s="24" t="s">
        <v>122</v>
      </c>
      <c r="J251" s="25" t="s">
        <v>123</v>
      </c>
      <c r="K251" s="45" t="str">
        <f t="shared" si="92"/>
        <v>WB23C9555</v>
      </c>
      <c r="L251" s="26">
        <v>46099</v>
      </c>
      <c r="M251" s="34" t="s">
        <v>1433</v>
      </c>
      <c r="N251" s="27" t="s">
        <v>1434</v>
      </c>
      <c r="O251" s="28">
        <v>0</v>
      </c>
      <c r="P251" s="27" t="s">
        <v>1435</v>
      </c>
      <c r="Q251" s="29">
        <v>2590200675</v>
      </c>
      <c r="R251" s="30">
        <v>2160378368</v>
      </c>
      <c r="S251" s="31" t="s">
        <v>73</v>
      </c>
      <c r="T251" s="24" t="s">
        <v>91</v>
      </c>
      <c r="U251" s="24" t="s">
        <v>347</v>
      </c>
      <c r="V251" s="32" t="s">
        <v>1436</v>
      </c>
      <c r="W251" s="32" t="s">
        <v>349</v>
      </c>
      <c r="X251" s="32" t="s">
        <v>349</v>
      </c>
      <c r="Y251" s="24">
        <v>371</v>
      </c>
      <c r="Z251" s="24">
        <v>25</v>
      </c>
      <c r="AA251" s="24">
        <f t="shared" si="93"/>
        <v>352.45</v>
      </c>
      <c r="AB251" s="24">
        <f t="shared" si="85"/>
        <v>9275</v>
      </c>
      <c r="AC251" s="24">
        <f t="shared" si="86"/>
        <v>8811.25</v>
      </c>
      <c r="AD251" s="24">
        <f t="shared" si="87"/>
        <v>8811.25</v>
      </c>
      <c r="AE251" s="24">
        <f t="shared" si="88"/>
        <v>463.75</v>
      </c>
      <c r="AF251" s="24">
        <v>0</v>
      </c>
      <c r="AG251" s="33">
        <v>3600</v>
      </c>
      <c r="AH251" s="24"/>
      <c r="AI251" s="24"/>
      <c r="AJ251" s="24"/>
      <c r="AK251" s="24"/>
      <c r="AL251" s="24"/>
      <c r="AM251" s="24" t="s">
        <v>79</v>
      </c>
      <c r="AN251" s="34" t="s">
        <v>1437</v>
      </c>
      <c r="AO251" s="35" t="s">
        <v>973</v>
      </c>
      <c r="AP251" s="24">
        <f>55*2</f>
        <v>110</v>
      </c>
      <c r="AQ251" s="36">
        <f t="shared" si="94"/>
        <v>33.846153846153847</v>
      </c>
      <c r="AR251" s="67">
        <v>35</v>
      </c>
      <c r="AS251" s="68">
        <f t="shared" si="95"/>
        <v>1.1538461538461533</v>
      </c>
      <c r="AT251" s="69"/>
      <c r="AU251" s="68">
        <f t="shared" si="96"/>
        <v>1.1538461538461533</v>
      </c>
      <c r="AV251" s="70">
        <v>91.99</v>
      </c>
      <c r="AW251" s="65">
        <f t="shared" si="89"/>
        <v>3219.6499999999996</v>
      </c>
      <c r="AX251" s="24">
        <f t="shared" si="104"/>
        <v>77.397077599659525</v>
      </c>
      <c r="AY251" s="24"/>
      <c r="AZ251" s="24"/>
      <c r="BA251" s="24"/>
      <c r="BB251" s="24">
        <f t="shared" si="97"/>
        <v>0</v>
      </c>
      <c r="BC251" s="24">
        <f t="shared" si="98"/>
        <v>1991.6000000000004</v>
      </c>
      <c r="BD251" s="24"/>
      <c r="BE251" s="24"/>
      <c r="BF251" s="24"/>
      <c r="BG251" s="24">
        <f>+AB251*9.5%</f>
        <v>881.125</v>
      </c>
      <c r="BH251" s="24"/>
      <c r="BI251" s="24"/>
      <c r="BJ251" s="24">
        <f t="shared" si="99"/>
        <v>8.8112499999999994</v>
      </c>
      <c r="BK251" s="24">
        <f t="shared" si="100"/>
        <v>2863.9137500000002</v>
      </c>
      <c r="BL251" s="24" t="s">
        <v>128</v>
      </c>
      <c r="BM251" s="42">
        <f t="shared" si="91"/>
        <v>2</v>
      </c>
      <c r="BN251" s="24" t="s">
        <v>83</v>
      </c>
      <c r="BO251" s="2" t="s">
        <v>148</v>
      </c>
    </row>
    <row r="252" spans="1:67" s="1" customFormat="1" ht="15" customHeight="1" x14ac:dyDescent="0.3">
      <c r="A252" s="20">
        <v>248</v>
      </c>
      <c r="B252" s="21">
        <v>46098</v>
      </c>
      <c r="C252" s="21">
        <v>46102</v>
      </c>
      <c r="D252" s="52" t="s">
        <v>541</v>
      </c>
      <c r="E252" s="23">
        <v>46105</v>
      </c>
      <c r="F252" s="23" t="s">
        <v>7</v>
      </c>
      <c r="G252" s="24" t="s">
        <v>68</v>
      </c>
      <c r="H252" s="24" t="s">
        <v>69</v>
      </c>
      <c r="I252" s="24" t="s">
        <v>389</v>
      </c>
      <c r="J252" s="25" t="s">
        <v>372</v>
      </c>
      <c r="K252" s="45" t="str">
        <f t="shared" si="92"/>
        <v>WB39G7433</v>
      </c>
      <c r="L252" s="26">
        <v>46099</v>
      </c>
      <c r="M252" s="34" t="s">
        <v>1438</v>
      </c>
      <c r="N252" s="27" t="s">
        <v>1439</v>
      </c>
      <c r="O252" s="28">
        <v>0</v>
      </c>
      <c r="P252" s="27" t="s">
        <v>1440</v>
      </c>
      <c r="Q252" s="29">
        <v>2525368920</v>
      </c>
      <c r="R252" s="30">
        <v>2110816276</v>
      </c>
      <c r="S252" s="31" t="s">
        <v>73</v>
      </c>
      <c r="T252" s="24" t="s">
        <v>91</v>
      </c>
      <c r="U252" s="24" t="s">
        <v>75</v>
      </c>
      <c r="V252" s="32" t="s">
        <v>491</v>
      </c>
      <c r="W252" s="32" t="s">
        <v>838</v>
      </c>
      <c r="X252" s="32" t="s">
        <v>1441</v>
      </c>
      <c r="Y252" s="24">
        <v>1047</v>
      </c>
      <c r="Z252" s="24">
        <v>25</v>
      </c>
      <c r="AA252" s="24">
        <f t="shared" si="93"/>
        <v>994.65000000000009</v>
      </c>
      <c r="AB252" s="24">
        <f t="shared" si="85"/>
        <v>26175</v>
      </c>
      <c r="AC252" s="24">
        <f t="shared" si="86"/>
        <v>24866.25</v>
      </c>
      <c r="AD252" s="24">
        <f t="shared" si="87"/>
        <v>24866.250000000004</v>
      </c>
      <c r="AE252" s="24">
        <f t="shared" si="88"/>
        <v>1308.7499999999964</v>
      </c>
      <c r="AF252" s="24">
        <f>+AD252*1%</f>
        <v>248.66250000000005</v>
      </c>
      <c r="AG252" s="33">
        <v>3700</v>
      </c>
      <c r="AH252" s="24"/>
      <c r="AI252" s="24"/>
      <c r="AJ252" s="24"/>
      <c r="AK252" s="24"/>
      <c r="AL252" s="24"/>
      <c r="AM252" s="24" t="s">
        <v>79</v>
      </c>
      <c r="AN252" s="34" t="s">
        <v>1442</v>
      </c>
      <c r="AO252" s="35" t="s">
        <v>973</v>
      </c>
      <c r="AP252" s="24">
        <f>240*2</f>
        <v>480</v>
      </c>
      <c r="AQ252" s="36">
        <f t="shared" si="94"/>
        <v>147.69230769230768</v>
      </c>
      <c r="AR252" s="67">
        <v>150</v>
      </c>
      <c r="AS252" s="68">
        <f t="shared" si="95"/>
        <v>2.3076923076923208</v>
      </c>
      <c r="AT252" s="69"/>
      <c r="AU252" s="68">
        <f t="shared" si="96"/>
        <v>2.3076923076923208</v>
      </c>
      <c r="AV252" s="70">
        <v>91.99</v>
      </c>
      <c r="AW252" s="65">
        <f t="shared" si="89"/>
        <v>13798.5</v>
      </c>
      <c r="AX252" s="24">
        <f t="shared" si="104"/>
        <v>70.370482079123292</v>
      </c>
      <c r="AY252" s="24"/>
      <c r="AZ252" s="24"/>
      <c r="BA252" s="24"/>
      <c r="BB252" s="24">
        <f t="shared" si="97"/>
        <v>0</v>
      </c>
      <c r="BC252" s="24">
        <f t="shared" si="98"/>
        <v>7119.0875000000051</v>
      </c>
      <c r="BD252" s="24"/>
      <c r="BE252" s="24"/>
      <c r="BF252" s="24"/>
      <c r="BG252" s="24">
        <f>+AB252*9.5%</f>
        <v>2486.625</v>
      </c>
      <c r="BH252" s="24"/>
      <c r="BI252" s="24"/>
      <c r="BJ252" s="24">
        <f t="shared" si="99"/>
        <v>24.866250000000001</v>
      </c>
      <c r="BK252" s="24">
        <f t="shared" si="100"/>
        <v>9580.846250000006</v>
      </c>
      <c r="BL252" s="24" t="s">
        <v>379</v>
      </c>
      <c r="BM252" s="42">
        <f t="shared" si="91"/>
        <v>2</v>
      </c>
      <c r="BN252" s="24" t="s">
        <v>83</v>
      </c>
      <c r="BO252" s="2" t="s">
        <v>84</v>
      </c>
    </row>
    <row r="253" spans="1:67" s="1" customFormat="1" ht="15" customHeight="1" x14ac:dyDescent="0.3">
      <c r="A253" s="20">
        <v>249</v>
      </c>
      <c r="B253" s="21">
        <v>46098</v>
      </c>
      <c r="C253" s="21">
        <v>46102</v>
      </c>
      <c r="D253" s="50" t="s">
        <v>479</v>
      </c>
      <c r="E253" s="23">
        <v>46108</v>
      </c>
      <c r="F253" s="23" t="s">
        <v>7</v>
      </c>
      <c r="G253" s="24" t="s">
        <v>68</v>
      </c>
      <c r="H253" s="24" t="s">
        <v>69</v>
      </c>
      <c r="I253" s="24" t="s">
        <v>397</v>
      </c>
      <c r="J253" s="25" t="s">
        <v>398</v>
      </c>
      <c r="K253" s="45" t="str">
        <f t="shared" si="92"/>
        <v>WB33C6016</v>
      </c>
      <c r="L253" s="26">
        <v>46100</v>
      </c>
      <c r="M253" s="34" t="s">
        <v>1443</v>
      </c>
      <c r="N253" s="27" t="s">
        <v>1444</v>
      </c>
      <c r="O253" s="28">
        <v>0</v>
      </c>
      <c r="P253" s="27" t="s">
        <v>1445</v>
      </c>
      <c r="Q253" s="29">
        <v>2525368894</v>
      </c>
      <c r="R253" s="30">
        <v>2110816275</v>
      </c>
      <c r="S253" s="31" t="s">
        <v>73</v>
      </c>
      <c r="T253" s="24" t="s">
        <v>74</v>
      </c>
      <c r="U253" s="24" t="s">
        <v>75</v>
      </c>
      <c r="V253" s="32" t="s">
        <v>595</v>
      </c>
      <c r="W253" s="32" t="s">
        <v>596</v>
      </c>
      <c r="X253" s="32" t="s">
        <v>1446</v>
      </c>
      <c r="Y253" s="24">
        <v>671</v>
      </c>
      <c r="Z253" s="24">
        <v>19</v>
      </c>
      <c r="AA253" s="24">
        <f t="shared" si="93"/>
        <v>637.45000000000005</v>
      </c>
      <c r="AB253" s="24">
        <f t="shared" si="85"/>
        <v>12749</v>
      </c>
      <c r="AC253" s="24">
        <f t="shared" si="86"/>
        <v>12111.55</v>
      </c>
      <c r="AD253" s="24">
        <f t="shared" si="87"/>
        <v>12111.550000000001</v>
      </c>
      <c r="AE253" s="24">
        <f t="shared" si="88"/>
        <v>637.44999999999891</v>
      </c>
      <c r="AF253" s="24">
        <f t="shared" si="108"/>
        <v>121.11550000000001</v>
      </c>
      <c r="AG253" s="33">
        <v>2800</v>
      </c>
      <c r="AH253" s="24"/>
      <c r="AI253" s="24">
        <v>3500</v>
      </c>
      <c r="AJ253" s="24"/>
      <c r="AK253" s="24"/>
      <c r="AL253" s="24"/>
      <c r="AM253" s="24" t="s">
        <v>79</v>
      </c>
      <c r="AN253" s="34" t="s">
        <v>1447</v>
      </c>
      <c r="AO253" s="35" t="s">
        <v>973</v>
      </c>
      <c r="AP253" s="24">
        <f>148*2</f>
        <v>296</v>
      </c>
      <c r="AQ253" s="36">
        <f t="shared" si="94"/>
        <v>91.07692307692308</v>
      </c>
      <c r="AR253" s="67">
        <v>87</v>
      </c>
      <c r="AS253" s="68">
        <f t="shared" si="95"/>
        <v>-4.0769230769230802</v>
      </c>
      <c r="AT253" s="69"/>
      <c r="AU253" s="68">
        <f t="shared" si="96"/>
        <v>-4.0769230769230802</v>
      </c>
      <c r="AV253" s="70">
        <v>91.99</v>
      </c>
      <c r="AW253" s="65">
        <f t="shared" si="89"/>
        <v>8003.1299999999992</v>
      </c>
      <c r="AX253" s="24">
        <f t="shared" si="104"/>
        <v>89.196923597722815</v>
      </c>
      <c r="AY253" s="24">
        <v>120</v>
      </c>
      <c r="AZ253" s="24"/>
      <c r="BA253" s="24"/>
      <c r="BB253" s="24">
        <f t="shared" si="97"/>
        <v>0</v>
      </c>
      <c r="BC253" s="24">
        <f t="shared" si="98"/>
        <v>-2432.695499999998</v>
      </c>
      <c r="BD253" s="24">
        <v>100</v>
      </c>
      <c r="BE253" s="24">
        <v>100</v>
      </c>
      <c r="BF253" s="24"/>
      <c r="BG253" s="24">
        <f>+AD253*8.5%</f>
        <v>1029.4817500000001</v>
      </c>
      <c r="BH253" s="24">
        <f>+AD253*8.5%</f>
        <v>1029.4817500000001</v>
      </c>
      <c r="BI253" s="24"/>
      <c r="BJ253" s="24">
        <f t="shared" si="99"/>
        <v>20.589635000000005</v>
      </c>
      <c r="BK253" s="24">
        <f t="shared" si="100"/>
        <v>-194.32163499999771</v>
      </c>
      <c r="BL253" s="24" t="s">
        <v>405</v>
      </c>
      <c r="BM253" s="42">
        <f t="shared" si="91"/>
        <v>3</v>
      </c>
      <c r="BN253" s="24" t="s">
        <v>139</v>
      </c>
      <c r="BO253" s="2" t="s">
        <v>84</v>
      </c>
    </row>
    <row r="254" spans="1:67" s="1" customFormat="1" ht="15" customHeight="1" x14ac:dyDescent="0.3">
      <c r="A254" s="20">
        <v>250</v>
      </c>
      <c r="B254" s="21">
        <v>46098</v>
      </c>
      <c r="C254" s="21">
        <v>46102</v>
      </c>
      <c r="D254" s="52" t="s">
        <v>855</v>
      </c>
      <c r="E254" s="23">
        <v>46104</v>
      </c>
      <c r="F254" s="23" t="s">
        <v>7</v>
      </c>
      <c r="G254" s="24" t="s">
        <v>68</v>
      </c>
      <c r="H254" s="24" t="s">
        <v>69</v>
      </c>
      <c r="I254" s="24" t="s">
        <v>166</v>
      </c>
      <c r="J254" s="25" t="s">
        <v>360</v>
      </c>
      <c r="K254" s="45" t="str">
        <f t="shared" si="92"/>
        <v>WB41H6585</v>
      </c>
      <c r="L254" s="26">
        <v>46100</v>
      </c>
      <c r="M254" s="34" t="s">
        <v>1448</v>
      </c>
      <c r="N254" s="27" t="s">
        <v>1449</v>
      </c>
      <c r="O254" s="28">
        <v>0</v>
      </c>
      <c r="P254" s="27" t="s">
        <v>1450</v>
      </c>
      <c r="Q254" s="29">
        <v>2525368792</v>
      </c>
      <c r="R254" s="30">
        <v>2110816206</v>
      </c>
      <c r="S254" s="31" t="s">
        <v>73</v>
      </c>
      <c r="T254" s="24" t="s">
        <v>91</v>
      </c>
      <c r="U254" s="24" t="s">
        <v>75</v>
      </c>
      <c r="V254" s="32" t="s">
        <v>573</v>
      </c>
      <c r="W254" s="32" t="s">
        <v>1451</v>
      </c>
      <c r="X254" s="32" t="s">
        <v>1451</v>
      </c>
      <c r="Y254" s="24">
        <v>1150</v>
      </c>
      <c r="Z254" s="24">
        <v>25</v>
      </c>
      <c r="AA254" s="24">
        <f t="shared" si="93"/>
        <v>1092.5</v>
      </c>
      <c r="AB254" s="24">
        <f t="shared" si="85"/>
        <v>28750</v>
      </c>
      <c r="AC254" s="24">
        <f t="shared" si="86"/>
        <v>27312.5</v>
      </c>
      <c r="AD254" s="24">
        <f t="shared" si="87"/>
        <v>27312.5</v>
      </c>
      <c r="AE254" s="24">
        <f t="shared" si="88"/>
        <v>1437.5</v>
      </c>
      <c r="AF254" s="24">
        <v>0</v>
      </c>
      <c r="AG254" s="33">
        <v>3600</v>
      </c>
      <c r="AH254" s="24"/>
      <c r="AI254" s="24"/>
      <c r="AJ254" s="24"/>
      <c r="AK254" s="24"/>
      <c r="AL254" s="24"/>
      <c r="AM254" s="24" t="s">
        <v>79</v>
      </c>
      <c r="AN254" s="34" t="s">
        <v>1452</v>
      </c>
      <c r="AO254" s="35" t="s">
        <v>973</v>
      </c>
      <c r="AP254" s="24">
        <f>249*2</f>
        <v>498</v>
      </c>
      <c r="AQ254" s="36">
        <f t="shared" si="94"/>
        <v>153.23076923076923</v>
      </c>
      <c r="AR254" s="67">
        <v>155</v>
      </c>
      <c r="AS254" s="68">
        <f t="shared" si="95"/>
        <v>1.7692307692307736</v>
      </c>
      <c r="AT254" s="69"/>
      <c r="AU254" s="68">
        <f t="shared" si="96"/>
        <v>1.7692307692307736</v>
      </c>
      <c r="AV254" s="70">
        <v>91.99</v>
      </c>
      <c r="AW254" s="65">
        <f t="shared" si="89"/>
        <v>14258.449999999999</v>
      </c>
      <c r="AX254" s="24">
        <f t="shared" si="104"/>
        <v>65.385629290617842</v>
      </c>
      <c r="AY254" s="24"/>
      <c r="AZ254" s="24"/>
      <c r="BA254" s="24"/>
      <c r="BB254" s="24">
        <f t="shared" si="97"/>
        <v>0</v>
      </c>
      <c r="BC254" s="24">
        <f t="shared" si="98"/>
        <v>9454.0500000000011</v>
      </c>
      <c r="BD254" s="24"/>
      <c r="BE254" s="24"/>
      <c r="BF254" s="24"/>
      <c r="BG254" s="24">
        <f>+AB254*9.5%</f>
        <v>2731.25</v>
      </c>
      <c r="BH254" s="24"/>
      <c r="BI254" s="24"/>
      <c r="BJ254" s="24">
        <f t="shared" si="99"/>
        <v>27.3125</v>
      </c>
      <c r="BK254" s="24">
        <f t="shared" si="100"/>
        <v>12157.987500000001</v>
      </c>
      <c r="BL254" s="24" t="s">
        <v>365</v>
      </c>
      <c r="BM254" s="42">
        <f t="shared" si="91"/>
        <v>3</v>
      </c>
      <c r="BN254" s="24" t="s">
        <v>139</v>
      </c>
      <c r="BO254" s="2" t="s">
        <v>84</v>
      </c>
    </row>
    <row r="255" spans="1:67" s="1" customFormat="1" ht="15" customHeight="1" x14ac:dyDescent="0.3">
      <c r="A255" s="20">
        <v>251</v>
      </c>
      <c r="B255" s="21">
        <v>46098</v>
      </c>
      <c r="C255" s="71">
        <v>46104</v>
      </c>
      <c r="D255" s="52" t="s">
        <v>1199</v>
      </c>
      <c r="E255" s="23">
        <v>46104</v>
      </c>
      <c r="F255" s="23" t="s">
        <v>7</v>
      </c>
      <c r="G255" s="24" t="s">
        <v>68</v>
      </c>
      <c r="H255" s="24" t="s">
        <v>69</v>
      </c>
      <c r="I255" s="24" t="s">
        <v>381</v>
      </c>
      <c r="J255" s="25" t="s">
        <v>382</v>
      </c>
      <c r="K255" s="45" t="str">
        <f t="shared" si="92"/>
        <v>WB41K2967</v>
      </c>
      <c r="L255" s="26">
        <v>46100</v>
      </c>
      <c r="M255" s="34" t="s">
        <v>1453</v>
      </c>
      <c r="N255" s="27" t="s">
        <v>1454</v>
      </c>
      <c r="O255" s="28">
        <v>0</v>
      </c>
      <c r="P255" s="27" t="s">
        <v>1455</v>
      </c>
      <c r="Q255" s="29">
        <v>2525369106</v>
      </c>
      <c r="R255" s="30">
        <v>2110816421</v>
      </c>
      <c r="S255" s="31" t="s">
        <v>73</v>
      </c>
      <c r="T255" s="24" t="s">
        <v>241</v>
      </c>
      <c r="U255" s="24" t="s">
        <v>75</v>
      </c>
      <c r="V255" s="32" t="s">
        <v>491</v>
      </c>
      <c r="W255" s="32" t="s">
        <v>180</v>
      </c>
      <c r="X255" s="32"/>
      <c r="Y255" s="24">
        <v>1047</v>
      </c>
      <c r="Z255" s="24">
        <v>30</v>
      </c>
      <c r="AA255" s="24">
        <f t="shared" si="93"/>
        <v>994.65000000000009</v>
      </c>
      <c r="AB255" s="24">
        <f t="shared" si="85"/>
        <v>31410</v>
      </c>
      <c r="AC255" s="24">
        <f t="shared" si="86"/>
        <v>29839.500000000004</v>
      </c>
      <c r="AD255" s="24">
        <f t="shared" si="87"/>
        <v>29839.500000000004</v>
      </c>
      <c r="AE255" s="24">
        <f t="shared" si="88"/>
        <v>1570.4999999999964</v>
      </c>
      <c r="AF255" s="24">
        <f t="shared" si="108"/>
        <v>298.39500000000004</v>
      </c>
      <c r="AG255" s="33">
        <v>3500</v>
      </c>
      <c r="AH255" s="24"/>
      <c r="AI255" s="24"/>
      <c r="AJ255" s="24"/>
      <c r="AK255" s="24"/>
      <c r="AL255" s="24"/>
      <c r="AM255" s="24" t="s">
        <v>79</v>
      </c>
      <c r="AN255" s="34" t="s">
        <v>1456</v>
      </c>
      <c r="AO255" s="35" t="s">
        <v>973</v>
      </c>
      <c r="AP255" s="24">
        <f>240*2</f>
        <v>480</v>
      </c>
      <c r="AQ255" s="36">
        <f t="shared" si="94"/>
        <v>147.69230769230768</v>
      </c>
      <c r="AR255" s="67">
        <v>155</v>
      </c>
      <c r="AS255" s="68">
        <f t="shared" si="95"/>
        <v>7.3076923076923208</v>
      </c>
      <c r="AT255" s="69"/>
      <c r="AU255" s="68">
        <f t="shared" si="96"/>
        <v>7.3076923076923208</v>
      </c>
      <c r="AV255" s="70">
        <v>91.99</v>
      </c>
      <c r="AW255" s="65">
        <f t="shared" si="89"/>
        <v>14258.449999999999</v>
      </c>
      <c r="AX255" s="24">
        <f t="shared" si="104"/>
        <v>59.51322910906682</v>
      </c>
      <c r="AY255" s="24"/>
      <c r="AZ255" s="24"/>
      <c r="BA255" s="24"/>
      <c r="BB255" s="24">
        <f t="shared" si="97"/>
        <v>0</v>
      </c>
      <c r="BC255" s="24">
        <f t="shared" si="98"/>
        <v>11782.655000000004</v>
      </c>
      <c r="BD255" s="24"/>
      <c r="BE255" s="24"/>
      <c r="BF255" s="24"/>
      <c r="BG255" s="24">
        <f>+AB255*9.5%</f>
        <v>2983.95</v>
      </c>
      <c r="BH255" s="24"/>
      <c r="BI255" s="24"/>
      <c r="BJ255" s="24">
        <f t="shared" si="99"/>
        <v>29.839499999999997</v>
      </c>
      <c r="BK255" s="24">
        <f t="shared" si="100"/>
        <v>14736.765500000003</v>
      </c>
      <c r="BL255" s="24" t="s">
        <v>261</v>
      </c>
      <c r="BM255" s="42">
        <f t="shared" si="91"/>
        <v>3</v>
      </c>
      <c r="BN255" s="24" t="s">
        <v>139</v>
      </c>
      <c r="BO255" s="2" t="s">
        <v>84</v>
      </c>
    </row>
    <row r="256" spans="1:67" s="1" customFormat="1" ht="15" customHeight="1" x14ac:dyDescent="0.3">
      <c r="A256" s="20">
        <v>252</v>
      </c>
      <c r="B256" s="21">
        <v>46098</v>
      </c>
      <c r="C256" s="21">
        <v>46102</v>
      </c>
      <c r="D256" s="52" t="s">
        <v>841</v>
      </c>
      <c r="E256" s="23">
        <v>46104</v>
      </c>
      <c r="F256" s="23" t="s">
        <v>7</v>
      </c>
      <c r="G256" s="24" t="s">
        <v>68</v>
      </c>
      <c r="H256" s="24" t="s">
        <v>69</v>
      </c>
      <c r="I256" s="24" t="s">
        <v>166</v>
      </c>
      <c r="J256" s="25" t="s">
        <v>167</v>
      </c>
      <c r="K256" s="45" t="str">
        <f t="shared" si="92"/>
        <v>WB41H0254</v>
      </c>
      <c r="L256" s="26">
        <v>46099</v>
      </c>
      <c r="M256" s="34" t="s">
        <v>1457</v>
      </c>
      <c r="N256" s="27" t="s">
        <v>1458</v>
      </c>
      <c r="O256" s="28">
        <v>0</v>
      </c>
      <c r="P256" s="27" t="s">
        <v>1459</v>
      </c>
      <c r="Q256" s="29">
        <v>2525369143</v>
      </c>
      <c r="R256" s="30">
        <v>2110816419</v>
      </c>
      <c r="S256" s="31" t="s">
        <v>73</v>
      </c>
      <c r="T256" s="24" t="s">
        <v>91</v>
      </c>
      <c r="U256" s="24" t="s">
        <v>75</v>
      </c>
      <c r="V256" s="32" t="s">
        <v>472</v>
      </c>
      <c r="W256" s="32" t="s">
        <v>473</v>
      </c>
      <c r="X256" s="32" t="s">
        <v>473</v>
      </c>
      <c r="Y256" s="24">
        <v>1151</v>
      </c>
      <c r="Z256" s="24">
        <v>25</v>
      </c>
      <c r="AA256" s="24">
        <f t="shared" si="93"/>
        <v>1093.45</v>
      </c>
      <c r="AB256" s="24">
        <f t="shared" si="85"/>
        <v>28775</v>
      </c>
      <c r="AC256" s="24">
        <f t="shared" si="86"/>
        <v>27336.25</v>
      </c>
      <c r="AD256" s="24">
        <f t="shared" si="87"/>
        <v>27336.25</v>
      </c>
      <c r="AE256" s="24">
        <f t="shared" si="88"/>
        <v>1438.75</v>
      </c>
      <c r="AF256" s="24">
        <v>0</v>
      </c>
      <c r="AG256" s="33">
        <v>3500</v>
      </c>
      <c r="AH256" s="24"/>
      <c r="AI256" s="24"/>
      <c r="AJ256" s="24"/>
      <c r="AK256" s="24"/>
      <c r="AL256" s="24"/>
      <c r="AM256" s="24" t="s">
        <v>79</v>
      </c>
      <c r="AN256" s="34" t="s">
        <v>1460</v>
      </c>
      <c r="AO256" s="35" t="s">
        <v>973</v>
      </c>
      <c r="AP256" s="24">
        <f>297*2</f>
        <v>594</v>
      </c>
      <c r="AQ256" s="36">
        <f t="shared" si="94"/>
        <v>182.76923076923077</v>
      </c>
      <c r="AR256" s="67">
        <v>160</v>
      </c>
      <c r="AS256" s="68">
        <f t="shared" si="95"/>
        <v>-22.769230769230774</v>
      </c>
      <c r="AT256" s="69"/>
      <c r="AU256" s="68">
        <f t="shared" si="96"/>
        <v>-22.769230769230774</v>
      </c>
      <c r="AV256" s="70">
        <v>91.99</v>
      </c>
      <c r="AW256" s="65">
        <f t="shared" si="89"/>
        <v>14718.4</v>
      </c>
      <c r="AX256" s="24">
        <f t="shared" si="104"/>
        <v>66.645571356714996</v>
      </c>
      <c r="AY256" s="24"/>
      <c r="AZ256" s="24"/>
      <c r="BA256" s="24"/>
      <c r="BB256" s="24">
        <f t="shared" si="97"/>
        <v>0</v>
      </c>
      <c r="BC256" s="24">
        <f t="shared" si="98"/>
        <v>9117.85</v>
      </c>
      <c r="BD256" s="24">
        <v>135</v>
      </c>
      <c r="BE256" s="24">
        <v>135</v>
      </c>
      <c r="BF256" s="24"/>
      <c r="BG256" s="24">
        <f>+AB256*9.5%</f>
        <v>2733.625</v>
      </c>
      <c r="BH256" s="24"/>
      <c r="BI256" s="24"/>
      <c r="BJ256" s="24">
        <f t="shared" si="99"/>
        <v>27.33625</v>
      </c>
      <c r="BK256" s="24">
        <f t="shared" si="100"/>
        <v>12094.13875</v>
      </c>
      <c r="BL256" s="24" t="s">
        <v>173</v>
      </c>
      <c r="BM256" s="42">
        <f t="shared" si="91"/>
        <v>2</v>
      </c>
      <c r="BN256" s="24" t="s">
        <v>83</v>
      </c>
      <c r="BO256" s="2" t="s">
        <v>148</v>
      </c>
    </row>
    <row r="257" spans="1:67" s="1" customFormat="1" ht="15" customHeight="1" x14ac:dyDescent="0.3">
      <c r="A257" s="20">
        <v>253</v>
      </c>
      <c r="B257" s="21">
        <v>46098</v>
      </c>
      <c r="C257" s="21">
        <v>46102</v>
      </c>
      <c r="D257" s="50" t="s">
        <v>1461</v>
      </c>
      <c r="E257" s="23">
        <v>46151</v>
      </c>
      <c r="F257" s="23" t="s">
        <v>7</v>
      </c>
      <c r="G257" s="24" t="s">
        <v>68</v>
      </c>
      <c r="H257" s="24" t="s">
        <v>69</v>
      </c>
      <c r="I257" s="24" t="s">
        <v>800</v>
      </c>
      <c r="J257" s="25" t="s">
        <v>801</v>
      </c>
      <c r="K257" s="45" t="str">
        <f t="shared" si="92"/>
        <v>WB41P4782</v>
      </c>
      <c r="L257" s="26">
        <v>46099</v>
      </c>
      <c r="M257" s="34" t="s">
        <v>1462</v>
      </c>
      <c r="N257" s="27" t="s">
        <v>1463</v>
      </c>
      <c r="O257" s="28">
        <v>0</v>
      </c>
      <c r="P257" s="27" t="s">
        <v>1464</v>
      </c>
      <c r="Q257" s="29">
        <v>2525369222</v>
      </c>
      <c r="R257" s="30">
        <v>2110816524</v>
      </c>
      <c r="S257" s="31" t="s">
        <v>73</v>
      </c>
      <c r="T257" s="24" t="s">
        <v>188</v>
      </c>
      <c r="U257" s="24" t="s">
        <v>75</v>
      </c>
      <c r="V257" s="32" t="s">
        <v>1465</v>
      </c>
      <c r="W257" s="32" t="s">
        <v>990</v>
      </c>
      <c r="X257" s="32" t="s">
        <v>1466</v>
      </c>
      <c r="Y257" s="24">
        <v>604</v>
      </c>
      <c r="Z257" s="24">
        <v>13</v>
      </c>
      <c r="AA257" s="24">
        <f>+Y257/100*93</f>
        <v>561.72</v>
      </c>
      <c r="AB257" s="24">
        <f t="shared" si="85"/>
        <v>7852</v>
      </c>
      <c r="AC257" s="24">
        <f t="shared" si="86"/>
        <v>7459.4</v>
      </c>
      <c r="AD257" s="24">
        <f t="shared" si="87"/>
        <v>7302.3600000000006</v>
      </c>
      <c r="AE257" s="24">
        <f t="shared" si="88"/>
        <v>549.63999999999942</v>
      </c>
      <c r="AF257" s="24">
        <f t="shared" si="108"/>
        <v>73.023600000000002</v>
      </c>
      <c r="AG257" s="33">
        <v>1450</v>
      </c>
      <c r="AH257" s="24"/>
      <c r="AI257" s="24"/>
      <c r="AJ257" s="24"/>
      <c r="AK257" s="24"/>
      <c r="AL257" s="24"/>
      <c r="AM257" s="24" t="s">
        <v>79</v>
      </c>
      <c r="AN257" s="34" t="s">
        <v>1467</v>
      </c>
      <c r="AO257" s="35" t="s">
        <v>973</v>
      </c>
      <c r="AP257" s="24">
        <f>95*2</f>
        <v>190</v>
      </c>
      <c r="AQ257" s="36">
        <f t="shared" si="94"/>
        <v>58.46153846153846</v>
      </c>
      <c r="AR257" s="67">
        <v>40</v>
      </c>
      <c r="AS257" s="68">
        <f t="shared" si="95"/>
        <v>-18.46153846153846</v>
      </c>
      <c r="AT257" s="69"/>
      <c r="AU257" s="68">
        <f t="shared" si="96"/>
        <v>-18.46153846153846</v>
      </c>
      <c r="AV257" s="70">
        <v>91.99</v>
      </c>
      <c r="AW257" s="65">
        <f t="shared" si="89"/>
        <v>3679.6</v>
      </c>
      <c r="AX257" s="24">
        <f t="shared" si="104"/>
        <v>70.245783554905543</v>
      </c>
      <c r="AY257" s="24">
        <v>120</v>
      </c>
      <c r="AZ257" s="24"/>
      <c r="BA257" s="24"/>
      <c r="BB257" s="24">
        <f t="shared" si="97"/>
        <v>0</v>
      </c>
      <c r="BC257" s="24">
        <f t="shared" si="98"/>
        <v>1979.7364000000002</v>
      </c>
      <c r="BD257" s="24">
        <v>40</v>
      </c>
      <c r="BE257" s="24">
        <v>40</v>
      </c>
      <c r="BF257" s="24"/>
      <c r="BG257" s="24">
        <f>+AB257*9.5%</f>
        <v>745.94</v>
      </c>
      <c r="BH257" s="24"/>
      <c r="BI257" s="24"/>
      <c r="BJ257" s="24">
        <f t="shared" si="99"/>
        <v>7.4594000000000005</v>
      </c>
      <c r="BK257" s="24">
        <f t="shared" si="100"/>
        <v>2798.2170000000001</v>
      </c>
      <c r="BL257" s="24" t="s">
        <v>807</v>
      </c>
      <c r="BM257" s="42">
        <f t="shared" si="91"/>
        <v>2</v>
      </c>
      <c r="BN257" s="24" t="s">
        <v>83</v>
      </c>
      <c r="BO257" s="2" t="s">
        <v>148</v>
      </c>
    </row>
    <row r="258" spans="1:67" s="1" customFormat="1" ht="15" customHeight="1" x14ac:dyDescent="0.3">
      <c r="A258" s="20">
        <v>254</v>
      </c>
      <c r="B258" s="21">
        <v>46099</v>
      </c>
      <c r="C258" s="21">
        <v>46102</v>
      </c>
      <c r="D258" s="73" t="s">
        <v>523</v>
      </c>
      <c r="E258" s="74">
        <v>46105</v>
      </c>
      <c r="F258" s="23" t="s">
        <v>7</v>
      </c>
      <c r="G258" s="24" t="s">
        <v>68</v>
      </c>
      <c r="H258" s="24" t="s">
        <v>69</v>
      </c>
      <c r="I258" s="24" t="s">
        <v>141</v>
      </c>
      <c r="J258" s="25" t="s">
        <v>246</v>
      </c>
      <c r="K258" s="45" t="str">
        <f t="shared" si="92"/>
        <v>WB41F4393</v>
      </c>
      <c r="L258" s="26">
        <v>46099</v>
      </c>
      <c r="M258" s="34"/>
      <c r="N258" s="27"/>
      <c r="O258" s="28">
        <v>0</v>
      </c>
      <c r="P258" s="27"/>
      <c r="Q258" s="75">
        <v>2525369703</v>
      </c>
      <c r="R258" s="76">
        <v>2110816955</v>
      </c>
      <c r="S258" s="31" t="s">
        <v>73</v>
      </c>
      <c r="T258" s="24" t="s">
        <v>91</v>
      </c>
      <c r="U258" s="24" t="s">
        <v>75</v>
      </c>
      <c r="V258" s="32" t="s">
        <v>1468</v>
      </c>
      <c r="W258" s="32" t="s">
        <v>528</v>
      </c>
      <c r="X258" s="32" t="s">
        <v>1469</v>
      </c>
      <c r="Y258" s="24">
        <v>542</v>
      </c>
      <c r="Z258" s="24">
        <v>25</v>
      </c>
      <c r="AA258" s="24">
        <f t="shared" si="93"/>
        <v>514.9</v>
      </c>
      <c r="AB258" s="24">
        <f t="shared" si="85"/>
        <v>13550</v>
      </c>
      <c r="AC258" s="24">
        <f t="shared" si="86"/>
        <v>12872.5</v>
      </c>
      <c r="AD258" s="24">
        <f t="shared" si="87"/>
        <v>12872.5</v>
      </c>
      <c r="AE258" s="24">
        <f t="shared" si="88"/>
        <v>677.5</v>
      </c>
      <c r="AF258" s="24">
        <f t="shared" si="108"/>
        <v>128.72499999999999</v>
      </c>
      <c r="AG258" s="33">
        <v>3850</v>
      </c>
      <c r="AH258" s="24"/>
      <c r="AI258" s="24"/>
      <c r="AJ258" s="24"/>
      <c r="AK258" s="24"/>
      <c r="AL258" s="24"/>
      <c r="AM258" s="24" t="s">
        <v>79</v>
      </c>
      <c r="AN258" s="34" t="s">
        <v>1470</v>
      </c>
      <c r="AO258" s="35" t="s">
        <v>973</v>
      </c>
      <c r="AP258" s="24">
        <f>89*2</f>
        <v>178</v>
      </c>
      <c r="AQ258" s="36">
        <f t="shared" si="94"/>
        <v>54.769230769230766</v>
      </c>
      <c r="AR258" s="67">
        <v>50</v>
      </c>
      <c r="AS258" s="68">
        <f t="shared" si="95"/>
        <v>-4.7692307692307665</v>
      </c>
      <c r="AT258" s="69"/>
      <c r="AU258" s="68">
        <f t="shared" si="96"/>
        <v>-4.7692307692307665</v>
      </c>
      <c r="AV258" s="70">
        <v>91.99</v>
      </c>
      <c r="AW258" s="65">
        <f t="shared" si="89"/>
        <v>4599.5</v>
      </c>
      <c r="AX258" s="24">
        <f t="shared" si="104"/>
        <v>65.639930083511359</v>
      </c>
      <c r="AY258" s="24"/>
      <c r="AZ258" s="24"/>
      <c r="BA258" s="24"/>
      <c r="BB258" s="24">
        <f t="shared" si="97"/>
        <v>0</v>
      </c>
      <c r="BC258" s="24">
        <f t="shared" si="98"/>
        <v>4294.2749999999996</v>
      </c>
      <c r="BD258" s="24">
        <v>135</v>
      </c>
      <c r="BE258" s="24">
        <v>135</v>
      </c>
      <c r="BF258" s="24"/>
      <c r="BG258" s="24">
        <f>+AB258*9.5%</f>
        <v>1287.25</v>
      </c>
      <c r="BH258" s="24"/>
      <c r="BI258" s="24"/>
      <c r="BJ258" s="24">
        <f t="shared" si="99"/>
        <v>12.8725</v>
      </c>
      <c r="BK258" s="24">
        <f t="shared" si="100"/>
        <v>5838.6524999999992</v>
      </c>
      <c r="BL258" s="24" t="s">
        <v>253</v>
      </c>
      <c r="BM258" s="42">
        <f t="shared" si="91"/>
        <v>1</v>
      </c>
      <c r="BN258" s="24" t="s">
        <v>610</v>
      </c>
      <c r="BO258" s="2" t="s">
        <v>148</v>
      </c>
    </row>
    <row r="259" spans="1:67" s="1" customFormat="1" ht="15" customHeight="1" x14ac:dyDescent="0.3">
      <c r="A259" s="20">
        <v>255</v>
      </c>
      <c r="B259" s="21">
        <v>46099</v>
      </c>
      <c r="C259" s="21">
        <v>46105</v>
      </c>
      <c r="D259" s="50" t="s">
        <v>130</v>
      </c>
      <c r="E259" s="23">
        <v>46107</v>
      </c>
      <c r="F259" s="23" t="s">
        <v>7</v>
      </c>
      <c r="G259" s="24" t="s">
        <v>87</v>
      </c>
      <c r="H259" s="24" t="s">
        <v>69</v>
      </c>
      <c r="I259" s="24" t="s">
        <v>389</v>
      </c>
      <c r="J259" s="25" t="s">
        <v>390</v>
      </c>
      <c r="K259" s="45" t="str">
        <f t="shared" si="92"/>
        <v>WB39G6846</v>
      </c>
      <c r="L259" s="26">
        <v>46100</v>
      </c>
      <c r="M259" s="34" t="s">
        <v>1471</v>
      </c>
      <c r="N259" s="27" t="s">
        <v>1472</v>
      </c>
      <c r="O259" s="28">
        <v>0</v>
      </c>
      <c r="P259" s="27"/>
      <c r="Q259" s="29">
        <v>2525369726</v>
      </c>
      <c r="R259" s="30">
        <v>2110815824</v>
      </c>
      <c r="S259" s="31" t="s">
        <v>73</v>
      </c>
      <c r="T259" s="24" t="s">
        <v>91</v>
      </c>
      <c r="U259" s="24" t="s">
        <v>75</v>
      </c>
      <c r="V259" s="32" t="s">
        <v>375</v>
      </c>
      <c r="W259" s="32" t="s">
        <v>376</v>
      </c>
      <c r="X259" s="32" t="s">
        <v>1473</v>
      </c>
      <c r="Y259" s="24">
        <v>741</v>
      </c>
      <c r="Z259" s="24">
        <v>25</v>
      </c>
      <c r="AA259" s="24">
        <f t="shared" si="93"/>
        <v>703.95</v>
      </c>
      <c r="AB259" s="24">
        <f t="shared" si="85"/>
        <v>18525</v>
      </c>
      <c r="AC259" s="24">
        <f t="shared" si="86"/>
        <v>17598.75</v>
      </c>
      <c r="AD259" s="24">
        <f t="shared" si="87"/>
        <v>17598.75</v>
      </c>
      <c r="AE259" s="24">
        <f t="shared" si="88"/>
        <v>926.25</v>
      </c>
      <c r="AF259" s="24">
        <v>0</v>
      </c>
      <c r="AG259" s="33">
        <v>3700</v>
      </c>
      <c r="AH259" s="24"/>
      <c r="AI259" s="24"/>
      <c r="AJ259" s="24"/>
      <c r="AK259" s="24"/>
      <c r="AL259" s="24"/>
      <c r="AM259" s="24" t="s">
        <v>79</v>
      </c>
      <c r="AN259" s="34" t="s">
        <v>1474</v>
      </c>
      <c r="AO259" s="35" t="s">
        <v>973</v>
      </c>
      <c r="AP259" s="24">
        <f>164*2</f>
        <v>328</v>
      </c>
      <c r="AQ259" s="36">
        <f t="shared" si="94"/>
        <v>100.92307692307692</v>
      </c>
      <c r="AR259" s="67">
        <v>105</v>
      </c>
      <c r="AS259" s="68">
        <f t="shared" si="95"/>
        <v>4.0769230769230802</v>
      </c>
      <c r="AT259" s="69"/>
      <c r="AU259" s="68">
        <f t="shared" si="96"/>
        <v>4.0769230769230802</v>
      </c>
      <c r="AV259" s="70">
        <v>91.99</v>
      </c>
      <c r="AW259" s="65">
        <f t="shared" si="89"/>
        <v>9658.9499999999989</v>
      </c>
      <c r="AX259" s="24">
        <f t="shared" si="104"/>
        <v>75.908516229845873</v>
      </c>
      <c r="AY259" s="24"/>
      <c r="AZ259" s="24"/>
      <c r="BA259" s="24"/>
      <c r="BB259" s="24">
        <f t="shared" si="97"/>
        <v>0</v>
      </c>
      <c r="BC259" s="24">
        <f t="shared" si="98"/>
        <v>4239.8000000000011</v>
      </c>
      <c r="BD259" s="24">
        <v>120</v>
      </c>
      <c r="BE259" s="24">
        <v>120</v>
      </c>
      <c r="BF259" s="24"/>
      <c r="BG259" s="24">
        <v>0</v>
      </c>
      <c r="BH259" s="24"/>
      <c r="BI259" s="24"/>
      <c r="BJ259" s="24">
        <f t="shared" si="99"/>
        <v>0</v>
      </c>
      <c r="BK259" s="24">
        <f t="shared" si="100"/>
        <v>4479.8000000000011</v>
      </c>
      <c r="BL259" s="24" t="s">
        <v>116</v>
      </c>
      <c r="BM259" s="42">
        <f t="shared" si="91"/>
        <v>2</v>
      </c>
      <c r="BN259" s="24" t="s">
        <v>83</v>
      </c>
      <c r="BO259" s="2" t="s">
        <v>129</v>
      </c>
    </row>
    <row r="260" spans="1:67" s="1" customFormat="1" ht="15" customHeight="1" x14ac:dyDescent="0.3">
      <c r="A260" s="20">
        <v>256</v>
      </c>
      <c r="B260" s="21">
        <v>46099</v>
      </c>
      <c r="C260" s="21">
        <v>46102</v>
      </c>
      <c r="D260" s="52" t="s">
        <v>523</v>
      </c>
      <c r="E260" s="23">
        <v>46105</v>
      </c>
      <c r="F260" s="23" t="s">
        <v>7</v>
      </c>
      <c r="G260" s="24" t="s">
        <v>68</v>
      </c>
      <c r="H260" s="24" t="s">
        <v>69</v>
      </c>
      <c r="I260" s="24" t="s">
        <v>112</v>
      </c>
      <c r="J260" s="25" t="s">
        <v>487</v>
      </c>
      <c r="K260" s="45" t="str">
        <f t="shared" si="92"/>
        <v>WB39A9434</v>
      </c>
      <c r="L260" s="26">
        <v>46100</v>
      </c>
      <c r="M260" s="34" t="s">
        <v>1475</v>
      </c>
      <c r="N260" s="27" t="s">
        <v>1476</v>
      </c>
      <c r="O260" s="28">
        <v>0</v>
      </c>
      <c r="P260" s="27" t="s">
        <v>1477</v>
      </c>
      <c r="Q260" s="29">
        <v>2525369703</v>
      </c>
      <c r="R260" s="30">
        <v>2110816955</v>
      </c>
      <c r="S260" s="31" t="s">
        <v>73</v>
      </c>
      <c r="T260" s="24" t="s">
        <v>91</v>
      </c>
      <c r="U260" s="24" t="s">
        <v>75</v>
      </c>
      <c r="V260" s="32" t="s">
        <v>1468</v>
      </c>
      <c r="W260" s="32" t="s">
        <v>528</v>
      </c>
      <c r="X260" s="32" t="s">
        <v>1469</v>
      </c>
      <c r="Y260" s="24">
        <v>542</v>
      </c>
      <c r="Z260" s="24">
        <v>25</v>
      </c>
      <c r="AA260" s="24">
        <f t="shared" si="93"/>
        <v>514.9</v>
      </c>
      <c r="AB260" s="24">
        <f t="shared" si="85"/>
        <v>13550</v>
      </c>
      <c r="AC260" s="24">
        <f t="shared" si="86"/>
        <v>12872.5</v>
      </c>
      <c r="AD260" s="24">
        <f t="shared" si="87"/>
        <v>12872.5</v>
      </c>
      <c r="AE260" s="24">
        <f t="shared" si="88"/>
        <v>677.5</v>
      </c>
      <c r="AF260" s="24">
        <f t="shared" ref="AF260:AF319" si="110">+AD260*1%</f>
        <v>128.72499999999999</v>
      </c>
      <c r="AG260" s="33">
        <v>3500</v>
      </c>
      <c r="AH260" s="24"/>
      <c r="AI260" s="24"/>
      <c r="AJ260" s="24"/>
      <c r="AK260" s="24"/>
      <c r="AL260" s="24"/>
      <c r="AM260" s="24" t="s">
        <v>79</v>
      </c>
      <c r="AN260" s="34" t="s">
        <v>1478</v>
      </c>
      <c r="AO260" s="35" t="s">
        <v>973</v>
      </c>
      <c r="AP260" s="24">
        <f>89*2</f>
        <v>178</v>
      </c>
      <c r="AQ260" s="36">
        <f t="shared" si="94"/>
        <v>54.769230769230766</v>
      </c>
      <c r="AR260" s="67">
        <v>80</v>
      </c>
      <c r="AS260" s="68">
        <f t="shared" si="95"/>
        <v>25.230769230769234</v>
      </c>
      <c r="AT260" s="69"/>
      <c r="AU260" s="68">
        <f t="shared" si="96"/>
        <v>25.230769230769234</v>
      </c>
      <c r="AV260" s="70">
        <v>91.99</v>
      </c>
      <c r="AW260" s="65">
        <f t="shared" si="89"/>
        <v>7359.2</v>
      </c>
      <c r="AX260" s="24">
        <f t="shared" si="104"/>
        <v>84.359681491551768</v>
      </c>
      <c r="AY260" s="24"/>
      <c r="AZ260" s="24"/>
      <c r="BA260" s="24"/>
      <c r="BB260" s="24">
        <f t="shared" si="97"/>
        <v>0</v>
      </c>
      <c r="BC260" s="24">
        <f t="shared" si="98"/>
        <v>1884.5749999999998</v>
      </c>
      <c r="BD260" s="24">
        <v>135</v>
      </c>
      <c r="BE260" s="24">
        <v>135</v>
      </c>
      <c r="BF260" s="24"/>
      <c r="BG260" s="24">
        <f>+AB260*9.5%</f>
        <v>1287.25</v>
      </c>
      <c r="BH260" s="24"/>
      <c r="BI260" s="24"/>
      <c r="BJ260" s="24">
        <f t="shared" si="99"/>
        <v>12.8725</v>
      </c>
      <c r="BK260" s="24">
        <f t="shared" si="100"/>
        <v>3428.9524999999999</v>
      </c>
      <c r="BL260" s="24" t="s">
        <v>494</v>
      </c>
      <c r="BM260" s="42">
        <f t="shared" si="91"/>
        <v>2</v>
      </c>
      <c r="BN260" s="24" t="s">
        <v>83</v>
      </c>
      <c r="BO260" s="2" t="s">
        <v>148</v>
      </c>
    </row>
    <row r="261" spans="1:67" s="1" customFormat="1" ht="15" customHeight="1" x14ac:dyDescent="0.3">
      <c r="A261" s="20">
        <v>257</v>
      </c>
      <c r="B261" s="21">
        <v>46099</v>
      </c>
      <c r="C261" s="21">
        <v>46107</v>
      </c>
      <c r="D261" s="50" t="s">
        <v>1479</v>
      </c>
      <c r="E261" s="23">
        <v>46108</v>
      </c>
      <c r="F261" s="23" t="s">
        <v>7</v>
      </c>
      <c r="G261" s="24" t="s">
        <v>68</v>
      </c>
      <c r="H261" s="24" t="s">
        <v>69</v>
      </c>
      <c r="I261" s="24" t="s">
        <v>117</v>
      </c>
      <c r="J261" s="25" t="s">
        <v>118</v>
      </c>
      <c r="K261" s="45" t="str">
        <f t="shared" si="92"/>
        <v>WB37E6348</v>
      </c>
      <c r="L261" s="26">
        <v>46102</v>
      </c>
      <c r="M261" s="34" t="s">
        <v>1480</v>
      </c>
      <c r="N261" s="27" t="s">
        <v>1481</v>
      </c>
      <c r="O261" s="28">
        <v>0</v>
      </c>
      <c r="P261" s="27" t="s">
        <v>1482</v>
      </c>
      <c r="Q261" s="29">
        <v>2525369746</v>
      </c>
      <c r="R261" s="30">
        <v>2110817009</v>
      </c>
      <c r="S261" s="31" t="s">
        <v>73</v>
      </c>
      <c r="T261" s="24" t="s">
        <v>91</v>
      </c>
      <c r="U261" s="24" t="s">
        <v>75</v>
      </c>
      <c r="V261" s="32" t="s">
        <v>1242</v>
      </c>
      <c r="W261" s="32" t="s">
        <v>1243</v>
      </c>
      <c r="X261" s="32"/>
      <c r="Y261" s="24">
        <v>1102</v>
      </c>
      <c r="Z261" s="24">
        <v>25</v>
      </c>
      <c r="AA261" s="24">
        <f t="shared" si="93"/>
        <v>1046.8999999999999</v>
      </c>
      <c r="AB261" s="24">
        <f t="shared" ref="AB261:AB324" si="111">+Z261*Y261</f>
        <v>27550</v>
      </c>
      <c r="AC261" s="24">
        <f t="shared" ref="AC261:AC324" si="112">+AB261/100*95</f>
        <v>26172.5</v>
      </c>
      <c r="AD261" s="24">
        <f t="shared" ref="AD261:AD324" si="113">+AA261*Z261</f>
        <v>26172.499999999996</v>
      </c>
      <c r="AE261" s="24">
        <f t="shared" ref="AE261:AE324" si="114">+AB261-AD261</f>
        <v>1377.5000000000036</v>
      </c>
      <c r="AF261" s="24">
        <v>0</v>
      </c>
      <c r="AG261" s="33">
        <v>8600</v>
      </c>
      <c r="AH261" s="24"/>
      <c r="AI261" s="24"/>
      <c r="AJ261" s="24"/>
      <c r="AK261" s="24"/>
      <c r="AL261" s="24"/>
      <c r="AM261" s="24" t="s">
        <v>79</v>
      </c>
      <c r="AN261" s="34" t="s">
        <v>1483</v>
      </c>
      <c r="AO261" s="35" t="s">
        <v>973</v>
      </c>
      <c r="AP261" s="24">
        <f>252*2</f>
        <v>504</v>
      </c>
      <c r="AQ261" s="36">
        <f t="shared" si="94"/>
        <v>155.07692307692307</v>
      </c>
      <c r="AR261" s="67">
        <v>163</v>
      </c>
      <c r="AS261" s="68">
        <f t="shared" si="95"/>
        <v>7.923076923076934</v>
      </c>
      <c r="AT261" s="69"/>
      <c r="AU261" s="68">
        <f t="shared" si="96"/>
        <v>7.923076923076934</v>
      </c>
      <c r="AV261" s="70">
        <v>91.99</v>
      </c>
      <c r="AW261" s="65">
        <f t="shared" ref="AW261:AW324" si="115">+AR261*AV261</f>
        <v>14994.369999999999</v>
      </c>
      <c r="AX261" s="24">
        <f t="shared" si="104"/>
        <v>90.149469863406253</v>
      </c>
      <c r="AY261" s="24"/>
      <c r="AZ261" s="24"/>
      <c r="BA261" s="24"/>
      <c r="BB261" s="24">
        <f t="shared" si="97"/>
        <v>0</v>
      </c>
      <c r="BC261" s="24">
        <f t="shared" si="98"/>
        <v>2578.1299999999974</v>
      </c>
      <c r="BD261" s="24"/>
      <c r="BE261" s="24"/>
      <c r="BF261" s="24"/>
      <c r="BG261" s="24">
        <f t="shared" ref="BG261:BG267" si="116">+AB261*9.5%</f>
        <v>2617.25</v>
      </c>
      <c r="BH261" s="24"/>
      <c r="BI261" s="24"/>
      <c r="BJ261" s="24">
        <f t="shared" si="99"/>
        <v>26.172499999999999</v>
      </c>
      <c r="BK261" s="24">
        <f t="shared" si="100"/>
        <v>5169.2074999999977</v>
      </c>
      <c r="BL261" s="24" t="s">
        <v>121</v>
      </c>
      <c r="BM261" s="42">
        <f t="shared" ref="BM261:BM324" si="117">+L261-B261+1</f>
        <v>4</v>
      </c>
      <c r="BN261" s="24" t="s">
        <v>174</v>
      </c>
      <c r="BO261" s="2" t="s">
        <v>129</v>
      </c>
    </row>
    <row r="262" spans="1:67" s="1" customFormat="1" ht="15" customHeight="1" x14ac:dyDescent="0.3">
      <c r="A262" s="20">
        <v>258</v>
      </c>
      <c r="B262" s="21">
        <v>46099</v>
      </c>
      <c r="C262" s="21">
        <v>46105</v>
      </c>
      <c r="D262" s="62" t="s">
        <v>1380</v>
      </c>
      <c r="E262" s="23">
        <v>46116</v>
      </c>
      <c r="F262" s="23" t="s">
        <v>7</v>
      </c>
      <c r="G262" s="24" t="s">
        <v>68</v>
      </c>
      <c r="H262" s="24" t="s">
        <v>69</v>
      </c>
      <c r="I262" s="24" t="s">
        <v>131</v>
      </c>
      <c r="J262" s="25" t="s">
        <v>132</v>
      </c>
      <c r="K262" s="45" t="str">
        <f t="shared" ref="K262:K325" si="118">CONCATENATE(H262,I262,J262)</f>
        <v>WB29A8166</v>
      </c>
      <c r="L262" s="26">
        <v>46100</v>
      </c>
      <c r="M262" s="34" t="s">
        <v>1484</v>
      </c>
      <c r="N262" s="27" t="s">
        <v>1485</v>
      </c>
      <c r="O262" s="28">
        <v>0</v>
      </c>
      <c r="P262" s="27" t="s">
        <v>1486</v>
      </c>
      <c r="Q262" s="29">
        <v>2525369784</v>
      </c>
      <c r="R262" s="30">
        <v>2110817091</v>
      </c>
      <c r="S262" s="31" t="s">
        <v>73</v>
      </c>
      <c r="T262" s="24" t="s">
        <v>91</v>
      </c>
      <c r="U262" s="24" t="s">
        <v>75</v>
      </c>
      <c r="V262" s="32" t="s">
        <v>1487</v>
      </c>
      <c r="W262" s="32" t="s">
        <v>586</v>
      </c>
      <c r="X262" s="32" t="s">
        <v>1488</v>
      </c>
      <c r="Y262" s="24">
        <v>1091</v>
      </c>
      <c r="Z262" s="24">
        <v>25</v>
      </c>
      <c r="AA262" s="24">
        <f t="shared" ref="AA262:AA325" si="119">+Y262/100*95</f>
        <v>1036.45</v>
      </c>
      <c r="AB262" s="24">
        <f t="shared" si="111"/>
        <v>27275</v>
      </c>
      <c r="AC262" s="24">
        <f t="shared" si="112"/>
        <v>25911.25</v>
      </c>
      <c r="AD262" s="24">
        <f t="shared" si="113"/>
        <v>25911.25</v>
      </c>
      <c r="AE262" s="24">
        <f t="shared" si="114"/>
        <v>1363.75</v>
      </c>
      <c r="AF262" s="24">
        <v>0</v>
      </c>
      <c r="AG262" s="33">
        <v>6500</v>
      </c>
      <c r="AH262" s="24"/>
      <c r="AI262" s="24"/>
      <c r="AJ262" s="24"/>
      <c r="AK262" s="24"/>
      <c r="AL262" s="24"/>
      <c r="AM262" s="24" t="s">
        <v>79</v>
      </c>
      <c r="AN262" s="34" t="s">
        <v>1489</v>
      </c>
      <c r="AO262" s="35" t="s">
        <v>973</v>
      </c>
      <c r="AP262" s="24">
        <f>256*2</f>
        <v>512</v>
      </c>
      <c r="AQ262" s="36">
        <f t="shared" ref="AQ262:AQ325" si="120">+AP262/3.25</f>
        <v>157.53846153846155</v>
      </c>
      <c r="AR262" s="67">
        <v>160</v>
      </c>
      <c r="AS262" s="68">
        <f t="shared" ref="AS262:AS325" si="121">+AR262-AQ262</f>
        <v>2.4615384615384528</v>
      </c>
      <c r="AT262" s="69"/>
      <c r="AU262" s="68">
        <f t="shared" ref="AU262:AU325" si="122">+AS262-AT262</f>
        <v>2.4615384615384528</v>
      </c>
      <c r="AV262" s="70">
        <v>91.99</v>
      </c>
      <c r="AW262" s="65">
        <f t="shared" si="115"/>
        <v>14718.4</v>
      </c>
      <c r="AX262" s="24">
        <f t="shared" si="104"/>
        <v>81.888754884461392</v>
      </c>
      <c r="AY262" s="24"/>
      <c r="AZ262" s="24"/>
      <c r="BA262" s="24"/>
      <c r="BB262" s="24">
        <f t="shared" ref="BB262:BB325" si="123">+AZ262*BA262</f>
        <v>0</v>
      </c>
      <c r="BC262" s="24">
        <f t="shared" ref="BC262:BC325" si="124">+AD262-AF262-AG262-AH262-AI262-AJ262-AK262-AW262-AY262-BB262-AL262</f>
        <v>4692.8500000000004</v>
      </c>
      <c r="BD262" s="24">
        <v>135</v>
      </c>
      <c r="BE262" s="24">
        <v>135</v>
      </c>
      <c r="BF262" s="24"/>
      <c r="BG262" s="24">
        <f t="shared" si="116"/>
        <v>2591.125</v>
      </c>
      <c r="BH262" s="24"/>
      <c r="BI262" s="24"/>
      <c r="BJ262" s="24">
        <f t="shared" ref="BJ262:BJ325" si="125">+(+BF262+BG262+BH262+BI262)*1%</f>
        <v>25.911249999999999</v>
      </c>
      <c r="BK262" s="24">
        <f t="shared" ref="BK262:BK325" si="126">+BC262+BD262+BE262+BF262+BG262+BH262+BI262-BJ262</f>
        <v>7528.0637500000003</v>
      </c>
      <c r="BL262" s="24" t="s">
        <v>138</v>
      </c>
      <c r="BM262" s="42">
        <f t="shared" si="117"/>
        <v>2</v>
      </c>
      <c r="BN262" s="24" t="s">
        <v>83</v>
      </c>
      <c r="BO262" s="2" t="s">
        <v>129</v>
      </c>
    </row>
    <row r="263" spans="1:67" s="1" customFormat="1" ht="15" customHeight="1" x14ac:dyDescent="0.3">
      <c r="A263" s="20">
        <v>259</v>
      </c>
      <c r="B263" s="21">
        <v>46099</v>
      </c>
      <c r="C263" s="21">
        <v>46105</v>
      </c>
      <c r="D263" s="50" t="s">
        <v>1490</v>
      </c>
      <c r="E263" s="23">
        <v>46161</v>
      </c>
      <c r="F263" s="23" t="s">
        <v>7</v>
      </c>
      <c r="G263" s="24" t="s">
        <v>68</v>
      </c>
      <c r="H263" s="24" t="s">
        <v>69</v>
      </c>
      <c r="I263" s="24" t="s">
        <v>729</v>
      </c>
      <c r="J263" s="25" t="s">
        <v>730</v>
      </c>
      <c r="K263" s="45" t="str">
        <f t="shared" si="118"/>
        <v>WB53B7628</v>
      </c>
      <c r="L263" s="26">
        <v>46100</v>
      </c>
      <c r="M263" s="34" t="s">
        <v>1491</v>
      </c>
      <c r="N263" s="27" t="s">
        <v>1492</v>
      </c>
      <c r="O263" s="28">
        <v>0</v>
      </c>
      <c r="P263" s="27" t="s">
        <v>1493</v>
      </c>
      <c r="Q263" s="29">
        <v>2590201081</v>
      </c>
      <c r="R263" s="30">
        <v>2160378910</v>
      </c>
      <c r="S263" s="31" t="s">
        <v>73</v>
      </c>
      <c r="T263" s="24" t="s">
        <v>91</v>
      </c>
      <c r="U263" s="24" t="s">
        <v>347</v>
      </c>
      <c r="V263" s="32" t="s">
        <v>811</v>
      </c>
      <c r="W263" s="32" t="s">
        <v>349</v>
      </c>
      <c r="X263" s="32"/>
      <c r="Y263" s="24">
        <v>809</v>
      </c>
      <c r="Z263" s="24">
        <v>25</v>
      </c>
      <c r="AA263" s="24">
        <f t="shared" si="119"/>
        <v>768.55</v>
      </c>
      <c r="AB263" s="24">
        <f t="shared" si="111"/>
        <v>20225</v>
      </c>
      <c r="AC263" s="24">
        <f t="shared" si="112"/>
        <v>19213.75</v>
      </c>
      <c r="AD263" s="24">
        <f t="shared" si="113"/>
        <v>19213.75</v>
      </c>
      <c r="AE263" s="24">
        <f t="shared" si="114"/>
        <v>1011.25</v>
      </c>
      <c r="AF263" s="24">
        <v>0</v>
      </c>
      <c r="AG263" s="33">
        <v>3800</v>
      </c>
      <c r="AH263" s="24"/>
      <c r="AI263" s="24"/>
      <c r="AJ263" s="24"/>
      <c r="AK263" s="24"/>
      <c r="AL263" s="24"/>
      <c r="AM263" s="24" t="s">
        <v>79</v>
      </c>
      <c r="AN263" s="34" t="s">
        <v>1494</v>
      </c>
      <c r="AO263" s="35" t="s">
        <v>973</v>
      </c>
      <c r="AP263" s="24">
        <f>152*2</f>
        <v>304</v>
      </c>
      <c r="AQ263" s="36">
        <f t="shared" si="120"/>
        <v>93.538461538461533</v>
      </c>
      <c r="AR263" s="67">
        <v>95</v>
      </c>
      <c r="AS263" s="68">
        <f t="shared" si="121"/>
        <v>1.461538461538467</v>
      </c>
      <c r="AT263" s="69"/>
      <c r="AU263" s="68">
        <f t="shared" si="122"/>
        <v>1.461538461538467</v>
      </c>
      <c r="AV263" s="70">
        <v>91.99</v>
      </c>
      <c r="AW263" s="65">
        <f t="shared" si="115"/>
        <v>8739.0499999999993</v>
      </c>
      <c r="AX263" s="24">
        <f t="shared" si="104"/>
        <v>65.260815822002471</v>
      </c>
      <c r="AY263" s="24"/>
      <c r="AZ263" s="24"/>
      <c r="BA263" s="24"/>
      <c r="BB263" s="24">
        <f t="shared" si="123"/>
        <v>0</v>
      </c>
      <c r="BC263" s="24">
        <f t="shared" si="124"/>
        <v>6674.7000000000007</v>
      </c>
      <c r="BD263" s="24"/>
      <c r="BE263" s="24"/>
      <c r="BF263" s="24"/>
      <c r="BG263" s="24">
        <f t="shared" si="116"/>
        <v>1921.375</v>
      </c>
      <c r="BH263" s="24"/>
      <c r="BI263" s="24"/>
      <c r="BJ263" s="24">
        <f t="shared" si="125"/>
        <v>19.213750000000001</v>
      </c>
      <c r="BK263" s="24">
        <f t="shared" si="126"/>
        <v>8576.8612499999999</v>
      </c>
      <c r="BL263" s="24" t="s">
        <v>735</v>
      </c>
      <c r="BM263" s="42">
        <f t="shared" si="117"/>
        <v>2</v>
      </c>
      <c r="BN263" s="24" t="s">
        <v>83</v>
      </c>
      <c r="BO263" s="2" t="s">
        <v>148</v>
      </c>
    </row>
    <row r="264" spans="1:67" s="1" customFormat="1" ht="15" customHeight="1" x14ac:dyDescent="0.3">
      <c r="A264" s="20">
        <v>260</v>
      </c>
      <c r="B264" s="21">
        <v>46099</v>
      </c>
      <c r="C264" s="21">
        <v>46102</v>
      </c>
      <c r="D264" s="50" t="s">
        <v>1461</v>
      </c>
      <c r="E264" s="23">
        <v>46151</v>
      </c>
      <c r="F264" s="23" t="s">
        <v>7</v>
      </c>
      <c r="G264" s="24" t="s">
        <v>68</v>
      </c>
      <c r="H264" s="24" t="s">
        <v>69</v>
      </c>
      <c r="I264" s="24" t="s">
        <v>112</v>
      </c>
      <c r="J264" s="25" t="s">
        <v>558</v>
      </c>
      <c r="K264" s="45" t="str">
        <f t="shared" si="118"/>
        <v>WB39A5858</v>
      </c>
      <c r="L264" s="26">
        <v>46100</v>
      </c>
      <c r="M264" s="34" t="s">
        <v>1495</v>
      </c>
      <c r="N264" s="27" t="s">
        <v>1496</v>
      </c>
      <c r="O264" s="28">
        <v>0</v>
      </c>
      <c r="P264" s="27" t="s">
        <v>1497</v>
      </c>
      <c r="Q264" s="29">
        <v>2525369839</v>
      </c>
      <c r="R264" s="30">
        <v>2110817118</v>
      </c>
      <c r="S264" s="31" t="s">
        <v>73</v>
      </c>
      <c r="T264" s="24" t="s">
        <v>74</v>
      </c>
      <c r="U264" s="24" t="s">
        <v>75</v>
      </c>
      <c r="V264" s="32" t="s">
        <v>1498</v>
      </c>
      <c r="W264" s="32" t="s">
        <v>1499</v>
      </c>
      <c r="X264" s="32" t="s">
        <v>1500</v>
      </c>
      <c r="Y264" s="24">
        <v>767</v>
      </c>
      <c r="Z264" s="24">
        <v>10</v>
      </c>
      <c r="AA264" s="24">
        <f t="shared" si="119"/>
        <v>728.65</v>
      </c>
      <c r="AB264" s="24">
        <f t="shared" si="111"/>
        <v>7670</v>
      </c>
      <c r="AC264" s="24">
        <f t="shared" si="112"/>
        <v>7286.5</v>
      </c>
      <c r="AD264" s="24">
        <f t="shared" si="113"/>
        <v>7286.5</v>
      </c>
      <c r="AE264" s="24">
        <f t="shared" si="114"/>
        <v>383.5</v>
      </c>
      <c r="AF264" s="24">
        <v>0</v>
      </c>
      <c r="AG264" s="33">
        <v>2500</v>
      </c>
      <c r="AH264" s="24"/>
      <c r="AI264" s="24"/>
      <c r="AJ264" s="24"/>
      <c r="AK264" s="24"/>
      <c r="AL264" s="24"/>
      <c r="AM264" s="24" t="s">
        <v>79</v>
      </c>
      <c r="AN264" s="34" t="s">
        <v>1501</v>
      </c>
      <c r="AO264" s="35" t="s">
        <v>973</v>
      </c>
      <c r="AP264" s="24">
        <f>138*2</f>
        <v>276</v>
      </c>
      <c r="AQ264" s="36">
        <f t="shared" si="120"/>
        <v>84.92307692307692</v>
      </c>
      <c r="AR264" s="67">
        <v>70</v>
      </c>
      <c r="AS264" s="68">
        <f t="shared" si="121"/>
        <v>-14.92307692307692</v>
      </c>
      <c r="AT264" s="69"/>
      <c r="AU264" s="68">
        <f t="shared" si="122"/>
        <v>-14.92307692307692</v>
      </c>
      <c r="AV264" s="70">
        <v>91.99</v>
      </c>
      <c r="AW264" s="65">
        <f t="shared" si="115"/>
        <v>6439.2999999999993</v>
      </c>
      <c r="AX264" s="24">
        <f t="shared" si="104"/>
        <v>122.68304398545253</v>
      </c>
      <c r="AY264" s="24"/>
      <c r="AZ264" s="24"/>
      <c r="BA264" s="24"/>
      <c r="BB264" s="24">
        <f t="shared" si="123"/>
        <v>0</v>
      </c>
      <c r="BC264" s="24">
        <f t="shared" si="124"/>
        <v>-1652.7999999999993</v>
      </c>
      <c r="BD264" s="24"/>
      <c r="BE264" s="24"/>
      <c r="BF264" s="24"/>
      <c r="BG264" s="24">
        <f t="shared" si="116"/>
        <v>728.65</v>
      </c>
      <c r="BH264" s="24">
        <f t="shared" ref="BH264:BH265" si="127">+AB264*8.5%</f>
        <v>651.95000000000005</v>
      </c>
      <c r="BI264" s="24"/>
      <c r="BJ264" s="24">
        <f t="shared" si="125"/>
        <v>13.805999999999999</v>
      </c>
      <c r="BK264" s="24">
        <f t="shared" si="126"/>
        <v>-286.00599999999923</v>
      </c>
      <c r="BL264" s="24" t="s">
        <v>565</v>
      </c>
      <c r="BM264" s="42">
        <f t="shared" si="117"/>
        <v>2</v>
      </c>
      <c r="BN264" s="24" t="s">
        <v>83</v>
      </c>
      <c r="BO264" s="2" t="s">
        <v>84</v>
      </c>
    </row>
    <row r="265" spans="1:67" s="1" customFormat="1" ht="15" customHeight="1" x14ac:dyDescent="0.3">
      <c r="A265" s="20">
        <v>261</v>
      </c>
      <c r="B265" s="21">
        <v>46099</v>
      </c>
      <c r="C265" s="21">
        <v>46102</v>
      </c>
      <c r="D265" s="50" t="s">
        <v>1461</v>
      </c>
      <c r="E265" s="23">
        <v>46151</v>
      </c>
      <c r="F265" s="23" t="s">
        <v>7</v>
      </c>
      <c r="G265" s="24" t="s">
        <v>68</v>
      </c>
      <c r="H265" s="24" t="s">
        <v>69</v>
      </c>
      <c r="I265" s="24" t="s">
        <v>112</v>
      </c>
      <c r="J265" s="25" t="s">
        <v>558</v>
      </c>
      <c r="K265" s="45" t="str">
        <f t="shared" si="118"/>
        <v>WB39A5858</v>
      </c>
      <c r="L265" s="26">
        <v>46100</v>
      </c>
      <c r="M265" s="34" t="s">
        <v>1502</v>
      </c>
      <c r="N265" s="27" t="s">
        <v>1503</v>
      </c>
      <c r="O265" s="28">
        <v>0</v>
      </c>
      <c r="P265" s="27" t="s">
        <v>1504</v>
      </c>
      <c r="Q265" s="29">
        <v>2525369837</v>
      </c>
      <c r="R265" s="30">
        <v>2110817117</v>
      </c>
      <c r="S265" s="31" t="s">
        <v>73</v>
      </c>
      <c r="T265" s="24" t="s">
        <v>74</v>
      </c>
      <c r="U265" s="24" t="s">
        <v>75</v>
      </c>
      <c r="V265" s="32" t="s">
        <v>1498</v>
      </c>
      <c r="W265" s="32" t="s">
        <v>1499</v>
      </c>
      <c r="X265" s="32" t="s">
        <v>753</v>
      </c>
      <c r="Y265" s="24">
        <v>767</v>
      </c>
      <c r="Z265" s="24">
        <v>9</v>
      </c>
      <c r="AA265" s="24">
        <f t="shared" si="119"/>
        <v>728.65</v>
      </c>
      <c r="AB265" s="24">
        <f t="shared" si="111"/>
        <v>6903</v>
      </c>
      <c r="AC265" s="24">
        <f t="shared" si="112"/>
        <v>6557.85</v>
      </c>
      <c r="AD265" s="24">
        <f t="shared" si="113"/>
        <v>6557.8499999999995</v>
      </c>
      <c r="AE265" s="24">
        <f t="shared" si="114"/>
        <v>345.15000000000055</v>
      </c>
      <c r="AF265" s="24">
        <v>0</v>
      </c>
      <c r="AG265" s="31">
        <v>0</v>
      </c>
      <c r="AH265" s="24"/>
      <c r="AI265" s="24"/>
      <c r="AJ265" s="24"/>
      <c r="AK265" s="24"/>
      <c r="AL265" s="24"/>
      <c r="AM265" s="24">
        <v>0</v>
      </c>
      <c r="AN265" s="34"/>
      <c r="AO265" s="35"/>
      <c r="AP265" s="24"/>
      <c r="AQ265" s="36">
        <f t="shared" si="120"/>
        <v>0</v>
      </c>
      <c r="AR265" s="16"/>
      <c r="AS265" s="47">
        <f t="shared" si="121"/>
        <v>0</v>
      </c>
      <c r="AT265" s="31"/>
      <c r="AU265" s="47">
        <f t="shared" si="122"/>
        <v>0</v>
      </c>
      <c r="AV265" s="48">
        <v>91.99</v>
      </c>
      <c r="AW265" s="24">
        <f t="shared" si="115"/>
        <v>0</v>
      </c>
      <c r="AX265" s="24">
        <f t="shared" si="104"/>
        <v>0</v>
      </c>
      <c r="AY265" s="24"/>
      <c r="AZ265" s="24"/>
      <c r="BA265" s="24"/>
      <c r="BB265" s="24">
        <f t="shared" si="123"/>
        <v>0</v>
      </c>
      <c r="BC265" s="24">
        <f t="shared" si="124"/>
        <v>6557.8499999999995</v>
      </c>
      <c r="BD265" s="24"/>
      <c r="BE265" s="24"/>
      <c r="BF265" s="24"/>
      <c r="BG265" s="24">
        <f t="shared" si="116"/>
        <v>655.78499999999997</v>
      </c>
      <c r="BH265" s="24">
        <f t="shared" si="127"/>
        <v>586.755</v>
      </c>
      <c r="BI265" s="24"/>
      <c r="BJ265" s="24">
        <f t="shared" si="125"/>
        <v>12.4254</v>
      </c>
      <c r="BK265" s="24">
        <f t="shared" si="126"/>
        <v>7787.9645999999993</v>
      </c>
      <c r="BL265" s="24" t="s">
        <v>565</v>
      </c>
      <c r="BM265" s="42">
        <f t="shared" si="117"/>
        <v>2</v>
      </c>
      <c r="BN265" s="24" t="s">
        <v>83</v>
      </c>
      <c r="BO265" s="2" t="s">
        <v>84</v>
      </c>
    </row>
    <row r="266" spans="1:67" s="1" customFormat="1" ht="15" customHeight="1" x14ac:dyDescent="0.3">
      <c r="A266" s="20">
        <v>262</v>
      </c>
      <c r="B266" s="21">
        <v>46099</v>
      </c>
      <c r="C266" s="21">
        <v>46102</v>
      </c>
      <c r="D266" s="50" t="s">
        <v>774</v>
      </c>
      <c r="E266" s="23">
        <v>46108</v>
      </c>
      <c r="F266" s="23" t="s">
        <v>7</v>
      </c>
      <c r="G266" s="24" t="s">
        <v>68</v>
      </c>
      <c r="H266" s="24" t="s">
        <v>69</v>
      </c>
      <c r="I266" s="24" t="s">
        <v>166</v>
      </c>
      <c r="J266" s="25" t="s">
        <v>255</v>
      </c>
      <c r="K266" s="45" t="str">
        <f t="shared" si="118"/>
        <v>WB41H0177</v>
      </c>
      <c r="L266" s="26">
        <v>46100</v>
      </c>
      <c r="M266" s="34" t="s">
        <v>1505</v>
      </c>
      <c r="N266" s="27" t="s">
        <v>1506</v>
      </c>
      <c r="O266" s="28">
        <v>0</v>
      </c>
      <c r="P266" s="27" t="s">
        <v>1507</v>
      </c>
      <c r="Q266" s="29">
        <v>2525369832</v>
      </c>
      <c r="R266" s="30">
        <v>2110817115</v>
      </c>
      <c r="S266" s="31" t="s">
        <v>73</v>
      </c>
      <c r="T266" s="24" t="s">
        <v>91</v>
      </c>
      <c r="U266" s="24" t="s">
        <v>75</v>
      </c>
      <c r="V266" s="32" t="s">
        <v>1095</v>
      </c>
      <c r="W266" s="32" t="s">
        <v>1508</v>
      </c>
      <c r="X266" s="32" t="s">
        <v>1509</v>
      </c>
      <c r="Y266" s="24">
        <v>1278</v>
      </c>
      <c r="Z266" s="24">
        <v>13</v>
      </c>
      <c r="AA266" s="24">
        <f t="shared" si="119"/>
        <v>1214.0999999999999</v>
      </c>
      <c r="AB266" s="24">
        <f t="shared" si="111"/>
        <v>16614</v>
      </c>
      <c r="AC266" s="24">
        <f t="shared" si="112"/>
        <v>15783.3</v>
      </c>
      <c r="AD266" s="24">
        <f t="shared" si="113"/>
        <v>15783.3</v>
      </c>
      <c r="AE266" s="24">
        <f t="shared" si="114"/>
        <v>830.70000000000073</v>
      </c>
      <c r="AF266" s="24">
        <f t="shared" si="110"/>
        <v>157.833</v>
      </c>
      <c r="AG266" s="33">
        <v>3800</v>
      </c>
      <c r="AH266" s="24"/>
      <c r="AI266" s="24"/>
      <c r="AJ266" s="24"/>
      <c r="AK266" s="24"/>
      <c r="AL266" s="24"/>
      <c r="AM266" s="24" t="s">
        <v>79</v>
      </c>
      <c r="AN266" s="34" t="s">
        <v>1510</v>
      </c>
      <c r="AO266" s="35" t="s">
        <v>973</v>
      </c>
      <c r="AP266" s="24">
        <f>315*2</f>
        <v>630</v>
      </c>
      <c r="AQ266" s="36">
        <f t="shared" si="120"/>
        <v>193.84615384615384</v>
      </c>
      <c r="AR266" s="67">
        <v>197</v>
      </c>
      <c r="AS266" s="68">
        <f t="shared" si="121"/>
        <v>3.1538461538461604</v>
      </c>
      <c r="AT266" s="69"/>
      <c r="AU266" s="68">
        <f t="shared" si="122"/>
        <v>3.1538461538461604</v>
      </c>
      <c r="AV266" s="70">
        <v>91.99</v>
      </c>
      <c r="AW266" s="65">
        <f t="shared" si="115"/>
        <v>18122.03</v>
      </c>
      <c r="AX266" s="24">
        <f t="shared" si="104"/>
        <v>138.89383082118439</v>
      </c>
      <c r="AY266" s="24"/>
      <c r="AZ266" s="24"/>
      <c r="BA266" s="24"/>
      <c r="BB266" s="24">
        <f t="shared" si="123"/>
        <v>0</v>
      </c>
      <c r="BC266" s="24">
        <f t="shared" si="124"/>
        <v>-6296.5630000000001</v>
      </c>
      <c r="BD266" s="24">
        <v>135</v>
      </c>
      <c r="BE266" s="24">
        <v>135</v>
      </c>
      <c r="BF266" s="24"/>
      <c r="BG266" s="24">
        <f t="shared" si="116"/>
        <v>1578.33</v>
      </c>
      <c r="BH266" s="24"/>
      <c r="BI266" s="24"/>
      <c r="BJ266" s="24">
        <f t="shared" si="125"/>
        <v>15.783299999999999</v>
      </c>
      <c r="BK266" s="24">
        <f t="shared" si="126"/>
        <v>-4464.0163000000002</v>
      </c>
      <c r="BL266" s="24" t="s">
        <v>261</v>
      </c>
      <c r="BM266" s="42">
        <f t="shared" si="117"/>
        <v>2</v>
      </c>
      <c r="BN266" s="24" t="s">
        <v>83</v>
      </c>
      <c r="BO266" s="2" t="s">
        <v>84</v>
      </c>
    </row>
    <row r="267" spans="1:67" s="1" customFormat="1" ht="15" customHeight="1" x14ac:dyDescent="0.3">
      <c r="A267" s="20">
        <v>263</v>
      </c>
      <c r="B267" s="21">
        <v>46099</v>
      </c>
      <c r="C267" s="21">
        <v>46102</v>
      </c>
      <c r="D267" s="50" t="s">
        <v>774</v>
      </c>
      <c r="E267" s="23">
        <v>46108</v>
      </c>
      <c r="F267" s="23" t="s">
        <v>7</v>
      </c>
      <c r="G267" s="24" t="s">
        <v>68</v>
      </c>
      <c r="H267" s="24" t="s">
        <v>69</v>
      </c>
      <c r="I267" s="24" t="s">
        <v>166</v>
      </c>
      <c r="J267" s="25" t="s">
        <v>255</v>
      </c>
      <c r="K267" s="45" t="str">
        <f t="shared" si="118"/>
        <v>WB41H0177</v>
      </c>
      <c r="L267" s="26">
        <v>46100</v>
      </c>
      <c r="M267" s="34" t="s">
        <v>1511</v>
      </c>
      <c r="N267" s="27" t="s">
        <v>1512</v>
      </c>
      <c r="O267" s="28">
        <v>0</v>
      </c>
      <c r="P267" s="27" t="s">
        <v>1513</v>
      </c>
      <c r="Q267" s="29">
        <v>2525369834</v>
      </c>
      <c r="R267" s="30">
        <v>2110817116</v>
      </c>
      <c r="S267" s="31" t="s">
        <v>73</v>
      </c>
      <c r="T267" s="24" t="s">
        <v>91</v>
      </c>
      <c r="U267" s="24" t="s">
        <v>75</v>
      </c>
      <c r="V267" s="32" t="s">
        <v>1095</v>
      </c>
      <c r="W267" s="32" t="s">
        <v>1508</v>
      </c>
      <c r="X267" s="32" t="s">
        <v>753</v>
      </c>
      <c r="Y267" s="24">
        <v>1278</v>
      </c>
      <c r="Z267" s="24">
        <v>12</v>
      </c>
      <c r="AA267" s="24">
        <f t="shared" si="119"/>
        <v>1214.0999999999999</v>
      </c>
      <c r="AB267" s="24">
        <f t="shared" si="111"/>
        <v>15336</v>
      </c>
      <c r="AC267" s="24">
        <f t="shared" si="112"/>
        <v>14569.2</v>
      </c>
      <c r="AD267" s="24">
        <f t="shared" si="113"/>
        <v>14569.199999999999</v>
      </c>
      <c r="AE267" s="24">
        <f t="shared" si="114"/>
        <v>766.80000000000109</v>
      </c>
      <c r="AF267" s="24">
        <f t="shared" si="110"/>
        <v>145.69199999999998</v>
      </c>
      <c r="AG267" s="31">
        <v>0</v>
      </c>
      <c r="AH267" s="24"/>
      <c r="AI267" s="24"/>
      <c r="AJ267" s="24"/>
      <c r="AK267" s="24"/>
      <c r="AL267" s="24"/>
      <c r="AM267" s="24">
        <v>0</v>
      </c>
      <c r="AN267" s="34"/>
      <c r="AO267" s="35"/>
      <c r="AP267" s="24"/>
      <c r="AQ267" s="36">
        <f t="shared" si="120"/>
        <v>0</v>
      </c>
      <c r="AR267" s="16"/>
      <c r="AS267" s="47">
        <f t="shared" si="121"/>
        <v>0</v>
      </c>
      <c r="AT267" s="31"/>
      <c r="AU267" s="47">
        <f t="shared" si="122"/>
        <v>0</v>
      </c>
      <c r="AV267" s="48">
        <v>91.99</v>
      </c>
      <c r="AW267" s="24">
        <f t="shared" si="115"/>
        <v>0</v>
      </c>
      <c r="AX267" s="24">
        <f t="shared" si="104"/>
        <v>0</v>
      </c>
      <c r="AY267" s="24"/>
      <c r="AZ267" s="24"/>
      <c r="BA267" s="24"/>
      <c r="BB267" s="24">
        <f t="shared" si="123"/>
        <v>0</v>
      </c>
      <c r="BC267" s="24">
        <f t="shared" si="124"/>
        <v>14423.508</v>
      </c>
      <c r="BD267" s="24">
        <v>0</v>
      </c>
      <c r="BE267" s="24">
        <v>0</v>
      </c>
      <c r="BF267" s="24"/>
      <c r="BG267" s="24">
        <f t="shared" si="116"/>
        <v>1456.92</v>
      </c>
      <c r="BH267" s="24"/>
      <c r="BI267" s="24"/>
      <c r="BJ267" s="24">
        <f t="shared" si="125"/>
        <v>14.5692</v>
      </c>
      <c r="BK267" s="24">
        <f t="shared" si="126"/>
        <v>15865.8588</v>
      </c>
      <c r="BL267" s="24" t="s">
        <v>261</v>
      </c>
      <c r="BM267" s="42">
        <f t="shared" si="117"/>
        <v>2</v>
      </c>
      <c r="BN267" s="24" t="s">
        <v>83</v>
      </c>
      <c r="BO267" s="2" t="s">
        <v>84</v>
      </c>
    </row>
    <row r="268" spans="1:67" s="1" customFormat="1" ht="15" customHeight="1" x14ac:dyDescent="0.3">
      <c r="A268" s="20">
        <v>264</v>
      </c>
      <c r="B268" s="21">
        <v>46099</v>
      </c>
      <c r="C268" s="21">
        <v>46107</v>
      </c>
      <c r="D268" s="50" t="s">
        <v>185</v>
      </c>
      <c r="E268" s="23">
        <v>46108</v>
      </c>
      <c r="F268" s="23" t="s">
        <v>7</v>
      </c>
      <c r="G268" s="24" t="s">
        <v>68</v>
      </c>
      <c r="H268" s="24" t="s">
        <v>69</v>
      </c>
      <c r="I268" s="24" t="s">
        <v>70</v>
      </c>
      <c r="J268" s="25" t="s">
        <v>203</v>
      </c>
      <c r="K268" s="45" t="str">
        <f t="shared" si="118"/>
        <v>WB39B0800</v>
      </c>
      <c r="L268" s="26">
        <v>46100</v>
      </c>
      <c r="M268" s="34" t="s">
        <v>1514</v>
      </c>
      <c r="N268" s="27" t="s">
        <v>1515</v>
      </c>
      <c r="O268" s="28">
        <v>0</v>
      </c>
      <c r="P268" s="27" t="s">
        <v>1516</v>
      </c>
      <c r="Q268" s="29">
        <v>2525370027</v>
      </c>
      <c r="R268" s="30">
        <v>2110817515</v>
      </c>
      <c r="S268" s="31" t="s">
        <v>73</v>
      </c>
      <c r="T268" s="24" t="s">
        <v>74</v>
      </c>
      <c r="U268" s="24" t="s">
        <v>75</v>
      </c>
      <c r="V268" s="32" t="s">
        <v>1517</v>
      </c>
      <c r="W268" s="32" t="s">
        <v>990</v>
      </c>
      <c r="X268" s="32" t="s">
        <v>990</v>
      </c>
      <c r="Y268" s="24">
        <v>575</v>
      </c>
      <c r="Z268" s="24">
        <v>19</v>
      </c>
      <c r="AA268" s="24">
        <f t="shared" si="119"/>
        <v>546.25</v>
      </c>
      <c r="AB268" s="24">
        <f t="shared" si="111"/>
        <v>10925</v>
      </c>
      <c r="AC268" s="24">
        <f t="shared" si="112"/>
        <v>10378.75</v>
      </c>
      <c r="AD268" s="24">
        <f t="shared" si="113"/>
        <v>10378.75</v>
      </c>
      <c r="AE268" s="24">
        <f t="shared" si="114"/>
        <v>546.25</v>
      </c>
      <c r="AF268" s="24">
        <f t="shared" si="110"/>
        <v>103.78750000000001</v>
      </c>
      <c r="AG268" s="33">
        <v>2900</v>
      </c>
      <c r="AH268" s="24"/>
      <c r="AI268" s="24"/>
      <c r="AJ268" s="24"/>
      <c r="AK268" s="24"/>
      <c r="AL268" s="24"/>
      <c r="AM268" s="24" t="s">
        <v>79</v>
      </c>
      <c r="AN268" s="34" t="s">
        <v>1518</v>
      </c>
      <c r="AO268" s="35" t="s">
        <v>973</v>
      </c>
      <c r="AP268" s="24">
        <f>105*2</f>
        <v>210</v>
      </c>
      <c r="AQ268" s="36">
        <f t="shared" si="120"/>
        <v>64.615384615384613</v>
      </c>
      <c r="AR268" s="67">
        <v>67</v>
      </c>
      <c r="AS268" s="68">
        <f t="shared" si="121"/>
        <v>2.3846153846153868</v>
      </c>
      <c r="AT268" s="69"/>
      <c r="AU268" s="68">
        <f t="shared" si="122"/>
        <v>2.3846153846153868</v>
      </c>
      <c r="AV268" s="70">
        <v>91.88</v>
      </c>
      <c r="AW268" s="65">
        <f t="shared" si="115"/>
        <v>6155.96</v>
      </c>
      <c r="AX268" s="24">
        <f t="shared" si="104"/>
        <v>87.2548235577502</v>
      </c>
      <c r="AY268" s="24"/>
      <c r="AZ268" s="24"/>
      <c r="BA268" s="24"/>
      <c r="BB268" s="24">
        <f t="shared" si="123"/>
        <v>0</v>
      </c>
      <c r="BC268" s="24">
        <f t="shared" si="124"/>
        <v>1219.0024999999996</v>
      </c>
      <c r="BD268" s="24">
        <v>110</v>
      </c>
      <c r="BE268" s="24">
        <v>110</v>
      </c>
      <c r="BF268" s="24"/>
      <c r="BG268" s="24">
        <f>+AD268*8.5%</f>
        <v>882.19375000000002</v>
      </c>
      <c r="BH268" s="24">
        <f>+AD268*8.5%</f>
        <v>882.19375000000002</v>
      </c>
      <c r="BI268" s="24"/>
      <c r="BJ268" s="24">
        <f t="shared" si="125"/>
        <v>17.643875000000001</v>
      </c>
      <c r="BK268" s="24">
        <f t="shared" si="126"/>
        <v>3185.7461249999992</v>
      </c>
      <c r="BL268" s="24" t="s">
        <v>82</v>
      </c>
      <c r="BM268" s="42">
        <f t="shared" si="117"/>
        <v>2</v>
      </c>
      <c r="BN268" s="24" t="s">
        <v>83</v>
      </c>
      <c r="BO268" s="2" t="s">
        <v>175</v>
      </c>
    </row>
    <row r="269" spans="1:67" s="1" customFormat="1" ht="15" customHeight="1" x14ac:dyDescent="0.3">
      <c r="A269" s="20">
        <v>265</v>
      </c>
      <c r="B269" s="21">
        <v>46099</v>
      </c>
      <c r="C269" s="21">
        <v>46102</v>
      </c>
      <c r="D269" s="52" t="s">
        <v>523</v>
      </c>
      <c r="E269" s="23">
        <v>46105</v>
      </c>
      <c r="F269" s="23" t="s">
        <v>7</v>
      </c>
      <c r="G269" s="24" t="s">
        <v>68</v>
      </c>
      <c r="H269" s="24" t="s">
        <v>69</v>
      </c>
      <c r="I269" s="24" t="s">
        <v>141</v>
      </c>
      <c r="J269" s="25" t="s">
        <v>142</v>
      </c>
      <c r="K269" s="45" t="str">
        <f t="shared" si="118"/>
        <v>WB41F2315</v>
      </c>
      <c r="L269" s="26">
        <v>46100</v>
      </c>
      <c r="M269" s="34" t="s">
        <v>1519</v>
      </c>
      <c r="N269" s="27" t="s">
        <v>1520</v>
      </c>
      <c r="O269" s="28">
        <v>0</v>
      </c>
      <c r="P269" s="27" t="s">
        <v>1521</v>
      </c>
      <c r="Q269" s="29">
        <v>2525370028</v>
      </c>
      <c r="R269" s="30">
        <v>2110817518</v>
      </c>
      <c r="S269" s="31" t="s">
        <v>73</v>
      </c>
      <c r="T269" s="24" t="s">
        <v>91</v>
      </c>
      <c r="U269" s="24" t="s">
        <v>75</v>
      </c>
      <c r="V269" s="32" t="s">
        <v>1522</v>
      </c>
      <c r="W269" s="32" t="s">
        <v>528</v>
      </c>
      <c r="X269" s="32" t="s">
        <v>1523</v>
      </c>
      <c r="Y269" s="24">
        <v>1023</v>
      </c>
      <c r="Z269" s="24">
        <v>25</v>
      </c>
      <c r="AA269" s="24">
        <f t="shared" si="119"/>
        <v>971.85</v>
      </c>
      <c r="AB269" s="24">
        <f t="shared" si="111"/>
        <v>25575</v>
      </c>
      <c r="AC269" s="24">
        <f t="shared" si="112"/>
        <v>24296.25</v>
      </c>
      <c r="AD269" s="24">
        <f t="shared" si="113"/>
        <v>24296.25</v>
      </c>
      <c r="AE269" s="24">
        <f t="shared" si="114"/>
        <v>1278.75</v>
      </c>
      <c r="AF269" s="24">
        <v>0</v>
      </c>
      <c r="AG269" s="33">
        <v>6200</v>
      </c>
      <c r="AH269" s="24"/>
      <c r="AI269" s="24"/>
      <c r="AJ269" s="24"/>
      <c r="AK269" s="24"/>
      <c r="AL269" s="24"/>
      <c r="AM269" s="24" t="s">
        <v>79</v>
      </c>
      <c r="AN269" s="34" t="s">
        <v>1524</v>
      </c>
      <c r="AO269" s="35" t="s">
        <v>973</v>
      </c>
      <c r="AP269" s="24">
        <f>245*2</f>
        <v>490</v>
      </c>
      <c r="AQ269" s="36">
        <f t="shared" si="120"/>
        <v>150.76923076923077</v>
      </c>
      <c r="AR269" s="67">
        <v>152</v>
      </c>
      <c r="AS269" s="68">
        <f t="shared" si="121"/>
        <v>1.2307692307692264</v>
      </c>
      <c r="AT269" s="69"/>
      <c r="AU269" s="68">
        <f t="shared" si="122"/>
        <v>1.2307692307692264</v>
      </c>
      <c r="AV269" s="70">
        <v>91.99</v>
      </c>
      <c r="AW269" s="65">
        <f t="shared" si="115"/>
        <v>13982.48</v>
      </c>
      <c r="AX269" s="24">
        <f t="shared" si="104"/>
        <v>83.068292431959662</v>
      </c>
      <c r="AY269" s="24"/>
      <c r="AZ269" s="24"/>
      <c r="BA269" s="24"/>
      <c r="BB269" s="24">
        <f t="shared" si="123"/>
        <v>0</v>
      </c>
      <c r="BC269" s="24">
        <f t="shared" si="124"/>
        <v>4113.7700000000004</v>
      </c>
      <c r="BD269" s="24">
        <v>135</v>
      </c>
      <c r="BE269" s="24">
        <v>135</v>
      </c>
      <c r="BF269" s="24"/>
      <c r="BG269" s="24">
        <f>+AB269*9.5%</f>
        <v>2429.625</v>
      </c>
      <c r="BH269" s="24"/>
      <c r="BI269" s="24"/>
      <c r="BJ269" s="24">
        <f t="shared" si="125"/>
        <v>24.296250000000001</v>
      </c>
      <c r="BK269" s="24">
        <f t="shared" si="126"/>
        <v>6789.0987500000001</v>
      </c>
      <c r="BL269" s="24" t="s">
        <v>147</v>
      </c>
      <c r="BM269" s="42">
        <f t="shared" si="117"/>
        <v>2</v>
      </c>
      <c r="BN269" s="24" t="s">
        <v>83</v>
      </c>
      <c r="BO269" s="2" t="s">
        <v>148</v>
      </c>
    </row>
    <row r="270" spans="1:67" s="1" customFormat="1" ht="15" customHeight="1" x14ac:dyDescent="0.3">
      <c r="A270" s="20">
        <v>266</v>
      </c>
      <c r="B270" s="21">
        <v>46099</v>
      </c>
      <c r="C270" s="21">
        <v>46102</v>
      </c>
      <c r="D270" s="55" t="s">
        <v>1177</v>
      </c>
      <c r="E270" s="23">
        <v>46140</v>
      </c>
      <c r="F270" s="23" t="s">
        <v>7</v>
      </c>
      <c r="G270" s="24" t="s">
        <v>68</v>
      </c>
      <c r="H270" s="24" t="s">
        <v>69</v>
      </c>
      <c r="I270" s="24" t="s">
        <v>88</v>
      </c>
      <c r="J270" s="25" t="s">
        <v>278</v>
      </c>
      <c r="K270" s="45" t="str">
        <f t="shared" si="118"/>
        <v>WB67A4475</v>
      </c>
      <c r="L270" s="26">
        <v>46100</v>
      </c>
      <c r="M270" s="34" t="s">
        <v>1525</v>
      </c>
      <c r="N270" s="27" t="s">
        <v>1526</v>
      </c>
      <c r="O270" s="28">
        <v>0</v>
      </c>
      <c r="P270" s="27" t="s">
        <v>1527</v>
      </c>
      <c r="Q270" s="29">
        <v>2525370092</v>
      </c>
      <c r="R270" s="30">
        <v>2110817590</v>
      </c>
      <c r="S270" s="31" t="s">
        <v>73</v>
      </c>
      <c r="T270" s="24" t="s">
        <v>91</v>
      </c>
      <c r="U270" s="24" t="s">
        <v>75</v>
      </c>
      <c r="V270" s="32" t="s">
        <v>510</v>
      </c>
      <c r="W270" s="32" t="s">
        <v>220</v>
      </c>
      <c r="X270" s="32" t="s">
        <v>1528</v>
      </c>
      <c r="Y270" s="24">
        <v>499</v>
      </c>
      <c r="Z270" s="24">
        <v>25</v>
      </c>
      <c r="AA270" s="24">
        <f t="shared" si="119"/>
        <v>474.05</v>
      </c>
      <c r="AB270" s="24">
        <f t="shared" si="111"/>
        <v>12475</v>
      </c>
      <c r="AC270" s="24">
        <f t="shared" si="112"/>
        <v>11851.25</v>
      </c>
      <c r="AD270" s="24">
        <f t="shared" si="113"/>
        <v>11851.25</v>
      </c>
      <c r="AE270" s="24">
        <f t="shared" si="114"/>
        <v>623.75</v>
      </c>
      <c r="AF270" s="24">
        <v>0</v>
      </c>
      <c r="AG270" s="33">
        <v>3000</v>
      </c>
      <c r="AH270" s="24"/>
      <c r="AI270" s="24"/>
      <c r="AJ270" s="24"/>
      <c r="AK270" s="24"/>
      <c r="AL270" s="24"/>
      <c r="AM270" s="24" t="s">
        <v>79</v>
      </c>
      <c r="AN270" s="34" t="s">
        <v>1529</v>
      </c>
      <c r="AO270" s="35" t="s">
        <v>973</v>
      </c>
      <c r="AP270" s="24">
        <f>77*2</f>
        <v>154</v>
      </c>
      <c r="AQ270" s="36">
        <f t="shared" si="120"/>
        <v>47.384615384615387</v>
      </c>
      <c r="AR270" s="67">
        <v>40</v>
      </c>
      <c r="AS270" s="68">
        <f t="shared" si="121"/>
        <v>-7.3846153846153868</v>
      </c>
      <c r="AT270" s="69"/>
      <c r="AU270" s="68">
        <f t="shared" si="122"/>
        <v>-7.3846153846153868</v>
      </c>
      <c r="AV270" s="70">
        <v>91.99</v>
      </c>
      <c r="AW270" s="65">
        <f t="shared" si="115"/>
        <v>3679.6</v>
      </c>
      <c r="AX270" s="24">
        <f t="shared" si="104"/>
        <v>56.361987132159051</v>
      </c>
      <c r="AY270" s="24"/>
      <c r="AZ270" s="24"/>
      <c r="BA270" s="24"/>
      <c r="BB270" s="24">
        <f t="shared" si="123"/>
        <v>0</v>
      </c>
      <c r="BC270" s="24">
        <f t="shared" si="124"/>
        <v>5171.6499999999996</v>
      </c>
      <c r="BD270" s="24">
        <v>135</v>
      </c>
      <c r="BE270" s="24">
        <v>135</v>
      </c>
      <c r="BF270" s="24"/>
      <c r="BG270" s="24">
        <f>+AB270*9.5%</f>
        <v>1185.125</v>
      </c>
      <c r="BH270" s="24"/>
      <c r="BI270" s="24"/>
      <c r="BJ270" s="24">
        <f t="shared" si="125"/>
        <v>11.85125</v>
      </c>
      <c r="BK270" s="24">
        <f t="shared" si="126"/>
        <v>6614.9237499999999</v>
      </c>
      <c r="BL270" s="24" t="s">
        <v>283</v>
      </c>
      <c r="BM270" s="42">
        <f t="shared" si="117"/>
        <v>2</v>
      </c>
      <c r="BN270" s="24" t="s">
        <v>83</v>
      </c>
      <c r="BO270" s="2" t="s">
        <v>148</v>
      </c>
    </row>
    <row r="271" spans="1:67" s="1" customFormat="1" ht="15" customHeight="1" x14ac:dyDescent="0.3">
      <c r="A271" s="20">
        <v>267</v>
      </c>
      <c r="B271" s="21">
        <v>46099</v>
      </c>
      <c r="C271" s="71">
        <v>46104</v>
      </c>
      <c r="D271" s="52" t="s">
        <v>1199</v>
      </c>
      <c r="E271" s="23">
        <v>46104</v>
      </c>
      <c r="F271" s="23" t="s">
        <v>7</v>
      </c>
      <c r="G271" s="24" t="s">
        <v>68</v>
      </c>
      <c r="H271" s="24" t="s">
        <v>69</v>
      </c>
      <c r="I271" s="24" t="s">
        <v>131</v>
      </c>
      <c r="J271" s="25" t="s">
        <v>224</v>
      </c>
      <c r="K271" s="45" t="str">
        <f t="shared" si="118"/>
        <v>WB29A9266</v>
      </c>
      <c r="L271" s="26">
        <v>46100</v>
      </c>
      <c r="M271" s="34" t="s">
        <v>1530</v>
      </c>
      <c r="N271" s="27" t="s">
        <v>1531</v>
      </c>
      <c r="O271" s="28">
        <v>0</v>
      </c>
      <c r="P271" s="27" t="s">
        <v>1532</v>
      </c>
      <c r="Q271" s="29">
        <v>2525370079</v>
      </c>
      <c r="R271" s="30">
        <v>2110817566</v>
      </c>
      <c r="S271" s="31" t="s">
        <v>73</v>
      </c>
      <c r="T271" s="24" t="s">
        <v>91</v>
      </c>
      <c r="U271" s="24" t="s">
        <v>75</v>
      </c>
      <c r="V271" s="32" t="s">
        <v>1533</v>
      </c>
      <c r="W271" s="32" t="s">
        <v>701</v>
      </c>
      <c r="X271" s="32"/>
      <c r="Y271" s="24">
        <v>847</v>
      </c>
      <c r="Z271" s="24">
        <v>13</v>
      </c>
      <c r="AA271" s="24">
        <f t="shared" si="119"/>
        <v>804.65000000000009</v>
      </c>
      <c r="AB271" s="24">
        <f t="shared" si="111"/>
        <v>11011</v>
      </c>
      <c r="AC271" s="24">
        <f t="shared" si="112"/>
        <v>10460.450000000001</v>
      </c>
      <c r="AD271" s="24">
        <f t="shared" si="113"/>
        <v>10460.450000000001</v>
      </c>
      <c r="AE271" s="24">
        <f t="shared" si="114"/>
        <v>550.54999999999927</v>
      </c>
      <c r="AF271" s="24">
        <v>0</v>
      </c>
      <c r="AG271" s="33">
        <v>5700</v>
      </c>
      <c r="AH271" s="24"/>
      <c r="AI271" s="24"/>
      <c r="AJ271" s="24"/>
      <c r="AK271" s="24"/>
      <c r="AL271" s="24"/>
      <c r="AM271" s="24" t="s">
        <v>79</v>
      </c>
      <c r="AN271" s="34" t="s">
        <v>1534</v>
      </c>
      <c r="AO271" s="35" t="s">
        <v>973</v>
      </c>
      <c r="AP271" s="24">
        <f>193*2</f>
        <v>386</v>
      </c>
      <c r="AQ271" s="36">
        <f t="shared" si="120"/>
        <v>118.76923076923077</v>
      </c>
      <c r="AR271" s="67">
        <v>120</v>
      </c>
      <c r="AS271" s="68">
        <f t="shared" si="121"/>
        <v>1.2307692307692264</v>
      </c>
      <c r="AT271" s="69"/>
      <c r="AU271" s="68">
        <f t="shared" si="122"/>
        <v>1.2307692307692264</v>
      </c>
      <c r="AV271" s="70">
        <v>91.99</v>
      </c>
      <c r="AW271" s="65">
        <f t="shared" si="115"/>
        <v>11038.8</v>
      </c>
      <c r="AX271" s="24">
        <f t="shared" si="104"/>
        <v>160.01988442179828</v>
      </c>
      <c r="AY271" s="24"/>
      <c r="AZ271" s="24"/>
      <c r="BA271" s="24"/>
      <c r="BB271" s="24">
        <f t="shared" si="123"/>
        <v>0</v>
      </c>
      <c r="BC271" s="24">
        <f t="shared" si="124"/>
        <v>-6278.3499999999985</v>
      </c>
      <c r="BD271" s="24"/>
      <c r="BE271" s="24"/>
      <c r="BF271" s="24"/>
      <c r="BG271" s="24">
        <f t="shared" ref="BG271:BG274" si="128">+AD271*9.5%</f>
        <v>993.74275000000011</v>
      </c>
      <c r="BH271" s="24"/>
      <c r="BI271" s="24"/>
      <c r="BJ271" s="24">
        <f t="shared" si="125"/>
        <v>9.9374275000000019</v>
      </c>
      <c r="BK271" s="24">
        <f t="shared" si="126"/>
        <v>-5294.5446774999982</v>
      </c>
      <c r="BL271" s="24" t="s">
        <v>232</v>
      </c>
      <c r="BM271" s="42">
        <f t="shared" si="117"/>
        <v>2</v>
      </c>
      <c r="BN271" s="24" t="s">
        <v>83</v>
      </c>
      <c r="BO271" s="2" t="s">
        <v>84</v>
      </c>
    </row>
    <row r="272" spans="1:67" s="1" customFormat="1" ht="15" customHeight="1" x14ac:dyDescent="0.3">
      <c r="A272" s="20">
        <v>268</v>
      </c>
      <c r="B272" s="21">
        <v>46099</v>
      </c>
      <c r="C272" s="71">
        <v>46104</v>
      </c>
      <c r="D272" s="52" t="s">
        <v>1199</v>
      </c>
      <c r="E272" s="23">
        <v>46104</v>
      </c>
      <c r="F272" s="23" t="s">
        <v>7</v>
      </c>
      <c r="G272" s="24" t="s">
        <v>68</v>
      </c>
      <c r="H272" s="24" t="s">
        <v>69</v>
      </c>
      <c r="I272" s="24" t="s">
        <v>131</v>
      </c>
      <c r="J272" s="25" t="s">
        <v>224</v>
      </c>
      <c r="K272" s="45" t="str">
        <f t="shared" si="118"/>
        <v>WB29A9266</v>
      </c>
      <c r="L272" s="26">
        <v>46100</v>
      </c>
      <c r="M272" s="34" t="s">
        <v>1535</v>
      </c>
      <c r="N272" s="27" t="s">
        <v>1536</v>
      </c>
      <c r="O272" s="28">
        <v>0</v>
      </c>
      <c r="P272" s="27" t="s">
        <v>1537</v>
      </c>
      <c r="Q272" s="29">
        <v>2525370077</v>
      </c>
      <c r="R272" s="30">
        <v>2110817563</v>
      </c>
      <c r="S272" s="31" t="s">
        <v>73</v>
      </c>
      <c r="T272" s="24" t="s">
        <v>91</v>
      </c>
      <c r="U272" s="24" t="s">
        <v>75</v>
      </c>
      <c r="V272" s="32" t="s">
        <v>1533</v>
      </c>
      <c r="W272" s="32" t="s">
        <v>701</v>
      </c>
      <c r="X272" s="32"/>
      <c r="Y272" s="24">
        <v>847</v>
      </c>
      <c r="Z272" s="24">
        <v>12</v>
      </c>
      <c r="AA272" s="24">
        <f t="shared" si="119"/>
        <v>804.65000000000009</v>
      </c>
      <c r="AB272" s="24">
        <f t="shared" si="111"/>
        <v>10164</v>
      </c>
      <c r="AC272" s="24">
        <f t="shared" si="112"/>
        <v>9655.7999999999993</v>
      </c>
      <c r="AD272" s="24">
        <f t="shared" si="113"/>
        <v>9655.8000000000011</v>
      </c>
      <c r="AE272" s="24">
        <f t="shared" si="114"/>
        <v>508.19999999999891</v>
      </c>
      <c r="AF272" s="24">
        <v>0</v>
      </c>
      <c r="AG272" s="31">
        <v>0</v>
      </c>
      <c r="AH272" s="24"/>
      <c r="AI272" s="24"/>
      <c r="AJ272" s="24"/>
      <c r="AK272" s="24"/>
      <c r="AL272" s="24"/>
      <c r="AM272" s="24">
        <v>0</v>
      </c>
      <c r="AN272" s="34"/>
      <c r="AO272" s="35"/>
      <c r="AP272" s="24"/>
      <c r="AQ272" s="36">
        <f t="shared" si="120"/>
        <v>0</v>
      </c>
      <c r="AR272" s="16"/>
      <c r="AS272" s="47">
        <f t="shared" si="121"/>
        <v>0</v>
      </c>
      <c r="AT272" s="31"/>
      <c r="AU272" s="47">
        <f t="shared" si="122"/>
        <v>0</v>
      </c>
      <c r="AV272" s="48">
        <v>91.99</v>
      </c>
      <c r="AW272" s="24">
        <f t="shared" si="115"/>
        <v>0</v>
      </c>
      <c r="AX272" s="24">
        <f t="shared" si="104"/>
        <v>0</v>
      </c>
      <c r="AY272" s="24"/>
      <c r="AZ272" s="24"/>
      <c r="BA272" s="24"/>
      <c r="BB272" s="24">
        <f t="shared" si="123"/>
        <v>0</v>
      </c>
      <c r="BC272" s="24">
        <f t="shared" si="124"/>
        <v>9655.8000000000011</v>
      </c>
      <c r="BD272" s="24"/>
      <c r="BE272" s="24"/>
      <c r="BF272" s="24"/>
      <c r="BG272" s="24">
        <f t="shared" si="128"/>
        <v>917.30100000000016</v>
      </c>
      <c r="BH272" s="24"/>
      <c r="BI272" s="24"/>
      <c r="BJ272" s="24">
        <f t="shared" si="125"/>
        <v>9.1730100000000014</v>
      </c>
      <c r="BK272" s="24">
        <f t="shared" si="126"/>
        <v>10563.92799</v>
      </c>
      <c r="BL272" s="24" t="s">
        <v>232</v>
      </c>
      <c r="BM272" s="42">
        <f t="shared" si="117"/>
        <v>2</v>
      </c>
      <c r="BN272" s="24" t="s">
        <v>83</v>
      </c>
      <c r="BO272" s="2" t="s">
        <v>84</v>
      </c>
    </row>
    <row r="273" spans="1:67" s="1" customFormat="1" ht="15" customHeight="1" x14ac:dyDescent="0.3">
      <c r="A273" s="20">
        <v>269</v>
      </c>
      <c r="B273" s="21">
        <v>46099</v>
      </c>
      <c r="C273" s="21">
        <v>46118</v>
      </c>
      <c r="D273" s="50" t="s">
        <v>553</v>
      </c>
      <c r="E273" s="23">
        <v>46120</v>
      </c>
      <c r="F273" s="23" t="s">
        <v>7</v>
      </c>
      <c r="G273" s="24" t="s">
        <v>68</v>
      </c>
      <c r="H273" s="24" t="s">
        <v>69</v>
      </c>
      <c r="I273" s="24" t="s">
        <v>70</v>
      </c>
      <c r="J273" s="25" t="s">
        <v>287</v>
      </c>
      <c r="K273" s="45" t="str">
        <f t="shared" si="118"/>
        <v>WB39B1080</v>
      </c>
      <c r="L273" s="26">
        <v>46103</v>
      </c>
      <c r="M273" s="34" t="s">
        <v>1538</v>
      </c>
      <c r="N273" s="27" t="s">
        <v>1539</v>
      </c>
      <c r="O273" s="28">
        <v>0</v>
      </c>
      <c r="P273" s="27" t="s">
        <v>1540</v>
      </c>
      <c r="Q273" s="29">
        <v>2525370098</v>
      </c>
      <c r="R273" s="30">
        <v>2110817595</v>
      </c>
      <c r="S273" s="31" t="s">
        <v>73</v>
      </c>
      <c r="T273" s="24" t="s">
        <v>91</v>
      </c>
      <c r="U273" s="24" t="s">
        <v>75</v>
      </c>
      <c r="V273" s="32" t="s">
        <v>616</v>
      </c>
      <c r="W273" s="32" t="s">
        <v>492</v>
      </c>
      <c r="X273" s="32"/>
      <c r="Y273" s="24">
        <v>934</v>
      </c>
      <c r="Z273" s="24">
        <v>15</v>
      </c>
      <c r="AA273" s="24">
        <f t="shared" si="119"/>
        <v>887.3</v>
      </c>
      <c r="AB273" s="61">
        <f t="shared" si="111"/>
        <v>14010</v>
      </c>
      <c r="AC273" s="24">
        <f t="shared" si="112"/>
        <v>13309.5</v>
      </c>
      <c r="AD273" s="24">
        <f t="shared" si="113"/>
        <v>13309.5</v>
      </c>
      <c r="AE273" s="24">
        <f t="shared" si="114"/>
        <v>700.5</v>
      </c>
      <c r="AF273" s="24">
        <f t="shared" si="110"/>
        <v>133.095</v>
      </c>
      <c r="AG273" s="33">
        <v>3700</v>
      </c>
      <c r="AH273" s="24"/>
      <c r="AI273" s="24"/>
      <c r="AJ273" s="24"/>
      <c r="AK273" s="24"/>
      <c r="AL273" s="24"/>
      <c r="AM273" s="24" t="s">
        <v>79</v>
      </c>
      <c r="AN273" s="34" t="s">
        <v>1541</v>
      </c>
      <c r="AO273" s="35" t="s">
        <v>973</v>
      </c>
      <c r="AP273" s="24">
        <f>240*2</f>
        <v>480</v>
      </c>
      <c r="AQ273" s="36">
        <f t="shared" si="120"/>
        <v>147.69230769230768</v>
      </c>
      <c r="AR273" s="67">
        <v>165</v>
      </c>
      <c r="AS273" s="68">
        <f t="shared" si="121"/>
        <v>17.307692307692321</v>
      </c>
      <c r="AT273" s="69"/>
      <c r="AU273" s="68">
        <f t="shared" si="122"/>
        <v>17.307692307692321</v>
      </c>
      <c r="AV273" s="70">
        <v>91.88</v>
      </c>
      <c r="AW273" s="65">
        <f t="shared" si="115"/>
        <v>15160.199999999999</v>
      </c>
      <c r="AX273" s="24">
        <f t="shared" si="104"/>
        <v>141.70479732521881</v>
      </c>
      <c r="AY273" s="24"/>
      <c r="AZ273" s="24"/>
      <c r="BA273" s="24"/>
      <c r="BB273" s="24">
        <f t="shared" si="123"/>
        <v>0</v>
      </c>
      <c r="BC273" s="24">
        <f t="shared" si="124"/>
        <v>-5683.7949999999983</v>
      </c>
      <c r="BD273" s="24"/>
      <c r="BE273" s="24"/>
      <c r="BF273" s="24"/>
      <c r="BG273" s="24">
        <f t="shared" si="128"/>
        <v>1264.4024999999999</v>
      </c>
      <c r="BH273" s="24"/>
      <c r="BI273" s="24"/>
      <c r="BJ273" s="24">
        <f t="shared" si="125"/>
        <v>12.644024999999999</v>
      </c>
      <c r="BK273" s="24">
        <f t="shared" si="126"/>
        <v>-4432.0365249999977</v>
      </c>
      <c r="BL273" s="24" t="s">
        <v>292</v>
      </c>
      <c r="BM273" s="42">
        <f t="shared" si="117"/>
        <v>5</v>
      </c>
      <c r="BN273" s="24" t="s">
        <v>1542</v>
      </c>
      <c r="BO273" s="2" t="s">
        <v>175</v>
      </c>
    </row>
    <row r="274" spans="1:67" s="1" customFormat="1" ht="15" customHeight="1" x14ac:dyDescent="0.3">
      <c r="A274" s="20">
        <v>270</v>
      </c>
      <c r="B274" s="21">
        <v>46099</v>
      </c>
      <c r="C274" s="21">
        <v>46118</v>
      </c>
      <c r="D274" s="50" t="s">
        <v>553</v>
      </c>
      <c r="E274" s="23">
        <v>46120</v>
      </c>
      <c r="F274" s="23" t="s">
        <v>7</v>
      </c>
      <c r="G274" s="24" t="s">
        <v>68</v>
      </c>
      <c r="H274" s="24" t="s">
        <v>69</v>
      </c>
      <c r="I274" s="24" t="s">
        <v>70</v>
      </c>
      <c r="J274" s="25" t="s">
        <v>287</v>
      </c>
      <c r="K274" s="45" t="str">
        <f t="shared" si="118"/>
        <v>WB39B1080</v>
      </c>
      <c r="L274" s="26">
        <v>46103</v>
      </c>
      <c r="M274" s="34" t="s">
        <v>1543</v>
      </c>
      <c r="N274" s="27" t="s">
        <v>1544</v>
      </c>
      <c r="O274" s="28">
        <v>0</v>
      </c>
      <c r="P274" s="27" t="s">
        <v>1545</v>
      </c>
      <c r="Q274" s="29">
        <v>2525370096</v>
      </c>
      <c r="R274" s="30">
        <v>2110817592</v>
      </c>
      <c r="S274" s="31" t="s">
        <v>73</v>
      </c>
      <c r="T274" s="24" t="s">
        <v>91</v>
      </c>
      <c r="U274" s="24" t="s">
        <v>75</v>
      </c>
      <c r="V274" s="32" t="s">
        <v>491</v>
      </c>
      <c r="W274" s="32" t="s">
        <v>492</v>
      </c>
      <c r="X274" s="32"/>
      <c r="Y274" s="24">
        <v>1047</v>
      </c>
      <c r="Z274" s="24">
        <v>10</v>
      </c>
      <c r="AA274" s="24">
        <f t="shared" si="119"/>
        <v>994.65000000000009</v>
      </c>
      <c r="AB274" s="61">
        <f t="shared" si="111"/>
        <v>10470</v>
      </c>
      <c r="AC274" s="24">
        <f t="shared" si="112"/>
        <v>9946.5</v>
      </c>
      <c r="AD274" s="24">
        <f t="shared" si="113"/>
        <v>9946.5</v>
      </c>
      <c r="AE274" s="24">
        <f t="shared" si="114"/>
        <v>523.5</v>
      </c>
      <c r="AF274" s="24">
        <f t="shared" si="110"/>
        <v>99.465000000000003</v>
      </c>
      <c r="AG274" s="31">
        <v>0</v>
      </c>
      <c r="AH274" s="24"/>
      <c r="AI274" s="24"/>
      <c r="AJ274" s="24"/>
      <c r="AK274" s="24"/>
      <c r="AL274" s="24"/>
      <c r="AM274" s="24">
        <v>0</v>
      </c>
      <c r="AN274" s="34"/>
      <c r="AO274" s="35"/>
      <c r="AP274" s="24"/>
      <c r="AQ274" s="36">
        <f t="shared" si="120"/>
        <v>0</v>
      </c>
      <c r="AR274" s="16"/>
      <c r="AS274" s="47">
        <f t="shared" si="121"/>
        <v>0</v>
      </c>
      <c r="AT274" s="31"/>
      <c r="AU274" s="47">
        <f t="shared" si="122"/>
        <v>0</v>
      </c>
      <c r="AV274" s="48">
        <v>91.99</v>
      </c>
      <c r="AW274" s="24">
        <f t="shared" si="115"/>
        <v>0</v>
      </c>
      <c r="AX274" s="24">
        <f t="shared" si="104"/>
        <v>0</v>
      </c>
      <c r="AY274" s="24"/>
      <c r="AZ274" s="24"/>
      <c r="BA274" s="24"/>
      <c r="BB274" s="24">
        <f t="shared" si="123"/>
        <v>0</v>
      </c>
      <c r="BC274" s="24">
        <f t="shared" si="124"/>
        <v>9847.0349999999999</v>
      </c>
      <c r="BD274" s="24"/>
      <c r="BE274" s="24"/>
      <c r="BF274" s="24"/>
      <c r="BG274" s="24">
        <f t="shared" si="128"/>
        <v>944.91750000000002</v>
      </c>
      <c r="BH274" s="24"/>
      <c r="BI274" s="24"/>
      <c r="BJ274" s="24">
        <f t="shared" si="125"/>
        <v>9.4491750000000003</v>
      </c>
      <c r="BK274" s="24">
        <f t="shared" si="126"/>
        <v>10782.503325</v>
      </c>
      <c r="BL274" s="24" t="s">
        <v>292</v>
      </c>
      <c r="BM274" s="42">
        <f t="shared" si="117"/>
        <v>5</v>
      </c>
      <c r="BN274" s="24" t="s">
        <v>1542</v>
      </c>
      <c r="BO274" s="2" t="s">
        <v>175</v>
      </c>
    </row>
    <row r="275" spans="1:67" s="1" customFormat="1" ht="15" customHeight="1" x14ac:dyDescent="0.3">
      <c r="A275" s="20">
        <v>271</v>
      </c>
      <c r="B275" s="21">
        <v>46099</v>
      </c>
      <c r="C275" s="21">
        <v>46105</v>
      </c>
      <c r="D275" s="55" t="s">
        <v>1177</v>
      </c>
      <c r="E275" s="23">
        <v>46140</v>
      </c>
      <c r="F275" s="23" t="s">
        <v>7</v>
      </c>
      <c r="G275" s="24" t="s">
        <v>68</v>
      </c>
      <c r="H275" s="24" t="s">
        <v>69</v>
      </c>
      <c r="I275" s="24" t="s">
        <v>263</v>
      </c>
      <c r="J275" s="25" t="s">
        <v>316</v>
      </c>
      <c r="K275" s="45" t="str">
        <f t="shared" si="118"/>
        <v>WB41G6396</v>
      </c>
      <c r="L275" s="26">
        <v>46101</v>
      </c>
      <c r="M275" s="34" t="s">
        <v>1546</v>
      </c>
      <c r="N275" s="27" t="s">
        <v>1547</v>
      </c>
      <c r="O275" s="28">
        <v>0</v>
      </c>
      <c r="P275" s="27" t="s">
        <v>1548</v>
      </c>
      <c r="Q275" s="29">
        <v>2525370137</v>
      </c>
      <c r="R275" s="30">
        <v>2110817640</v>
      </c>
      <c r="S275" s="31" t="s">
        <v>73</v>
      </c>
      <c r="T275" s="24" t="s">
        <v>91</v>
      </c>
      <c r="U275" s="24" t="s">
        <v>75</v>
      </c>
      <c r="V275" s="32" t="s">
        <v>510</v>
      </c>
      <c r="W275" s="32" t="s">
        <v>220</v>
      </c>
      <c r="X275" s="32" t="s">
        <v>1549</v>
      </c>
      <c r="Y275" s="24">
        <v>499</v>
      </c>
      <c r="Z275" s="24">
        <v>25</v>
      </c>
      <c r="AA275" s="24">
        <f t="shared" si="119"/>
        <v>474.05</v>
      </c>
      <c r="AB275" s="24">
        <f t="shared" si="111"/>
        <v>12475</v>
      </c>
      <c r="AC275" s="24">
        <f t="shared" si="112"/>
        <v>11851.25</v>
      </c>
      <c r="AD275" s="24">
        <f t="shared" si="113"/>
        <v>11851.25</v>
      </c>
      <c r="AE275" s="24">
        <f t="shared" si="114"/>
        <v>623.75</v>
      </c>
      <c r="AF275" s="24">
        <v>0</v>
      </c>
      <c r="AG275" s="33">
        <v>4000</v>
      </c>
      <c r="AH275" s="24"/>
      <c r="AI275" s="24"/>
      <c r="AJ275" s="24"/>
      <c r="AK275" s="24"/>
      <c r="AL275" s="24"/>
      <c r="AM275" s="24" t="s">
        <v>79</v>
      </c>
      <c r="AN275" s="34" t="s">
        <v>1550</v>
      </c>
      <c r="AO275" s="35" t="s">
        <v>973</v>
      </c>
      <c r="AP275" s="24">
        <f>77*2</f>
        <v>154</v>
      </c>
      <c r="AQ275" s="36">
        <f t="shared" si="120"/>
        <v>47.384615384615387</v>
      </c>
      <c r="AR275" s="67">
        <v>50</v>
      </c>
      <c r="AS275" s="68">
        <f t="shared" si="121"/>
        <v>2.6153846153846132</v>
      </c>
      <c r="AT275" s="69"/>
      <c r="AU275" s="68">
        <f t="shared" si="122"/>
        <v>2.6153846153846132</v>
      </c>
      <c r="AV275" s="70">
        <v>91.99</v>
      </c>
      <c r="AW275" s="65">
        <f t="shared" si="115"/>
        <v>4599.5</v>
      </c>
      <c r="AX275" s="24">
        <f t="shared" si="104"/>
        <v>72.561966037337839</v>
      </c>
      <c r="AY275" s="24"/>
      <c r="AZ275" s="24"/>
      <c r="BA275" s="24"/>
      <c r="BB275" s="24">
        <f t="shared" si="123"/>
        <v>0</v>
      </c>
      <c r="BC275" s="24">
        <f t="shared" si="124"/>
        <v>3251.75</v>
      </c>
      <c r="BD275" s="24">
        <v>135</v>
      </c>
      <c r="BE275" s="24">
        <v>135</v>
      </c>
      <c r="BF275" s="24"/>
      <c r="BG275" s="24">
        <f>+AB275*9.5%</f>
        <v>1185.125</v>
      </c>
      <c r="BH275" s="24"/>
      <c r="BI275" s="24"/>
      <c r="BJ275" s="24">
        <f t="shared" si="125"/>
        <v>11.85125</v>
      </c>
      <c r="BK275" s="24">
        <f t="shared" si="126"/>
        <v>4695.0237500000003</v>
      </c>
      <c r="BL275" s="24" t="s">
        <v>121</v>
      </c>
      <c r="BM275" s="42">
        <f t="shared" si="117"/>
        <v>3</v>
      </c>
      <c r="BN275" s="24" t="s">
        <v>139</v>
      </c>
      <c r="BO275" s="2" t="s">
        <v>175</v>
      </c>
    </row>
    <row r="276" spans="1:67" s="1" customFormat="1" ht="15" customHeight="1" x14ac:dyDescent="0.3">
      <c r="A276" s="20">
        <v>272</v>
      </c>
      <c r="B276" s="21">
        <v>46099</v>
      </c>
      <c r="C276" s="21">
        <v>46102</v>
      </c>
      <c r="D276" s="50" t="s">
        <v>410</v>
      </c>
      <c r="E276" s="23">
        <v>46123</v>
      </c>
      <c r="F276" s="23" t="s">
        <v>7</v>
      </c>
      <c r="G276" s="24" t="s">
        <v>68</v>
      </c>
      <c r="H276" s="24" t="s">
        <v>69</v>
      </c>
      <c r="I276" s="24" t="s">
        <v>88</v>
      </c>
      <c r="J276" s="25" t="s">
        <v>194</v>
      </c>
      <c r="K276" s="59" t="str">
        <f t="shared" si="118"/>
        <v>WB67A2373</v>
      </c>
      <c r="L276" s="26">
        <v>46100</v>
      </c>
      <c r="M276" s="34" t="s">
        <v>1551</v>
      </c>
      <c r="N276" s="27" t="s">
        <v>1552</v>
      </c>
      <c r="O276" s="28">
        <v>0</v>
      </c>
      <c r="P276" s="27" t="s">
        <v>1553</v>
      </c>
      <c r="Q276" s="29">
        <v>2525370249</v>
      </c>
      <c r="R276" s="30">
        <v>2110817732</v>
      </c>
      <c r="S276" s="60" t="s">
        <v>73</v>
      </c>
      <c r="T276" s="24" t="s">
        <v>74</v>
      </c>
      <c r="U276" s="24" t="s">
        <v>75</v>
      </c>
      <c r="V276" s="32" t="s">
        <v>414</v>
      </c>
      <c r="W276" s="32" t="s">
        <v>415</v>
      </c>
      <c r="X276" s="32" t="s">
        <v>1554</v>
      </c>
      <c r="Y276" s="24">
        <v>654</v>
      </c>
      <c r="Z276" s="24">
        <v>14</v>
      </c>
      <c r="AA276" s="24">
        <f t="shared" si="119"/>
        <v>621.29999999999995</v>
      </c>
      <c r="AB276" s="24">
        <f t="shared" si="111"/>
        <v>9156</v>
      </c>
      <c r="AC276" s="24">
        <f t="shared" si="112"/>
        <v>8698.2000000000007</v>
      </c>
      <c r="AD276" s="24">
        <f t="shared" si="113"/>
        <v>8698.1999999999989</v>
      </c>
      <c r="AE276" s="24">
        <f t="shared" si="114"/>
        <v>457.80000000000109</v>
      </c>
      <c r="AF276" s="24">
        <f t="shared" si="110"/>
        <v>86.981999999999985</v>
      </c>
      <c r="AG276" s="33">
        <v>3400</v>
      </c>
      <c r="AH276" s="24">
        <v>200</v>
      </c>
      <c r="AI276" s="24"/>
      <c r="AJ276" s="24"/>
      <c r="AK276" s="24"/>
      <c r="AL276" s="24"/>
      <c r="AM276" s="24" t="s">
        <v>79</v>
      </c>
      <c r="AN276" s="34" t="s">
        <v>1555</v>
      </c>
      <c r="AO276" s="35" t="s">
        <v>973</v>
      </c>
      <c r="AP276" s="24">
        <f>124*2</f>
        <v>248</v>
      </c>
      <c r="AQ276" s="36">
        <f t="shared" si="120"/>
        <v>76.307692307692307</v>
      </c>
      <c r="AR276" s="67">
        <v>63</v>
      </c>
      <c r="AS276" s="68">
        <f t="shared" si="121"/>
        <v>-13.307692307692307</v>
      </c>
      <c r="AT276" s="69"/>
      <c r="AU276" s="68">
        <f t="shared" si="122"/>
        <v>-13.307692307692307</v>
      </c>
      <c r="AV276" s="70">
        <v>91.99</v>
      </c>
      <c r="AW276" s="65">
        <f t="shared" si="115"/>
        <v>5795.37</v>
      </c>
      <c r="AX276" s="24">
        <f t="shared" si="104"/>
        <v>105.71578027637902</v>
      </c>
      <c r="AY276" s="24">
        <v>120</v>
      </c>
      <c r="AZ276" s="24"/>
      <c r="BA276" s="24"/>
      <c r="BB276" s="24">
        <f t="shared" si="123"/>
        <v>0</v>
      </c>
      <c r="BC276" s="24">
        <f t="shared" si="124"/>
        <v>-904.15200000000095</v>
      </c>
      <c r="BD276" s="24">
        <v>110</v>
      </c>
      <c r="BE276" s="24">
        <v>11</v>
      </c>
      <c r="BF276" s="24"/>
      <c r="BG276" s="24">
        <f t="shared" ref="BG276:BG277" si="129">+AD276*8.5%</f>
        <v>739.34699999999998</v>
      </c>
      <c r="BH276" s="24">
        <f t="shared" ref="BH276:BH277" si="130">+AD276*8.5%</f>
        <v>739.34699999999998</v>
      </c>
      <c r="BI276" s="24"/>
      <c r="BJ276" s="24">
        <f t="shared" si="125"/>
        <v>14.78694</v>
      </c>
      <c r="BK276" s="24">
        <f t="shared" si="126"/>
        <v>680.75505999999905</v>
      </c>
      <c r="BL276" s="24" t="s">
        <v>82</v>
      </c>
      <c r="BM276" s="42">
        <f t="shared" si="117"/>
        <v>2</v>
      </c>
      <c r="BN276" s="24" t="s">
        <v>83</v>
      </c>
      <c r="BO276" s="2" t="s">
        <v>84</v>
      </c>
    </row>
    <row r="277" spans="1:67" s="1" customFormat="1" ht="15" customHeight="1" x14ac:dyDescent="0.3">
      <c r="A277" s="20">
        <v>273</v>
      </c>
      <c r="B277" s="21">
        <v>46099</v>
      </c>
      <c r="C277" s="21">
        <v>46102</v>
      </c>
      <c r="D277" s="50" t="s">
        <v>410</v>
      </c>
      <c r="E277" s="23">
        <v>46123</v>
      </c>
      <c r="F277" s="23" t="s">
        <v>7</v>
      </c>
      <c r="G277" s="24" t="s">
        <v>68</v>
      </c>
      <c r="H277" s="24" t="s">
        <v>69</v>
      </c>
      <c r="I277" s="24" t="s">
        <v>88</v>
      </c>
      <c r="J277" s="25" t="s">
        <v>194</v>
      </c>
      <c r="K277" s="59" t="str">
        <f t="shared" si="118"/>
        <v>WB67A2373</v>
      </c>
      <c r="L277" s="26">
        <v>46100</v>
      </c>
      <c r="M277" s="34" t="s">
        <v>1556</v>
      </c>
      <c r="N277" s="27" t="s">
        <v>1557</v>
      </c>
      <c r="O277" s="28">
        <v>0</v>
      </c>
      <c r="P277" s="27" t="s">
        <v>1558</v>
      </c>
      <c r="Q277" s="29">
        <v>2525370246</v>
      </c>
      <c r="R277" s="30">
        <v>2110817719</v>
      </c>
      <c r="S277" s="60" t="s">
        <v>73</v>
      </c>
      <c r="T277" s="24" t="s">
        <v>74</v>
      </c>
      <c r="U277" s="24" t="s">
        <v>75</v>
      </c>
      <c r="V277" s="32" t="s">
        <v>414</v>
      </c>
      <c r="W277" s="32" t="s">
        <v>415</v>
      </c>
      <c r="X277" s="32" t="s">
        <v>753</v>
      </c>
      <c r="Y277" s="24">
        <v>654</v>
      </c>
      <c r="Z277" s="24">
        <v>5</v>
      </c>
      <c r="AA277" s="24">
        <f t="shared" si="119"/>
        <v>621.29999999999995</v>
      </c>
      <c r="AB277" s="24">
        <f t="shared" si="111"/>
        <v>3270</v>
      </c>
      <c r="AC277" s="24">
        <f t="shared" si="112"/>
        <v>3106.5000000000005</v>
      </c>
      <c r="AD277" s="24">
        <f t="shared" si="113"/>
        <v>3106.5</v>
      </c>
      <c r="AE277" s="24">
        <f t="shared" si="114"/>
        <v>163.5</v>
      </c>
      <c r="AF277" s="24">
        <f t="shared" si="110"/>
        <v>31.065000000000001</v>
      </c>
      <c r="AG277" s="31">
        <v>0</v>
      </c>
      <c r="AH277" s="24"/>
      <c r="AI277" s="24">
        <v>700</v>
      </c>
      <c r="AJ277" s="24"/>
      <c r="AK277" s="24"/>
      <c r="AL277" s="24"/>
      <c r="AM277" s="24">
        <v>0</v>
      </c>
      <c r="AN277" s="34" t="s">
        <v>213</v>
      </c>
      <c r="AO277" s="35"/>
      <c r="AP277" s="24"/>
      <c r="AQ277" s="36">
        <f t="shared" si="120"/>
        <v>0</v>
      </c>
      <c r="AR277" s="16"/>
      <c r="AS277" s="47">
        <f t="shared" si="121"/>
        <v>0</v>
      </c>
      <c r="AT277" s="31"/>
      <c r="AU277" s="47">
        <f t="shared" si="122"/>
        <v>0</v>
      </c>
      <c r="AV277" s="48">
        <v>91.99</v>
      </c>
      <c r="AW277" s="24">
        <f t="shared" si="115"/>
        <v>0</v>
      </c>
      <c r="AX277" s="24">
        <f t="shared" si="104"/>
        <v>0</v>
      </c>
      <c r="AY277" s="24"/>
      <c r="AZ277" s="24"/>
      <c r="BA277" s="24"/>
      <c r="BB277" s="24">
        <f t="shared" si="123"/>
        <v>0</v>
      </c>
      <c r="BC277" s="24">
        <f t="shared" si="124"/>
        <v>2375.4349999999999</v>
      </c>
      <c r="BD277" s="24">
        <v>0</v>
      </c>
      <c r="BE277" s="24">
        <v>0</v>
      </c>
      <c r="BF277" s="24"/>
      <c r="BG277" s="24">
        <f t="shared" si="129"/>
        <v>264.05250000000001</v>
      </c>
      <c r="BH277" s="24">
        <f t="shared" si="130"/>
        <v>264.05250000000001</v>
      </c>
      <c r="BI277" s="24"/>
      <c r="BJ277" s="24">
        <f t="shared" si="125"/>
        <v>5.2810500000000005</v>
      </c>
      <c r="BK277" s="24">
        <f t="shared" si="126"/>
        <v>2898.2589499999999</v>
      </c>
      <c r="BL277" s="24" t="s">
        <v>82</v>
      </c>
      <c r="BM277" s="42">
        <f t="shared" si="117"/>
        <v>2</v>
      </c>
      <c r="BN277" s="24" t="s">
        <v>83</v>
      </c>
      <c r="BO277" s="2" t="s">
        <v>84</v>
      </c>
    </row>
    <row r="278" spans="1:67" s="1" customFormat="1" ht="15" customHeight="1" x14ac:dyDescent="0.3">
      <c r="A278" s="20">
        <v>274</v>
      </c>
      <c r="B278" s="21">
        <v>46099</v>
      </c>
      <c r="C278" s="21">
        <v>46105</v>
      </c>
      <c r="D278" s="62" t="s">
        <v>1380</v>
      </c>
      <c r="E278" s="23">
        <v>46116</v>
      </c>
      <c r="F278" s="23" t="s">
        <v>7</v>
      </c>
      <c r="G278" s="24" t="s">
        <v>68</v>
      </c>
      <c r="H278" s="24" t="s">
        <v>69</v>
      </c>
      <c r="I278" s="24" t="s">
        <v>70</v>
      </c>
      <c r="J278" s="25" t="s">
        <v>293</v>
      </c>
      <c r="K278" s="45" t="str">
        <f t="shared" si="118"/>
        <v>WB39B4313</v>
      </c>
      <c r="L278" s="26">
        <v>46100</v>
      </c>
      <c r="M278" s="34" t="s">
        <v>1559</v>
      </c>
      <c r="N278" s="27" t="s">
        <v>1560</v>
      </c>
      <c r="O278" s="28">
        <v>0</v>
      </c>
      <c r="P278" s="27" t="s">
        <v>1561</v>
      </c>
      <c r="Q278" s="29">
        <v>2525370261</v>
      </c>
      <c r="R278" s="30">
        <v>2110817747</v>
      </c>
      <c r="S278" s="63" t="s">
        <v>73</v>
      </c>
      <c r="T278" s="24" t="s">
        <v>91</v>
      </c>
      <c r="U278" s="24" t="s">
        <v>75</v>
      </c>
      <c r="V278" s="32" t="s">
        <v>616</v>
      </c>
      <c r="W278" s="32" t="s">
        <v>838</v>
      </c>
      <c r="X278" s="32" t="s">
        <v>1562</v>
      </c>
      <c r="Y278" s="24">
        <v>934</v>
      </c>
      <c r="Z278" s="24">
        <v>25</v>
      </c>
      <c r="AA278" s="24">
        <f t="shared" si="119"/>
        <v>887.3</v>
      </c>
      <c r="AB278" s="24">
        <f t="shared" si="111"/>
        <v>23350</v>
      </c>
      <c r="AC278" s="24">
        <f t="shared" si="112"/>
        <v>22182.5</v>
      </c>
      <c r="AD278" s="24">
        <f t="shared" si="113"/>
        <v>22182.5</v>
      </c>
      <c r="AE278" s="24">
        <f t="shared" si="114"/>
        <v>1167.5</v>
      </c>
      <c r="AF278" s="24">
        <f t="shared" si="110"/>
        <v>221.82500000000002</v>
      </c>
      <c r="AG278" s="33">
        <v>3700</v>
      </c>
      <c r="AH278" s="24"/>
      <c r="AI278" s="24"/>
      <c r="AJ278" s="24"/>
      <c r="AK278" s="24"/>
      <c r="AL278" s="24"/>
      <c r="AM278" s="24" t="s">
        <v>79</v>
      </c>
      <c r="AN278" s="34" t="s">
        <v>1563</v>
      </c>
      <c r="AO278" s="35" t="s">
        <v>973</v>
      </c>
      <c r="AP278" s="24">
        <f>225*2</f>
        <v>450</v>
      </c>
      <c r="AQ278" s="36">
        <f t="shared" si="120"/>
        <v>138.46153846153845</v>
      </c>
      <c r="AR278" s="67">
        <v>145</v>
      </c>
      <c r="AS278" s="68">
        <f t="shared" si="121"/>
        <v>6.5384615384615472</v>
      </c>
      <c r="AT278" s="69"/>
      <c r="AU278" s="68">
        <f t="shared" si="122"/>
        <v>6.5384615384615472</v>
      </c>
      <c r="AV278" s="70">
        <v>91.99</v>
      </c>
      <c r="AW278" s="65">
        <f t="shared" si="115"/>
        <v>13338.55</v>
      </c>
      <c r="AX278" s="24">
        <f t="shared" si="104"/>
        <v>76.810774258987934</v>
      </c>
      <c r="AY278" s="24"/>
      <c r="AZ278" s="24"/>
      <c r="BA278" s="24"/>
      <c r="BB278" s="24">
        <f t="shared" si="123"/>
        <v>0</v>
      </c>
      <c r="BC278" s="24">
        <f t="shared" si="124"/>
        <v>4922.125</v>
      </c>
      <c r="BD278" s="24"/>
      <c r="BE278" s="24"/>
      <c r="BF278" s="24"/>
      <c r="BG278" s="24">
        <f>+AB278*9.5%</f>
        <v>2218.25</v>
      </c>
      <c r="BH278" s="24"/>
      <c r="BI278" s="24"/>
      <c r="BJ278" s="24">
        <f t="shared" si="125"/>
        <v>22.182500000000001</v>
      </c>
      <c r="BK278" s="24">
        <f t="shared" si="126"/>
        <v>7118.1925000000001</v>
      </c>
      <c r="BL278" s="24" t="s">
        <v>253</v>
      </c>
      <c r="BM278" s="42">
        <f t="shared" si="117"/>
        <v>2</v>
      </c>
      <c r="BN278" s="24" t="s">
        <v>83</v>
      </c>
      <c r="BO278" s="2" t="s">
        <v>84</v>
      </c>
    </row>
    <row r="279" spans="1:67" s="1" customFormat="1" ht="15" customHeight="1" x14ac:dyDescent="0.3">
      <c r="A279" s="20">
        <v>275</v>
      </c>
      <c r="B279" s="21">
        <v>46099</v>
      </c>
      <c r="C279" s="21">
        <v>46102</v>
      </c>
      <c r="D279" s="52" t="s">
        <v>855</v>
      </c>
      <c r="E279" s="23">
        <v>46104</v>
      </c>
      <c r="F279" s="23" t="s">
        <v>7</v>
      </c>
      <c r="G279" s="24" t="s">
        <v>68</v>
      </c>
      <c r="H279" s="24" t="s">
        <v>69</v>
      </c>
      <c r="I279" s="24" t="s">
        <v>236</v>
      </c>
      <c r="J279" s="25" t="s">
        <v>681</v>
      </c>
      <c r="K279" s="45" t="str">
        <f t="shared" si="118"/>
        <v>WB41J9696</v>
      </c>
      <c r="L279" s="26">
        <v>46100</v>
      </c>
      <c r="M279" s="34" t="s">
        <v>1564</v>
      </c>
      <c r="N279" s="27" t="s">
        <v>1565</v>
      </c>
      <c r="O279" s="28">
        <v>0</v>
      </c>
      <c r="P279" s="27" t="s">
        <v>1566</v>
      </c>
      <c r="Q279" s="29">
        <v>2525370469</v>
      </c>
      <c r="R279" s="30">
        <v>2110817882</v>
      </c>
      <c r="S279" s="31" t="s">
        <v>73</v>
      </c>
      <c r="T279" s="24" t="s">
        <v>241</v>
      </c>
      <c r="U279" s="24" t="s">
        <v>75</v>
      </c>
      <c r="V279" s="32" t="s">
        <v>1567</v>
      </c>
      <c r="W279" s="32" t="s">
        <v>1568</v>
      </c>
      <c r="X279" s="32" t="s">
        <v>1568</v>
      </c>
      <c r="Y279" s="24">
        <v>855</v>
      </c>
      <c r="Z279" s="24">
        <v>30</v>
      </c>
      <c r="AA279" s="24">
        <f t="shared" si="119"/>
        <v>812.25000000000011</v>
      </c>
      <c r="AB279" s="24">
        <f t="shared" si="111"/>
        <v>25650</v>
      </c>
      <c r="AC279" s="24">
        <f t="shared" si="112"/>
        <v>24367.5</v>
      </c>
      <c r="AD279" s="24">
        <f t="shared" si="113"/>
        <v>24367.500000000004</v>
      </c>
      <c r="AE279" s="24">
        <f t="shared" si="114"/>
        <v>1282.4999999999964</v>
      </c>
      <c r="AF279" s="24">
        <v>0</v>
      </c>
      <c r="AG279" s="33">
        <v>4500</v>
      </c>
      <c r="AH279" s="24"/>
      <c r="AI279" s="24"/>
      <c r="AJ279" s="24"/>
      <c r="AK279" s="24"/>
      <c r="AL279" s="24"/>
      <c r="AM279" s="24" t="s">
        <v>79</v>
      </c>
      <c r="AN279" s="34" t="s">
        <v>1569</v>
      </c>
      <c r="AO279" s="35" t="s">
        <v>973</v>
      </c>
      <c r="AP279" s="24">
        <f>208*2</f>
        <v>416</v>
      </c>
      <c r="AQ279" s="36">
        <f t="shared" si="120"/>
        <v>128</v>
      </c>
      <c r="AR279" s="67">
        <v>145</v>
      </c>
      <c r="AS279" s="68">
        <f t="shared" si="121"/>
        <v>17</v>
      </c>
      <c r="AT279" s="69"/>
      <c r="AU279" s="68">
        <f t="shared" si="122"/>
        <v>17</v>
      </c>
      <c r="AV279" s="70">
        <v>91.99</v>
      </c>
      <c r="AW279" s="65">
        <f t="shared" si="115"/>
        <v>13338.55</v>
      </c>
      <c r="AX279" s="24">
        <f t="shared" ref="AX279:AX342" si="131">((AG279+AW279)/AD279)*100</f>
        <v>73.206319893300488</v>
      </c>
      <c r="AY279" s="24"/>
      <c r="AZ279" s="24"/>
      <c r="BA279" s="24"/>
      <c r="BB279" s="24">
        <f t="shared" si="123"/>
        <v>0</v>
      </c>
      <c r="BC279" s="24">
        <f t="shared" si="124"/>
        <v>6528.9500000000044</v>
      </c>
      <c r="BD279" s="24"/>
      <c r="BE279" s="24"/>
      <c r="BF279" s="24"/>
      <c r="BG279" s="24">
        <f>+AB279*9.5%</f>
        <v>2436.75</v>
      </c>
      <c r="BH279" s="24"/>
      <c r="BI279" s="24"/>
      <c r="BJ279" s="24">
        <f t="shared" si="125"/>
        <v>24.3675</v>
      </c>
      <c r="BK279" s="24">
        <f t="shared" si="126"/>
        <v>8941.3325000000041</v>
      </c>
      <c r="BL279" s="24" t="s">
        <v>687</v>
      </c>
      <c r="BM279" s="42">
        <f t="shared" si="117"/>
        <v>2</v>
      </c>
      <c r="BN279" s="24" t="s">
        <v>83</v>
      </c>
      <c r="BO279" s="2" t="s">
        <v>148</v>
      </c>
    </row>
    <row r="280" spans="1:67" s="1" customFormat="1" ht="15" customHeight="1" x14ac:dyDescent="0.3">
      <c r="A280" s="20">
        <v>276</v>
      </c>
      <c r="B280" s="21">
        <v>46099</v>
      </c>
      <c r="C280" s="21">
        <v>46105</v>
      </c>
      <c r="D280" s="50" t="s">
        <v>165</v>
      </c>
      <c r="E280" s="23">
        <v>46108</v>
      </c>
      <c r="F280" s="23" t="s">
        <v>7</v>
      </c>
      <c r="G280" s="24" t="s">
        <v>68</v>
      </c>
      <c r="H280" s="24" t="s">
        <v>69</v>
      </c>
      <c r="I280" s="24" t="s">
        <v>166</v>
      </c>
      <c r="J280" s="25" t="s">
        <v>924</v>
      </c>
      <c r="K280" s="45" t="str">
        <f t="shared" si="118"/>
        <v>WB41H1234</v>
      </c>
      <c r="L280" s="26">
        <v>46102</v>
      </c>
      <c r="M280" s="34" t="s">
        <v>1570</v>
      </c>
      <c r="N280" s="27" t="s">
        <v>1571</v>
      </c>
      <c r="O280" s="28">
        <v>0</v>
      </c>
      <c r="P280" s="27" t="s">
        <v>1572</v>
      </c>
      <c r="Q280" s="29">
        <v>2525370636</v>
      </c>
      <c r="R280" s="30">
        <v>2110817982</v>
      </c>
      <c r="S280" s="31" t="s">
        <v>73</v>
      </c>
      <c r="T280" s="24" t="s">
        <v>91</v>
      </c>
      <c r="U280" s="24" t="s">
        <v>75</v>
      </c>
      <c r="V280" s="32" t="s">
        <v>483</v>
      </c>
      <c r="W280" s="32" t="s">
        <v>1573</v>
      </c>
      <c r="X280" s="32" t="s">
        <v>1574</v>
      </c>
      <c r="Y280" s="24">
        <v>1063</v>
      </c>
      <c r="Z280" s="24">
        <v>25</v>
      </c>
      <c r="AA280" s="24">
        <f t="shared" si="119"/>
        <v>1009.85</v>
      </c>
      <c r="AB280" s="24">
        <f t="shared" si="111"/>
        <v>26575</v>
      </c>
      <c r="AC280" s="24">
        <f t="shared" si="112"/>
        <v>25246.25</v>
      </c>
      <c r="AD280" s="24">
        <f t="shared" si="113"/>
        <v>25246.25</v>
      </c>
      <c r="AE280" s="24">
        <f t="shared" si="114"/>
        <v>1328.75</v>
      </c>
      <c r="AF280" s="24">
        <v>0</v>
      </c>
      <c r="AG280" s="33">
        <v>3500</v>
      </c>
      <c r="AH280" s="24"/>
      <c r="AI280" s="24"/>
      <c r="AJ280" s="24"/>
      <c r="AK280" s="24"/>
      <c r="AL280" s="24"/>
      <c r="AM280" s="24" t="s">
        <v>79</v>
      </c>
      <c r="AN280" s="34" t="s">
        <v>1575</v>
      </c>
      <c r="AO280" s="35" t="s">
        <v>973</v>
      </c>
      <c r="AP280" s="24">
        <f>258*2</f>
        <v>516</v>
      </c>
      <c r="AQ280" s="36">
        <f t="shared" si="120"/>
        <v>158.76923076923077</v>
      </c>
      <c r="AR280" s="67">
        <v>165</v>
      </c>
      <c r="AS280" s="68">
        <f t="shared" si="121"/>
        <v>6.2307692307692264</v>
      </c>
      <c r="AT280" s="69"/>
      <c r="AU280" s="68">
        <f t="shared" si="122"/>
        <v>6.2307692307692264</v>
      </c>
      <c r="AV280" s="70">
        <v>91.99</v>
      </c>
      <c r="AW280" s="65">
        <f t="shared" si="115"/>
        <v>15178.349999999999</v>
      </c>
      <c r="AX280" s="24">
        <f t="shared" si="131"/>
        <v>73.984651185819672</v>
      </c>
      <c r="AY280" s="24"/>
      <c r="AZ280" s="24"/>
      <c r="BA280" s="24"/>
      <c r="BB280" s="24">
        <f t="shared" si="123"/>
        <v>0</v>
      </c>
      <c r="BC280" s="24">
        <f t="shared" si="124"/>
        <v>6567.9000000000015</v>
      </c>
      <c r="BD280" s="24"/>
      <c r="BE280" s="24"/>
      <c r="BF280" s="24"/>
      <c r="BG280" s="24">
        <f>+AB280*9.5%</f>
        <v>2524.625</v>
      </c>
      <c r="BH280" s="24"/>
      <c r="BI280" s="24"/>
      <c r="BJ280" s="24">
        <f t="shared" si="125"/>
        <v>25.24625</v>
      </c>
      <c r="BK280" s="24">
        <f t="shared" si="126"/>
        <v>9067.2787500000013</v>
      </c>
      <c r="BL280" s="24" t="s">
        <v>687</v>
      </c>
      <c r="BM280" s="42">
        <f t="shared" si="117"/>
        <v>4</v>
      </c>
      <c r="BN280" s="24" t="s">
        <v>174</v>
      </c>
      <c r="BO280" s="2" t="s">
        <v>175</v>
      </c>
    </row>
    <row r="281" spans="1:67" s="1" customFormat="1" ht="15" customHeight="1" x14ac:dyDescent="0.3">
      <c r="A281" s="20">
        <v>277</v>
      </c>
      <c r="B281" s="21">
        <v>46099</v>
      </c>
      <c r="C281" s="21">
        <v>46102</v>
      </c>
      <c r="D281" s="52" t="s">
        <v>855</v>
      </c>
      <c r="E281" s="23">
        <v>46104</v>
      </c>
      <c r="F281" s="23" t="s">
        <v>7</v>
      </c>
      <c r="G281" s="24" t="s">
        <v>68</v>
      </c>
      <c r="H281" s="24" t="s">
        <v>69</v>
      </c>
      <c r="I281" s="24" t="s">
        <v>800</v>
      </c>
      <c r="J281" s="25" t="s">
        <v>801</v>
      </c>
      <c r="K281" s="45" t="str">
        <f t="shared" si="118"/>
        <v>WB41P4782</v>
      </c>
      <c r="L281" s="26">
        <v>46100</v>
      </c>
      <c r="M281" s="34" t="s">
        <v>1576</v>
      </c>
      <c r="N281" s="27" t="s">
        <v>1577</v>
      </c>
      <c r="O281" s="28">
        <v>0</v>
      </c>
      <c r="P281" s="27" t="s">
        <v>1578</v>
      </c>
      <c r="Q281" s="29">
        <v>2525370681</v>
      </c>
      <c r="R281" s="30">
        <v>2110818025</v>
      </c>
      <c r="S281" s="31" t="s">
        <v>73</v>
      </c>
      <c r="T281" s="24" t="s">
        <v>188</v>
      </c>
      <c r="U281" s="24" t="s">
        <v>75</v>
      </c>
      <c r="V281" s="32" t="s">
        <v>805</v>
      </c>
      <c r="W281" s="32" t="s">
        <v>208</v>
      </c>
      <c r="X281" s="32" t="s">
        <v>208</v>
      </c>
      <c r="Y281" s="24">
        <v>365</v>
      </c>
      <c r="Z281" s="24">
        <v>13</v>
      </c>
      <c r="AA281" s="24">
        <f>+Y281/100*93</f>
        <v>339.45</v>
      </c>
      <c r="AB281" s="24">
        <f t="shared" si="111"/>
        <v>4745</v>
      </c>
      <c r="AC281" s="24">
        <f t="shared" si="112"/>
        <v>4507.75</v>
      </c>
      <c r="AD281" s="24">
        <f t="shared" si="113"/>
        <v>4412.8499999999995</v>
      </c>
      <c r="AE281" s="24">
        <f t="shared" si="114"/>
        <v>332.15000000000055</v>
      </c>
      <c r="AF281" s="24">
        <f t="shared" si="110"/>
        <v>44.128499999999995</v>
      </c>
      <c r="AG281" s="33">
        <v>1650</v>
      </c>
      <c r="AH281" s="24"/>
      <c r="AI281" s="24"/>
      <c r="AJ281" s="24"/>
      <c r="AK281" s="24"/>
      <c r="AL281" s="24"/>
      <c r="AM281" s="24" t="s">
        <v>79</v>
      </c>
      <c r="AN281" s="34" t="s">
        <v>1579</v>
      </c>
      <c r="AO281" s="35" t="s">
        <v>973</v>
      </c>
      <c r="AP281" s="24">
        <f>52*2</f>
        <v>104</v>
      </c>
      <c r="AQ281" s="36">
        <f t="shared" si="120"/>
        <v>32</v>
      </c>
      <c r="AR281" s="67">
        <v>22</v>
      </c>
      <c r="AS281" s="68">
        <f t="shared" si="121"/>
        <v>-10</v>
      </c>
      <c r="AT281" s="69"/>
      <c r="AU281" s="68">
        <f t="shared" si="122"/>
        <v>-10</v>
      </c>
      <c r="AV281" s="70">
        <v>91.99</v>
      </c>
      <c r="AW281" s="65">
        <f t="shared" si="115"/>
        <v>2023.78</v>
      </c>
      <c r="AX281" s="24">
        <f t="shared" si="131"/>
        <v>83.251866707456628</v>
      </c>
      <c r="AY281" s="24"/>
      <c r="AZ281" s="24"/>
      <c r="BA281" s="24"/>
      <c r="BB281" s="24">
        <f t="shared" si="123"/>
        <v>0</v>
      </c>
      <c r="BC281" s="24">
        <f t="shared" si="124"/>
        <v>694.94149999999968</v>
      </c>
      <c r="BD281" s="24">
        <v>40</v>
      </c>
      <c r="BE281" s="24">
        <v>40</v>
      </c>
      <c r="BF281" s="24"/>
      <c r="BG281" s="24">
        <f>+AB281*9.5%</f>
        <v>450.77499999999998</v>
      </c>
      <c r="BH281" s="24"/>
      <c r="BI281" s="24"/>
      <c r="BJ281" s="24">
        <f t="shared" si="125"/>
        <v>4.5077499999999997</v>
      </c>
      <c r="BK281" s="24">
        <f t="shared" si="126"/>
        <v>1221.2087499999996</v>
      </c>
      <c r="BL281" s="24" t="s">
        <v>807</v>
      </c>
      <c r="BM281" s="42">
        <f t="shared" si="117"/>
        <v>2</v>
      </c>
      <c r="BN281" s="24" t="s">
        <v>83</v>
      </c>
      <c r="BO281" s="2" t="s">
        <v>84</v>
      </c>
    </row>
    <row r="282" spans="1:67" s="1" customFormat="1" ht="15" customHeight="1" x14ac:dyDescent="0.3">
      <c r="A282" s="20">
        <v>278</v>
      </c>
      <c r="B282" s="21">
        <v>46100</v>
      </c>
      <c r="C282" s="21">
        <v>46112</v>
      </c>
      <c r="D282" s="62" t="s">
        <v>1380</v>
      </c>
      <c r="E282" s="23">
        <v>46116</v>
      </c>
      <c r="F282" s="23" t="s">
        <v>7</v>
      </c>
      <c r="G282" s="24" t="s">
        <v>68</v>
      </c>
      <c r="H282" s="24" t="s">
        <v>69</v>
      </c>
      <c r="I282" s="24" t="s">
        <v>70</v>
      </c>
      <c r="J282" s="25" t="s">
        <v>630</v>
      </c>
      <c r="K282" s="45" t="str">
        <f t="shared" si="118"/>
        <v>WB39B8879</v>
      </c>
      <c r="L282" s="26">
        <v>46101</v>
      </c>
      <c r="M282" s="34" t="s">
        <v>1580</v>
      </c>
      <c r="N282" s="27" t="s">
        <v>1581</v>
      </c>
      <c r="O282" s="28">
        <v>0</v>
      </c>
      <c r="P282" s="27" t="s">
        <v>1582</v>
      </c>
      <c r="Q282" s="29">
        <v>2525370929</v>
      </c>
      <c r="R282" s="30">
        <v>2110818394</v>
      </c>
      <c r="S282" s="31" t="s">
        <v>73</v>
      </c>
      <c r="T282" s="24" t="s">
        <v>91</v>
      </c>
      <c r="U282" s="24" t="s">
        <v>75</v>
      </c>
      <c r="V282" s="32" t="s">
        <v>616</v>
      </c>
      <c r="W282" s="32" t="s">
        <v>574</v>
      </c>
      <c r="X282" s="32"/>
      <c r="Y282" s="24">
        <v>934</v>
      </c>
      <c r="Z282" s="24">
        <v>25</v>
      </c>
      <c r="AA282" s="24">
        <f t="shared" si="119"/>
        <v>887.3</v>
      </c>
      <c r="AB282" s="24">
        <f t="shared" si="111"/>
        <v>23350</v>
      </c>
      <c r="AC282" s="24">
        <f t="shared" si="112"/>
        <v>22182.5</v>
      </c>
      <c r="AD282" s="24">
        <f t="shared" si="113"/>
        <v>22182.5</v>
      </c>
      <c r="AE282" s="24">
        <f t="shared" si="114"/>
        <v>1167.5</v>
      </c>
      <c r="AF282" s="24">
        <f t="shared" si="110"/>
        <v>221.82500000000002</v>
      </c>
      <c r="AG282" s="33">
        <v>3600</v>
      </c>
      <c r="AH282" s="24"/>
      <c r="AI282" s="24"/>
      <c r="AJ282" s="24"/>
      <c r="AK282" s="24"/>
      <c r="AL282" s="24"/>
      <c r="AM282" s="24" t="s">
        <v>79</v>
      </c>
      <c r="AN282" s="34" t="s">
        <v>1583</v>
      </c>
      <c r="AO282" s="35" t="s">
        <v>973</v>
      </c>
      <c r="AP282" s="24">
        <f>225*2</f>
        <v>450</v>
      </c>
      <c r="AQ282" s="36">
        <f t="shared" si="120"/>
        <v>138.46153846153845</v>
      </c>
      <c r="AR282" s="67">
        <v>150</v>
      </c>
      <c r="AS282" s="68">
        <f t="shared" si="121"/>
        <v>11.538461538461547</v>
      </c>
      <c r="AT282" s="69"/>
      <c r="AU282" s="68">
        <f t="shared" si="122"/>
        <v>11.538461538461547</v>
      </c>
      <c r="AV282" s="70">
        <v>91.99</v>
      </c>
      <c r="AW282" s="65">
        <f t="shared" si="115"/>
        <v>13798.5</v>
      </c>
      <c r="AX282" s="24">
        <f t="shared" si="131"/>
        <v>78.433449791502312</v>
      </c>
      <c r="AY282" s="24"/>
      <c r="AZ282" s="24"/>
      <c r="BA282" s="24"/>
      <c r="BB282" s="24">
        <f t="shared" si="123"/>
        <v>0</v>
      </c>
      <c r="BC282" s="24">
        <f t="shared" si="124"/>
        <v>4562.1749999999993</v>
      </c>
      <c r="BD282" s="24"/>
      <c r="BE282" s="24"/>
      <c r="BF282" s="24"/>
      <c r="BG282" s="24">
        <f>+AD282*9.5%</f>
        <v>2107.3375000000001</v>
      </c>
      <c r="BH282" s="24"/>
      <c r="BI282" s="24"/>
      <c r="BJ282" s="24">
        <f t="shared" si="125"/>
        <v>21.073375000000002</v>
      </c>
      <c r="BK282" s="24">
        <f t="shared" si="126"/>
        <v>6648.439124999999</v>
      </c>
      <c r="BL282" s="24" t="s">
        <v>638</v>
      </c>
      <c r="BM282" s="42">
        <f t="shared" si="117"/>
        <v>2</v>
      </c>
      <c r="BN282" s="24" t="s">
        <v>83</v>
      </c>
      <c r="BO282" s="2" t="s">
        <v>175</v>
      </c>
    </row>
    <row r="283" spans="1:67" s="1" customFormat="1" ht="15" customHeight="1" x14ac:dyDescent="0.3">
      <c r="A283" s="20">
        <v>279</v>
      </c>
      <c r="B283" s="21">
        <v>46100</v>
      </c>
      <c r="C283" s="21">
        <v>46102</v>
      </c>
      <c r="D283" s="62" t="s">
        <v>1380</v>
      </c>
      <c r="E283" s="23">
        <v>46116</v>
      </c>
      <c r="F283" s="23" t="s">
        <v>7</v>
      </c>
      <c r="G283" s="24" t="s">
        <v>68</v>
      </c>
      <c r="H283" s="24" t="s">
        <v>69</v>
      </c>
      <c r="I283" s="24" t="s">
        <v>70</v>
      </c>
      <c r="J283" s="25" t="s">
        <v>71</v>
      </c>
      <c r="K283" s="45" t="str">
        <f t="shared" si="118"/>
        <v>WB39B0034</v>
      </c>
      <c r="L283" s="26">
        <v>46101</v>
      </c>
      <c r="M283" s="34" t="s">
        <v>1584</v>
      </c>
      <c r="N283" s="27" t="s">
        <v>1585</v>
      </c>
      <c r="O283" s="28">
        <v>0</v>
      </c>
      <c r="P283" s="27" t="s">
        <v>1586</v>
      </c>
      <c r="Q283" s="29">
        <v>2525370919</v>
      </c>
      <c r="R283" s="30">
        <v>2110818390</v>
      </c>
      <c r="S283" s="63" t="s">
        <v>73</v>
      </c>
      <c r="T283" s="24" t="s">
        <v>74</v>
      </c>
      <c r="U283" s="24" t="s">
        <v>75</v>
      </c>
      <c r="V283" s="32" t="s">
        <v>1587</v>
      </c>
      <c r="W283" s="32" t="s">
        <v>208</v>
      </c>
      <c r="X283" s="32" t="s">
        <v>1588</v>
      </c>
      <c r="Y283" s="24">
        <v>604</v>
      </c>
      <c r="Z283" s="24">
        <v>19</v>
      </c>
      <c r="AA283" s="24">
        <f t="shared" si="119"/>
        <v>573.79999999999995</v>
      </c>
      <c r="AB283" s="24">
        <f t="shared" si="111"/>
        <v>11476</v>
      </c>
      <c r="AC283" s="24">
        <f t="shared" si="112"/>
        <v>10902.2</v>
      </c>
      <c r="AD283" s="24">
        <f t="shared" si="113"/>
        <v>10902.199999999999</v>
      </c>
      <c r="AE283" s="24">
        <f t="shared" si="114"/>
        <v>573.80000000000109</v>
      </c>
      <c r="AF283" s="24">
        <f t="shared" si="110"/>
        <v>109.02199999999999</v>
      </c>
      <c r="AG283" s="33">
        <v>3100</v>
      </c>
      <c r="AH283" s="24"/>
      <c r="AI283" s="24"/>
      <c r="AJ283" s="24"/>
      <c r="AK283" s="24"/>
      <c r="AL283" s="24"/>
      <c r="AM283" s="24" t="s">
        <v>79</v>
      </c>
      <c r="AN283" s="34" t="s">
        <v>1589</v>
      </c>
      <c r="AO283" s="35" t="s">
        <v>973</v>
      </c>
      <c r="AP283" s="24">
        <f>108*2</f>
        <v>216</v>
      </c>
      <c r="AQ283" s="36">
        <f t="shared" si="120"/>
        <v>66.461538461538467</v>
      </c>
      <c r="AR283" s="67">
        <v>60</v>
      </c>
      <c r="AS283" s="68">
        <f t="shared" si="121"/>
        <v>-6.461538461538467</v>
      </c>
      <c r="AT283" s="69"/>
      <c r="AU283" s="68">
        <f t="shared" si="122"/>
        <v>-6.461538461538467</v>
      </c>
      <c r="AV283" s="70">
        <v>91.99</v>
      </c>
      <c r="AW283" s="65">
        <f t="shared" si="115"/>
        <v>5519.4</v>
      </c>
      <c r="AX283" s="24">
        <f t="shared" si="131"/>
        <v>79.061106932545727</v>
      </c>
      <c r="AY283" s="24">
        <v>120</v>
      </c>
      <c r="AZ283" s="24"/>
      <c r="BA283" s="24"/>
      <c r="BB283" s="24">
        <f t="shared" si="123"/>
        <v>0</v>
      </c>
      <c r="BC283" s="24">
        <f t="shared" si="124"/>
        <v>2053.7779999999984</v>
      </c>
      <c r="BD283" s="24">
        <v>110</v>
      </c>
      <c r="BE283" s="24">
        <v>110</v>
      </c>
      <c r="BF283" s="24"/>
      <c r="BG283" s="24">
        <f>+AD283*8.5%</f>
        <v>926.68700000000001</v>
      </c>
      <c r="BH283" s="24">
        <f>+AD283*8.5%</f>
        <v>926.68700000000001</v>
      </c>
      <c r="BI283" s="24"/>
      <c r="BJ283" s="24">
        <f t="shared" si="125"/>
        <v>18.533740000000002</v>
      </c>
      <c r="BK283" s="24">
        <f t="shared" si="126"/>
        <v>4108.6182599999984</v>
      </c>
      <c r="BL283" s="24" t="s">
        <v>82</v>
      </c>
      <c r="BM283" s="42">
        <f t="shared" si="117"/>
        <v>2</v>
      </c>
      <c r="BN283" s="24" t="s">
        <v>83</v>
      </c>
      <c r="BO283" s="2" t="s">
        <v>84</v>
      </c>
    </row>
    <row r="284" spans="1:67" s="1" customFormat="1" ht="15" customHeight="1" x14ac:dyDescent="0.3">
      <c r="A284" s="20">
        <v>280</v>
      </c>
      <c r="B284" s="21">
        <v>46100</v>
      </c>
      <c r="C284" s="21">
        <v>46102</v>
      </c>
      <c r="D284" s="52" t="s">
        <v>718</v>
      </c>
      <c r="E284" s="23">
        <v>46105</v>
      </c>
      <c r="F284" s="23" t="s">
        <v>7</v>
      </c>
      <c r="G284" s="24" t="s">
        <v>68</v>
      </c>
      <c r="H284" s="24" t="s">
        <v>69</v>
      </c>
      <c r="I284" s="24" t="s">
        <v>236</v>
      </c>
      <c r="J284" s="25" t="s">
        <v>237</v>
      </c>
      <c r="K284" s="45" t="str">
        <f t="shared" si="118"/>
        <v>WB41J9798</v>
      </c>
      <c r="L284" s="26">
        <v>46101</v>
      </c>
      <c r="M284" s="34" t="s">
        <v>1590</v>
      </c>
      <c r="N284" s="27" t="s">
        <v>1591</v>
      </c>
      <c r="O284" s="28">
        <v>0</v>
      </c>
      <c r="P284" s="27" t="s">
        <v>1592</v>
      </c>
      <c r="Q284" s="29">
        <v>2525370969</v>
      </c>
      <c r="R284" s="30">
        <v>2110818437</v>
      </c>
      <c r="S284" s="31" t="s">
        <v>73</v>
      </c>
      <c r="T284" s="24" t="s">
        <v>241</v>
      </c>
      <c r="U284" s="24" t="s">
        <v>75</v>
      </c>
      <c r="V284" s="32" t="s">
        <v>491</v>
      </c>
      <c r="W284" s="32" t="s">
        <v>838</v>
      </c>
      <c r="X284" s="32" t="s">
        <v>1593</v>
      </c>
      <c r="Y284" s="24">
        <v>1047</v>
      </c>
      <c r="Z284" s="24">
        <v>30</v>
      </c>
      <c r="AA284" s="24">
        <f t="shared" si="119"/>
        <v>994.65000000000009</v>
      </c>
      <c r="AB284" s="24">
        <f t="shared" si="111"/>
        <v>31410</v>
      </c>
      <c r="AC284" s="24">
        <f t="shared" si="112"/>
        <v>29839.500000000004</v>
      </c>
      <c r="AD284" s="24">
        <f t="shared" si="113"/>
        <v>29839.500000000004</v>
      </c>
      <c r="AE284" s="24">
        <f t="shared" si="114"/>
        <v>1570.4999999999964</v>
      </c>
      <c r="AF284" s="24">
        <v>0</v>
      </c>
      <c r="AG284" s="33">
        <v>5200</v>
      </c>
      <c r="AH284" s="24"/>
      <c r="AI284" s="24"/>
      <c r="AJ284" s="24"/>
      <c r="AK284" s="24"/>
      <c r="AL284" s="24"/>
      <c r="AM284" s="24" t="s">
        <v>79</v>
      </c>
      <c r="AN284" s="34" t="s">
        <v>1594</v>
      </c>
      <c r="AO284" s="35" t="s">
        <v>973</v>
      </c>
      <c r="AP284" s="24">
        <f>240*2</f>
        <v>480</v>
      </c>
      <c r="AQ284" s="36">
        <f t="shared" si="120"/>
        <v>147.69230769230768</v>
      </c>
      <c r="AR284" s="67">
        <v>170</v>
      </c>
      <c r="AS284" s="68">
        <f t="shared" si="121"/>
        <v>22.307692307692321</v>
      </c>
      <c r="AT284" s="69"/>
      <c r="AU284" s="68">
        <f t="shared" si="122"/>
        <v>22.307692307692321</v>
      </c>
      <c r="AV284" s="70">
        <v>91.99</v>
      </c>
      <c r="AW284" s="65">
        <f t="shared" si="115"/>
        <v>15638.3</v>
      </c>
      <c r="AX284" s="24">
        <f t="shared" si="131"/>
        <v>69.834615191273301</v>
      </c>
      <c r="AY284" s="24"/>
      <c r="AZ284" s="24"/>
      <c r="BA284" s="24"/>
      <c r="BB284" s="24">
        <f t="shared" si="123"/>
        <v>0</v>
      </c>
      <c r="BC284" s="24">
        <f t="shared" si="124"/>
        <v>9001.2000000000044</v>
      </c>
      <c r="BD284" s="24">
        <v>120</v>
      </c>
      <c r="BE284" s="24">
        <v>0</v>
      </c>
      <c r="BF284" s="24"/>
      <c r="BG284" s="24">
        <f t="shared" ref="BG284:BG295" si="132">+AB284*9.5%</f>
        <v>2983.95</v>
      </c>
      <c r="BH284" s="24"/>
      <c r="BI284" s="24"/>
      <c r="BJ284" s="24">
        <f t="shared" si="125"/>
        <v>29.839499999999997</v>
      </c>
      <c r="BK284" s="24">
        <f t="shared" si="126"/>
        <v>12075.310500000005</v>
      </c>
      <c r="BL284" s="24" t="s">
        <v>245</v>
      </c>
      <c r="BM284" s="42">
        <f t="shared" si="117"/>
        <v>2</v>
      </c>
      <c r="BN284" s="24" t="s">
        <v>83</v>
      </c>
      <c r="BO284" s="2" t="s">
        <v>84</v>
      </c>
    </row>
    <row r="285" spans="1:67" s="1" customFormat="1" ht="15" customHeight="1" x14ac:dyDescent="0.3">
      <c r="A285" s="20">
        <v>281</v>
      </c>
      <c r="B285" s="21">
        <v>46100</v>
      </c>
      <c r="C285" s="21">
        <v>46102</v>
      </c>
      <c r="D285" s="52" t="s">
        <v>1062</v>
      </c>
      <c r="E285" s="23">
        <v>46104</v>
      </c>
      <c r="F285" s="23" t="s">
        <v>7</v>
      </c>
      <c r="G285" s="24" t="s">
        <v>87</v>
      </c>
      <c r="H285" s="24" t="s">
        <v>69</v>
      </c>
      <c r="I285" s="24" t="s">
        <v>122</v>
      </c>
      <c r="J285" s="25" t="s">
        <v>123</v>
      </c>
      <c r="K285" s="45" t="str">
        <f t="shared" si="118"/>
        <v>WB23C9555</v>
      </c>
      <c r="L285" s="26">
        <v>46101</v>
      </c>
      <c r="M285" s="34" t="s">
        <v>1595</v>
      </c>
      <c r="N285" s="27" t="s">
        <v>1596</v>
      </c>
      <c r="O285" s="28">
        <v>0</v>
      </c>
      <c r="P285" s="27"/>
      <c r="Q285" s="29">
        <v>2525371315</v>
      </c>
      <c r="R285" s="30">
        <v>2110818504</v>
      </c>
      <c r="S285" s="31" t="s">
        <v>73</v>
      </c>
      <c r="T285" s="24" t="s">
        <v>91</v>
      </c>
      <c r="U285" s="24" t="s">
        <v>92</v>
      </c>
      <c r="V285" s="32" t="s">
        <v>1260</v>
      </c>
      <c r="W285" s="32" t="s">
        <v>1261</v>
      </c>
      <c r="X285" s="32" t="s">
        <v>1261</v>
      </c>
      <c r="Y285" s="24">
        <v>410</v>
      </c>
      <c r="Z285" s="24">
        <v>25</v>
      </c>
      <c r="AA285" s="24">
        <f t="shared" si="119"/>
        <v>389.49999999999994</v>
      </c>
      <c r="AB285" s="24">
        <f t="shared" si="111"/>
        <v>10250</v>
      </c>
      <c r="AC285" s="24">
        <f t="shared" si="112"/>
        <v>9737.5</v>
      </c>
      <c r="AD285" s="24">
        <f t="shared" si="113"/>
        <v>9737.4999999999982</v>
      </c>
      <c r="AE285" s="24">
        <f t="shared" si="114"/>
        <v>512.50000000000182</v>
      </c>
      <c r="AF285" s="24">
        <v>0</v>
      </c>
      <c r="AG285" s="33">
        <v>3900</v>
      </c>
      <c r="AH285" s="24"/>
      <c r="AI285" s="24">
        <v>30000</v>
      </c>
      <c r="AJ285" s="24"/>
      <c r="AK285" s="24">
        <v>115</v>
      </c>
      <c r="AL285" s="24"/>
      <c r="AM285" s="24" t="s">
        <v>79</v>
      </c>
      <c r="AN285" s="34" t="s">
        <v>1597</v>
      </c>
      <c r="AO285" s="35" t="s">
        <v>973</v>
      </c>
      <c r="AP285" s="24">
        <f>70*2</f>
        <v>140</v>
      </c>
      <c r="AQ285" s="36">
        <f t="shared" si="120"/>
        <v>43.07692307692308</v>
      </c>
      <c r="AR285" s="67">
        <v>45</v>
      </c>
      <c r="AS285" s="47">
        <f t="shared" si="121"/>
        <v>1.9230769230769198</v>
      </c>
      <c r="AT285" s="31"/>
      <c r="AU285" s="47">
        <f t="shared" si="122"/>
        <v>1.9230769230769198</v>
      </c>
      <c r="AV285" s="70">
        <v>91.99</v>
      </c>
      <c r="AW285" s="65">
        <f t="shared" si="115"/>
        <v>4139.55</v>
      </c>
      <c r="AX285" s="24">
        <f t="shared" si="131"/>
        <v>82.562772785622613</v>
      </c>
      <c r="AY285" s="24"/>
      <c r="AZ285" s="24"/>
      <c r="BA285" s="24"/>
      <c r="BB285" s="24">
        <f t="shared" si="123"/>
        <v>0</v>
      </c>
      <c r="BC285" s="24">
        <f t="shared" si="124"/>
        <v>-28417.05</v>
      </c>
      <c r="BD285" s="24"/>
      <c r="BE285" s="24"/>
      <c r="BF285" s="24">
        <v>750</v>
      </c>
      <c r="BG285" s="24">
        <f t="shared" si="132"/>
        <v>973.75</v>
      </c>
      <c r="BH285" s="24"/>
      <c r="BI285" s="24"/>
      <c r="BJ285" s="24">
        <f t="shared" si="125"/>
        <v>17.237500000000001</v>
      </c>
      <c r="BK285" s="24">
        <f t="shared" si="126"/>
        <v>-26710.537499999999</v>
      </c>
      <c r="BL285" s="24" t="s">
        <v>128</v>
      </c>
      <c r="BM285" s="42">
        <f t="shared" si="117"/>
        <v>2</v>
      </c>
      <c r="BN285" s="24" t="s">
        <v>83</v>
      </c>
      <c r="BO285" s="2" t="s">
        <v>129</v>
      </c>
    </row>
    <row r="286" spans="1:67" s="1" customFormat="1" ht="15" customHeight="1" x14ac:dyDescent="0.3">
      <c r="A286" s="20">
        <v>282</v>
      </c>
      <c r="B286" s="21">
        <v>46100</v>
      </c>
      <c r="C286" s="21">
        <v>46102</v>
      </c>
      <c r="D286" s="52" t="s">
        <v>1062</v>
      </c>
      <c r="E286" s="23">
        <v>46104</v>
      </c>
      <c r="F286" s="23" t="s">
        <v>7</v>
      </c>
      <c r="G286" s="24" t="s">
        <v>87</v>
      </c>
      <c r="H286" s="24" t="s">
        <v>69</v>
      </c>
      <c r="I286" s="24" t="s">
        <v>236</v>
      </c>
      <c r="J286" s="25" t="s">
        <v>366</v>
      </c>
      <c r="K286" s="45" t="str">
        <f t="shared" si="118"/>
        <v>WB41J5775</v>
      </c>
      <c r="L286" s="26">
        <v>46101</v>
      </c>
      <c r="M286" s="34" t="s">
        <v>1598</v>
      </c>
      <c r="N286" s="27" t="s">
        <v>1599</v>
      </c>
      <c r="O286" s="28">
        <v>0</v>
      </c>
      <c r="P286" s="27"/>
      <c r="Q286" s="29">
        <v>2525371511</v>
      </c>
      <c r="R286" s="30">
        <v>2110819200</v>
      </c>
      <c r="S286" s="31" t="s">
        <v>73</v>
      </c>
      <c r="T286" s="24" t="s">
        <v>91</v>
      </c>
      <c r="U286" s="24" t="s">
        <v>75</v>
      </c>
      <c r="V286" s="32" t="s">
        <v>281</v>
      </c>
      <c r="W286" s="32" t="s">
        <v>1600</v>
      </c>
      <c r="X286" s="32" t="s">
        <v>1600</v>
      </c>
      <c r="Y286" s="24">
        <v>790</v>
      </c>
      <c r="Z286" s="24">
        <v>15</v>
      </c>
      <c r="AA286" s="24">
        <f t="shared" si="119"/>
        <v>750.5</v>
      </c>
      <c r="AB286" s="24">
        <f t="shared" si="111"/>
        <v>11850</v>
      </c>
      <c r="AC286" s="24">
        <f t="shared" si="112"/>
        <v>11257.5</v>
      </c>
      <c r="AD286" s="24">
        <f t="shared" si="113"/>
        <v>11257.5</v>
      </c>
      <c r="AE286" s="24">
        <f t="shared" si="114"/>
        <v>592.5</v>
      </c>
      <c r="AF286" s="24">
        <v>0</v>
      </c>
      <c r="AG286" s="33">
        <v>3500</v>
      </c>
      <c r="AH286" s="24"/>
      <c r="AI286" s="24"/>
      <c r="AJ286" s="24"/>
      <c r="AK286" s="24"/>
      <c r="AL286" s="24"/>
      <c r="AM286" s="24" t="s">
        <v>79</v>
      </c>
      <c r="AN286" s="34" t="s">
        <v>1601</v>
      </c>
      <c r="AO286" s="35" t="s">
        <v>973</v>
      </c>
      <c r="AP286" s="24">
        <f>164*2</f>
        <v>328</v>
      </c>
      <c r="AQ286" s="36">
        <f t="shared" si="120"/>
        <v>100.92307692307692</v>
      </c>
      <c r="AR286" s="67">
        <v>100</v>
      </c>
      <c r="AS286" s="68">
        <f t="shared" si="121"/>
        <v>-0.9230769230769198</v>
      </c>
      <c r="AT286" s="69"/>
      <c r="AU286" s="68">
        <f t="shared" si="122"/>
        <v>-0.9230769230769198</v>
      </c>
      <c r="AV286" s="70">
        <v>91.88</v>
      </c>
      <c r="AW286" s="65">
        <f t="shared" si="115"/>
        <v>9188</v>
      </c>
      <c r="AX286" s="24">
        <f t="shared" si="131"/>
        <v>112.70708416611149</v>
      </c>
      <c r="AY286" s="24"/>
      <c r="AZ286" s="24"/>
      <c r="BA286" s="24"/>
      <c r="BB286" s="24">
        <f t="shared" si="123"/>
        <v>0</v>
      </c>
      <c r="BC286" s="24">
        <f t="shared" si="124"/>
        <v>-1430.5</v>
      </c>
      <c r="BD286" s="24">
        <v>135</v>
      </c>
      <c r="BE286" s="24">
        <v>135</v>
      </c>
      <c r="BF286" s="24"/>
      <c r="BG286" s="24">
        <f t="shared" si="132"/>
        <v>1125.75</v>
      </c>
      <c r="BH286" s="24"/>
      <c r="BI286" s="24"/>
      <c r="BJ286" s="24">
        <f t="shared" si="125"/>
        <v>11.2575</v>
      </c>
      <c r="BK286" s="24">
        <f t="shared" si="126"/>
        <v>-46.0075</v>
      </c>
      <c r="BL286" s="24" t="s">
        <v>245</v>
      </c>
      <c r="BM286" s="42">
        <f t="shared" si="117"/>
        <v>2</v>
      </c>
      <c r="BN286" s="24" t="s">
        <v>83</v>
      </c>
      <c r="BO286" s="2" t="s">
        <v>148</v>
      </c>
    </row>
    <row r="287" spans="1:67" s="1" customFormat="1" ht="15" customHeight="1" x14ac:dyDescent="0.3">
      <c r="A287" s="20">
        <v>283</v>
      </c>
      <c r="B287" s="21">
        <v>46100</v>
      </c>
      <c r="C287" s="21">
        <v>46102</v>
      </c>
      <c r="D287" s="77" t="s">
        <v>1062</v>
      </c>
      <c r="E287" s="74">
        <v>46104</v>
      </c>
      <c r="F287" s="23" t="s">
        <v>7</v>
      </c>
      <c r="G287" s="24" t="s">
        <v>87</v>
      </c>
      <c r="H287" s="24" t="s">
        <v>69</v>
      </c>
      <c r="I287" s="24" t="s">
        <v>236</v>
      </c>
      <c r="J287" s="25" t="s">
        <v>366</v>
      </c>
      <c r="K287" s="45" t="str">
        <f t="shared" si="118"/>
        <v>WB41J5775</v>
      </c>
      <c r="L287" s="26">
        <v>46101</v>
      </c>
      <c r="M287" s="34" t="s">
        <v>1602</v>
      </c>
      <c r="N287" s="27" t="s">
        <v>1603</v>
      </c>
      <c r="O287" s="28">
        <v>0</v>
      </c>
      <c r="P287" s="27"/>
      <c r="Q287" s="29">
        <v>2525371508</v>
      </c>
      <c r="R287" s="30">
        <v>2110818981</v>
      </c>
      <c r="S287" s="31" t="s">
        <v>73</v>
      </c>
      <c r="T287" s="24" t="s">
        <v>91</v>
      </c>
      <c r="U287" s="24" t="s">
        <v>75</v>
      </c>
      <c r="V287" s="32" t="s">
        <v>281</v>
      </c>
      <c r="W287" s="32" t="s">
        <v>1600</v>
      </c>
      <c r="X287" s="32" t="s">
        <v>1600</v>
      </c>
      <c r="Y287" s="24">
        <v>790</v>
      </c>
      <c r="Z287" s="58">
        <v>10</v>
      </c>
      <c r="AA287" s="58">
        <f t="shared" si="119"/>
        <v>750.5</v>
      </c>
      <c r="AB287" s="24">
        <f t="shared" si="111"/>
        <v>7900</v>
      </c>
      <c r="AC287" s="24">
        <f t="shared" si="112"/>
        <v>7505</v>
      </c>
      <c r="AD287" s="24">
        <f t="shared" si="113"/>
        <v>7505</v>
      </c>
      <c r="AE287" s="24">
        <f t="shared" si="114"/>
        <v>395</v>
      </c>
      <c r="AF287" s="24">
        <v>0</v>
      </c>
      <c r="AG287" s="31"/>
      <c r="AH287" s="24"/>
      <c r="AI287" s="24"/>
      <c r="AJ287" s="24"/>
      <c r="AK287" s="24"/>
      <c r="AL287" s="24"/>
      <c r="AM287" s="24">
        <v>0</v>
      </c>
      <c r="AN287" s="34"/>
      <c r="AO287" s="35"/>
      <c r="AP287" s="24"/>
      <c r="AQ287" s="36">
        <f t="shared" si="120"/>
        <v>0</v>
      </c>
      <c r="AR287" s="16"/>
      <c r="AS287" s="47">
        <f t="shared" si="121"/>
        <v>0</v>
      </c>
      <c r="AT287" s="31"/>
      <c r="AU287" s="47">
        <f t="shared" si="122"/>
        <v>0</v>
      </c>
      <c r="AV287" s="48">
        <v>91.99</v>
      </c>
      <c r="AW287" s="24">
        <f t="shared" si="115"/>
        <v>0</v>
      </c>
      <c r="AX287" s="24">
        <f t="shared" si="131"/>
        <v>0</v>
      </c>
      <c r="AY287" s="24"/>
      <c r="AZ287" s="24"/>
      <c r="BA287" s="24"/>
      <c r="BB287" s="24">
        <f t="shared" si="123"/>
        <v>0</v>
      </c>
      <c r="BC287" s="24">
        <f t="shared" si="124"/>
        <v>7505</v>
      </c>
      <c r="BD287" s="24">
        <v>0</v>
      </c>
      <c r="BE287" s="24">
        <v>0</v>
      </c>
      <c r="BF287" s="24"/>
      <c r="BG287" s="24">
        <f t="shared" si="132"/>
        <v>750.5</v>
      </c>
      <c r="BH287" s="24"/>
      <c r="BI287" s="24"/>
      <c r="BJ287" s="24">
        <f t="shared" si="125"/>
        <v>7.5049999999999999</v>
      </c>
      <c r="BK287" s="24">
        <f t="shared" si="126"/>
        <v>8247.9950000000008</v>
      </c>
      <c r="BL287" s="24" t="s">
        <v>245</v>
      </c>
      <c r="BM287" s="42">
        <f t="shared" si="117"/>
        <v>2</v>
      </c>
      <c r="BN287" s="24" t="s">
        <v>83</v>
      </c>
      <c r="BO287" s="2" t="s">
        <v>148</v>
      </c>
    </row>
    <row r="288" spans="1:67" s="1" customFormat="1" ht="15" customHeight="1" x14ac:dyDescent="0.3">
      <c r="A288" s="20">
        <v>284</v>
      </c>
      <c r="B288" s="21">
        <v>46100</v>
      </c>
      <c r="C288" s="21">
        <v>46105</v>
      </c>
      <c r="D288" s="50" t="s">
        <v>165</v>
      </c>
      <c r="E288" s="23">
        <v>46108</v>
      </c>
      <c r="F288" s="23" t="s">
        <v>7</v>
      </c>
      <c r="G288" s="24" t="s">
        <v>68</v>
      </c>
      <c r="H288" s="24" t="s">
        <v>69</v>
      </c>
      <c r="I288" s="24" t="s">
        <v>106</v>
      </c>
      <c r="J288" s="25" t="s">
        <v>107</v>
      </c>
      <c r="K288" s="45" t="str">
        <f t="shared" si="118"/>
        <v>WB57C7436</v>
      </c>
      <c r="L288" s="26">
        <v>46101</v>
      </c>
      <c r="M288" s="34" t="s">
        <v>1604</v>
      </c>
      <c r="N288" s="27" t="s">
        <v>1605</v>
      </c>
      <c r="O288" s="28">
        <v>0</v>
      </c>
      <c r="P288" s="27" t="s">
        <v>1606</v>
      </c>
      <c r="Q288" s="29">
        <v>2525371455</v>
      </c>
      <c r="R288" s="30">
        <v>2110819164</v>
      </c>
      <c r="S288" s="31" t="s">
        <v>73</v>
      </c>
      <c r="T288" s="24" t="s">
        <v>91</v>
      </c>
      <c r="U288" s="24" t="s">
        <v>75</v>
      </c>
      <c r="V288" s="32" t="s">
        <v>1607</v>
      </c>
      <c r="W288" s="32" t="s">
        <v>298</v>
      </c>
      <c r="X288" s="32" t="s">
        <v>1608</v>
      </c>
      <c r="Y288" s="24">
        <v>705</v>
      </c>
      <c r="Z288" s="24">
        <v>25</v>
      </c>
      <c r="AA288" s="24">
        <f t="shared" si="119"/>
        <v>669.75</v>
      </c>
      <c r="AB288" s="24">
        <f t="shared" si="111"/>
        <v>17625</v>
      </c>
      <c r="AC288" s="24">
        <f t="shared" si="112"/>
        <v>16743.75</v>
      </c>
      <c r="AD288" s="24">
        <f t="shared" si="113"/>
        <v>16743.75</v>
      </c>
      <c r="AE288" s="24">
        <f t="shared" si="114"/>
        <v>881.25</v>
      </c>
      <c r="AF288" s="24">
        <v>0</v>
      </c>
      <c r="AG288" s="33">
        <v>6000</v>
      </c>
      <c r="AH288" s="24">
        <v>1000</v>
      </c>
      <c r="AI288" s="24"/>
      <c r="AJ288" s="24"/>
      <c r="AK288" s="24"/>
      <c r="AL288" s="24"/>
      <c r="AM288" s="24" t="s">
        <v>79</v>
      </c>
      <c r="AN288" s="34" t="s">
        <v>1609</v>
      </c>
      <c r="AO288" s="35" t="s">
        <v>973</v>
      </c>
      <c r="AP288" s="24">
        <f>140*2</f>
        <v>280</v>
      </c>
      <c r="AQ288" s="36">
        <f t="shared" si="120"/>
        <v>86.15384615384616</v>
      </c>
      <c r="AR288" s="67">
        <v>92</v>
      </c>
      <c r="AS288" s="68">
        <f t="shared" si="121"/>
        <v>5.8461538461538396</v>
      </c>
      <c r="AT288" s="69"/>
      <c r="AU288" s="68">
        <f t="shared" si="122"/>
        <v>5.8461538461538396</v>
      </c>
      <c r="AV288" s="70">
        <v>91.99</v>
      </c>
      <c r="AW288" s="65">
        <f t="shared" si="115"/>
        <v>8463.08</v>
      </c>
      <c r="AX288" s="24">
        <f t="shared" si="131"/>
        <v>86.378977230309815</v>
      </c>
      <c r="AY288" s="24"/>
      <c r="AZ288" s="24"/>
      <c r="BA288" s="24"/>
      <c r="BB288" s="24">
        <f t="shared" si="123"/>
        <v>0</v>
      </c>
      <c r="BC288" s="24">
        <f t="shared" si="124"/>
        <v>1280.67</v>
      </c>
      <c r="BD288" s="24"/>
      <c r="BE288" s="24"/>
      <c r="BF288" s="24"/>
      <c r="BG288" s="24">
        <f t="shared" si="132"/>
        <v>1674.375</v>
      </c>
      <c r="BH288" s="24"/>
      <c r="BI288" s="24"/>
      <c r="BJ288" s="24">
        <f t="shared" si="125"/>
        <v>16.743749999999999</v>
      </c>
      <c r="BK288" s="24">
        <f t="shared" si="126"/>
        <v>2938.30125</v>
      </c>
      <c r="BL288" s="24" t="s">
        <v>110</v>
      </c>
      <c r="BM288" s="42">
        <f t="shared" si="117"/>
        <v>2</v>
      </c>
      <c r="BN288" s="24" t="s">
        <v>83</v>
      </c>
      <c r="BO288" s="2" t="s">
        <v>148</v>
      </c>
    </row>
    <row r="289" spans="1:67" s="1" customFormat="1" ht="15" customHeight="1" x14ac:dyDescent="0.3">
      <c r="A289" s="20">
        <v>285</v>
      </c>
      <c r="B289" s="21">
        <v>46100</v>
      </c>
      <c r="C289" s="21">
        <v>46105</v>
      </c>
      <c r="D289" s="62" t="s">
        <v>1380</v>
      </c>
      <c r="E289" s="23">
        <v>46116</v>
      </c>
      <c r="F289" s="23" t="s">
        <v>7</v>
      </c>
      <c r="G289" s="24" t="s">
        <v>68</v>
      </c>
      <c r="H289" s="24" t="s">
        <v>69</v>
      </c>
      <c r="I289" s="24" t="s">
        <v>98</v>
      </c>
      <c r="J289" s="25" t="s">
        <v>99</v>
      </c>
      <c r="K289" s="45" t="str">
        <f t="shared" si="118"/>
        <v>WB65D7397</v>
      </c>
      <c r="L289" s="26">
        <v>46101</v>
      </c>
      <c r="M289" s="34" t="s">
        <v>1610</v>
      </c>
      <c r="N289" s="27" t="s">
        <v>1611</v>
      </c>
      <c r="O289" s="28">
        <v>0</v>
      </c>
      <c r="P289" s="27" t="s">
        <v>1612</v>
      </c>
      <c r="Q289" s="29">
        <v>2525371304</v>
      </c>
      <c r="R289" s="30">
        <v>2110819027</v>
      </c>
      <c r="S289" s="63" t="s">
        <v>73</v>
      </c>
      <c r="T289" s="24" t="s">
        <v>91</v>
      </c>
      <c r="U289" s="24" t="s">
        <v>75</v>
      </c>
      <c r="V289" s="32" t="s">
        <v>1613</v>
      </c>
      <c r="W289" s="32" t="s">
        <v>701</v>
      </c>
      <c r="X289" s="32" t="s">
        <v>1614</v>
      </c>
      <c r="Y289" s="24">
        <v>670</v>
      </c>
      <c r="Z289" s="24">
        <v>25</v>
      </c>
      <c r="AA289" s="24">
        <f t="shared" si="119"/>
        <v>636.5</v>
      </c>
      <c r="AB289" s="24">
        <f t="shared" si="111"/>
        <v>16750</v>
      </c>
      <c r="AC289" s="24">
        <f t="shared" si="112"/>
        <v>15912.5</v>
      </c>
      <c r="AD289" s="24">
        <f t="shared" si="113"/>
        <v>15912.5</v>
      </c>
      <c r="AE289" s="24">
        <f t="shared" si="114"/>
        <v>837.5</v>
      </c>
      <c r="AF289" s="24">
        <v>0</v>
      </c>
      <c r="AG289" s="33">
        <v>3700</v>
      </c>
      <c r="AH289" s="24"/>
      <c r="AI289" s="24"/>
      <c r="AJ289" s="24"/>
      <c r="AK289" s="24"/>
      <c r="AL289" s="24"/>
      <c r="AM289" s="24" t="s">
        <v>79</v>
      </c>
      <c r="AN289" s="34" t="s">
        <v>1615</v>
      </c>
      <c r="AO289" s="35" t="s">
        <v>973</v>
      </c>
      <c r="AP289" s="24">
        <f>134*2</f>
        <v>268</v>
      </c>
      <c r="AQ289" s="36">
        <f t="shared" si="120"/>
        <v>82.461538461538467</v>
      </c>
      <c r="AR289" s="67">
        <v>90</v>
      </c>
      <c r="AS289" s="68">
        <f t="shared" si="121"/>
        <v>7.538461538461533</v>
      </c>
      <c r="AT289" s="69"/>
      <c r="AU289" s="68">
        <f t="shared" si="122"/>
        <v>7.538461538461533</v>
      </c>
      <c r="AV289" s="70">
        <v>91.88</v>
      </c>
      <c r="AW289" s="65">
        <f t="shared" si="115"/>
        <v>8269.1999999999989</v>
      </c>
      <c r="AX289" s="24">
        <f t="shared" si="131"/>
        <v>75.218853102906508</v>
      </c>
      <c r="AY289" s="24"/>
      <c r="AZ289" s="24"/>
      <c r="BA289" s="24"/>
      <c r="BB289" s="24">
        <f t="shared" si="123"/>
        <v>0</v>
      </c>
      <c r="BC289" s="24">
        <f t="shared" si="124"/>
        <v>3943.3000000000011</v>
      </c>
      <c r="BD289" s="24"/>
      <c r="BE289" s="24"/>
      <c r="BF289" s="24"/>
      <c r="BG289" s="24">
        <f>+AD289*9.5%</f>
        <v>1511.6875</v>
      </c>
      <c r="BH289" s="24"/>
      <c r="BI289" s="24"/>
      <c r="BJ289" s="24">
        <f t="shared" si="125"/>
        <v>15.116875</v>
      </c>
      <c r="BK289" s="24">
        <f t="shared" si="126"/>
        <v>5439.8706250000014</v>
      </c>
      <c r="BL289" s="24" t="s">
        <v>105</v>
      </c>
      <c r="BM289" s="42">
        <f t="shared" si="117"/>
        <v>2</v>
      </c>
      <c r="BN289" s="24" t="s">
        <v>83</v>
      </c>
      <c r="BO289" s="2" t="s">
        <v>84</v>
      </c>
    </row>
    <row r="290" spans="1:67" s="1" customFormat="1" ht="15" customHeight="1" x14ac:dyDescent="0.3">
      <c r="A290" s="20">
        <v>286</v>
      </c>
      <c r="B290" s="21">
        <v>46100</v>
      </c>
      <c r="C290" s="71">
        <v>46104</v>
      </c>
      <c r="D290" s="52" t="s">
        <v>1616</v>
      </c>
      <c r="E290" s="23">
        <v>46104</v>
      </c>
      <c r="F290" s="23" t="s">
        <v>7</v>
      </c>
      <c r="G290" s="24" t="s">
        <v>87</v>
      </c>
      <c r="H290" s="24" t="s">
        <v>69</v>
      </c>
      <c r="I290" s="24" t="s">
        <v>389</v>
      </c>
      <c r="J290" s="25" t="s">
        <v>372</v>
      </c>
      <c r="K290" s="45" t="str">
        <f t="shared" si="118"/>
        <v>WB39G7433</v>
      </c>
      <c r="L290" s="26">
        <v>46101</v>
      </c>
      <c r="M290" s="34" t="s">
        <v>1617</v>
      </c>
      <c r="N290" s="27" t="s">
        <v>1618</v>
      </c>
      <c r="O290" s="28">
        <v>0</v>
      </c>
      <c r="P290" s="27"/>
      <c r="Q290" s="29">
        <v>2525371617</v>
      </c>
      <c r="R290" s="30">
        <v>2110818505</v>
      </c>
      <c r="S290" s="31" t="s">
        <v>73</v>
      </c>
      <c r="T290" s="24" t="s">
        <v>91</v>
      </c>
      <c r="U290" s="24" t="s">
        <v>75</v>
      </c>
      <c r="V290" s="32" t="s">
        <v>1619</v>
      </c>
      <c r="W290" s="32" t="s">
        <v>1620</v>
      </c>
      <c r="X290" s="32"/>
      <c r="Y290" s="24">
        <v>1003</v>
      </c>
      <c r="Z290" s="24">
        <v>25</v>
      </c>
      <c r="AA290" s="24">
        <f t="shared" si="119"/>
        <v>952.84999999999991</v>
      </c>
      <c r="AB290" s="24">
        <f t="shared" si="111"/>
        <v>25075</v>
      </c>
      <c r="AC290" s="24">
        <f t="shared" si="112"/>
        <v>23821.25</v>
      </c>
      <c r="AD290" s="24">
        <f t="shared" si="113"/>
        <v>23821.249999999996</v>
      </c>
      <c r="AE290" s="24">
        <f t="shared" si="114"/>
        <v>1253.7500000000036</v>
      </c>
      <c r="AF290" s="24">
        <f>+AD290*1%</f>
        <v>238.21249999999998</v>
      </c>
      <c r="AG290" s="33">
        <v>3700</v>
      </c>
      <c r="AH290" s="24"/>
      <c r="AI290" s="24"/>
      <c r="AJ290" s="24"/>
      <c r="AK290" s="24"/>
      <c r="AL290" s="24"/>
      <c r="AM290" s="24" t="s">
        <v>79</v>
      </c>
      <c r="AN290" s="34" t="s">
        <v>1621</v>
      </c>
      <c r="AO290" s="35" t="s">
        <v>973</v>
      </c>
      <c r="AP290" s="24">
        <f>258*2</f>
        <v>516</v>
      </c>
      <c r="AQ290" s="36">
        <f t="shared" si="120"/>
        <v>158.76923076923077</v>
      </c>
      <c r="AR290" s="67">
        <v>130</v>
      </c>
      <c r="AS290" s="68">
        <f t="shared" si="121"/>
        <v>-28.769230769230774</v>
      </c>
      <c r="AT290" s="69"/>
      <c r="AU290" s="68">
        <f t="shared" si="122"/>
        <v>-28.769230769230774</v>
      </c>
      <c r="AV290" s="70">
        <v>91.99</v>
      </c>
      <c r="AW290" s="65">
        <f t="shared" si="115"/>
        <v>11958.699999999999</v>
      </c>
      <c r="AX290" s="24">
        <f t="shared" si="131"/>
        <v>65.734165923282788</v>
      </c>
      <c r="AY290" s="24"/>
      <c r="AZ290" s="24"/>
      <c r="BA290" s="24"/>
      <c r="BB290" s="24">
        <f t="shared" si="123"/>
        <v>0</v>
      </c>
      <c r="BC290" s="24">
        <f t="shared" si="124"/>
        <v>7924.337499999996</v>
      </c>
      <c r="BD290" s="24">
        <v>135</v>
      </c>
      <c r="BE290" s="24">
        <v>135</v>
      </c>
      <c r="BF290" s="24"/>
      <c r="BG290" s="24">
        <f t="shared" si="132"/>
        <v>2382.125</v>
      </c>
      <c r="BH290" s="24"/>
      <c r="BI290" s="24"/>
      <c r="BJ290" s="24">
        <f t="shared" si="125"/>
        <v>23.821249999999999</v>
      </c>
      <c r="BK290" s="24">
        <f t="shared" si="126"/>
        <v>10552.641249999995</v>
      </c>
      <c r="BL290" s="24" t="s">
        <v>379</v>
      </c>
      <c r="BM290" s="42">
        <f t="shared" si="117"/>
        <v>2</v>
      </c>
      <c r="BN290" s="24" t="s">
        <v>83</v>
      </c>
      <c r="BO290" s="2" t="s">
        <v>148</v>
      </c>
    </row>
    <row r="291" spans="1:67" s="1" customFormat="1" ht="15" customHeight="1" x14ac:dyDescent="0.3">
      <c r="A291" s="20">
        <v>287</v>
      </c>
      <c r="B291" s="21">
        <v>46100</v>
      </c>
      <c r="C291" s="21">
        <v>46107</v>
      </c>
      <c r="D291" s="50" t="s">
        <v>185</v>
      </c>
      <c r="E291" s="23">
        <v>46108</v>
      </c>
      <c r="F291" s="23" t="s">
        <v>7</v>
      </c>
      <c r="G291" s="24" t="s">
        <v>68</v>
      </c>
      <c r="H291" s="24" t="s">
        <v>69</v>
      </c>
      <c r="I291" s="24" t="s">
        <v>166</v>
      </c>
      <c r="J291" s="25" t="s">
        <v>167</v>
      </c>
      <c r="K291" s="45" t="str">
        <f t="shared" si="118"/>
        <v>WB41H0254</v>
      </c>
      <c r="L291" s="26">
        <v>46104</v>
      </c>
      <c r="M291" s="34" t="s">
        <v>1622</v>
      </c>
      <c r="N291" s="27" t="s">
        <v>1623</v>
      </c>
      <c r="O291" s="28">
        <v>0</v>
      </c>
      <c r="P291" s="27" t="s">
        <v>1624</v>
      </c>
      <c r="Q291" s="29">
        <v>2525371676</v>
      </c>
      <c r="R291" s="30">
        <v>2110819311</v>
      </c>
      <c r="S291" s="31" t="s">
        <v>73</v>
      </c>
      <c r="T291" s="24" t="s">
        <v>91</v>
      </c>
      <c r="U291" s="24" t="s">
        <v>75</v>
      </c>
      <c r="V291" s="32" t="s">
        <v>472</v>
      </c>
      <c r="W291" s="32" t="s">
        <v>473</v>
      </c>
      <c r="X291" s="32" t="s">
        <v>473</v>
      </c>
      <c r="Y291" s="24">
        <v>1151</v>
      </c>
      <c r="Z291" s="24">
        <v>25</v>
      </c>
      <c r="AA291" s="24">
        <f t="shared" si="119"/>
        <v>1093.45</v>
      </c>
      <c r="AB291" s="24">
        <f t="shared" si="111"/>
        <v>28775</v>
      </c>
      <c r="AC291" s="24">
        <f t="shared" si="112"/>
        <v>27336.25</v>
      </c>
      <c r="AD291" s="24">
        <f t="shared" si="113"/>
        <v>27336.25</v>
      </c>
      <c r="AE291" s="24">
        <f t="shared" si="114"/>
        <v>1438.75</v>
      </c>
      <c r="AF291" s="24">
        <v>0</v>
      </c>
      <c r="AG291" s="33">
        <v>3700</v>
      </c>
      <c r="AH291" s="24"/>
      <c r="AI291" s="24"/>
      <c r="AJ291" s="24"/>
      <c r="AK291" s="24"/>
      <c r="AL291" s="24"/>
      <c r="AM291" s="24" t="s">
        <v>79</v>
      </c>
      <c r="AN291" s="34" t="s">
        <v>1625</v>
      </c>
      <c r="AO291" s="35" t="s">
        <v>973</v>
      </c>
      <c r="AP291" s="24">
        <f>297*2</f>
        <v>594</v>
      </c>
      <c r="AQ291" s="36">
        <f t="shared" si="120"/>
        <v>182.76923076923077</v>
      </c>
      <c r="AR291" s="67">
        <v>160</v>
      </c>
      <c r="AS291" s="68">
        <f t="shared" si="121"/>
        <v>-22.769230769230774</v>
      </c>
      <c r="AT291" s="69"/>
      <c r="AU291" s="68">
        <f t="shared" si="122"/>
        <v>-22.769230769230774</v>
      </c>
      <c r="AV291" s="70">
        <v>91.99</v>
      </c>
      <c r="AW291" s="65">
        <f t="shared" si="115"/>
        <v>14718.4</v>
      </c>
      <c r="AX291" s="24">
        <f t="shared" si="131"/>
        <v>67.377200603594133</v>
      </c>
      <c r="AY291" s="24"/>
      <c r="AZ291" s="24"/>
      <c r="BA291" s="24"/>
      <c r="BB291" s="24">
        <f t="shared" si="123"/>
        <v>0</v>
      </c>
      <c r="BC291" s="24">
        <f t="shared" si="124"/>
        <v>8917.85</v>
      </c>
      <c r="BD291" s="24">
        <v>135</v>
      </c>
      <c r="BE291" s="24">
        <v>135</v>
      </c>
      <c r="BF291" s="24"/>
      <c r="BG291" s="24">
        <f t="shared" si="132"/>
        <v>2733.625</v>
      </c>
      <c r="BH291" s="24"/>
      <c r="BI291" s="24"/>
      <c r="BJ291" s="24">
        <f t="shared" si="125"/>
        <v>27.33625</v>
      </c>
      <c r="BK291" s="24">
        <f t="shared" si="126"/>
        <v>11894.13875</v>
      </c>
      <c r="BL291" s="24" t="s">
        <v>173</v>
      </c>
      <c r="BM291" s="42">
        <f t="shared" si="117"/>
        <v>5</v>
      </c>
      <c r="BN291" s="24" t="s">
        <v>1542</v>
      </c>
      <c r="BO291" s="2" t="s">
        <v>175</v>
      </c>
    </row>
    <row r="292" spans="1:67" s="1" customFormat="1" ht="15" customHeight="1" x14ac:dyDescent="0.3">
      <c r="A292" s="20">
        <v>288</v>
      </c>
      <c r="B292" s="21">
        <v>46100</v>
      </c>
      <c r="C292" s="21">
        <v>46102</v>
      </c>
      <c r="D292" s="50" t="s">
        <v>813</v>
      </c>
      <c r="E292" s="23">
        <v>46151</v>
      </c>
      <c r="F292" s="23" t="s">
        <v>7</v>
      </c>
      <c r="G292" s="24" t="s">
        <v>68</v>
      </c>
      <c r="H292" s="24" t="s">
        <v>69</v>
      </c>
      <c r="I292" s="24" t="s">
        <v>800</v>
      </c>
      <c r="J292" s="25" t="s">
        <v>801</v>
      </c>
      <c r="K292" s="45" t="str">
        <f t="shared" si="118"/>
        <v>WB41P4782</v>
      </c>
      <c r="L292" s="26">
        <v>46101</v>
      </c>
      <c r="M292" s="34" t="s">
        <v>1626</v>
      </c>
      <c r="N292" s="27" t="s">
        <v>1627</v>
      </c>
      <c r="O292" s="28">
        <v>0</v>
      </c>
      <c r="P292" s="27" t="s">
        <v>1628</v>
      </c>
      <c r="Q292" s="29">
        <v>2525371686</v>
      </c>
      <c r="R292" s="30">
        <v>2110819321</v>
      </c>
      <c r="S292" s="31" t="s">
        <v>73</v>
      </c>
      <c r="T292" s="24" t="s">
        <v>188</v>
      </c>
      <c r="U292" s="24" t="s">
        <v>75</v>
      </c>
      <c r="V292" s="32" t="s">
        <v>510</v>
      </c>
      <c r="W292" s="32" t="s">
        <v>818</v>
      </c>
      <c r="X292" s="32" t="s">
        <v>1629</v>
      </c>
      <c r="Y292" s="24">
        <v>499</v>
      </c>
      <c r="Z292" s="24">
        <v>13</v>
      </c>
      <c r="AA292" s="24">
        <f>+Y292/100*93</f>
        <v>464.07</v>
      </c>
      <c r="AB292" s="24">
        <f t="shared" si="111"/>
        <v>6487</v>
      </c>
      <c r="AC292" s="24">
        <f t="shared" si="112"/>
        <v>6162.6500000000005</v>
      </c>
      <c r="AD292" s="24">
        <f t="shared" si="113"/>
        <v>6032.91</v>
      </c>
      <c r="AE292" s="24">
        <f t="shared" si="114"/>
        <v>454.09000000000015</v>
      </c>
      <c r="AF292" s="24">
        <f t="shared" si="110"/>
        <v>60.329099999999997</v>
      </c>
      <c r="AG292" s="33">
        <v>1450</v>
      </c>
      <c r="AH292" s="24"/>
      <c r="AI292" s="24"/>
      <c r="AJ292" s="24"/>
      <c r="AK292" s="24"/>
      <c r="AL292" s="24"/>
      <c r="AM292" s="24" t="s">
        <v>79</v>
      </c>
      <c r="AN292" s="34" t="s">
        <v>1630</v>
      </c>
      <c r="AO292" s="35" t="s">
        <v>973</v>
      </c>
      <c r="AP292" s="24">
        <f>77*2</f>
        <v>154</v>
      </c>
      <c r="AQ292" s="36">
        <f t="shared" si="120"/>
        <v>47.384615384615387</v>
      </c>
      <c r="AR292" s="67">
        <v>28</v>
      </c>
      <c r="AS292" s="68">
        <f t="shared" si="121"/>
        <v>-19.384615384615387</v>
      </c>
      <c r="AT292" s="69"/>
      <c r="AU292" s="68">
        <f t="shared" si="122"/>
        <v>-19.384615384615387</v>
      </c>
      <c r="AV292" s="70">
        <v>91.99</v>
      </c>
      <c r="AW292" s="65">
        <f t="shared" si="115"/>
        <v>2575.7199999999998</v>
      </c>
      <c r="AX292" s="24">
        <f t="shared" si="131"/>
        <v>66.729322996696453</v>
      </c>
      <c r="AY292" s="24">
        <v>120</v>
      </c>
      <c r="AZ292" s="24"/>
      <c r="BA292" s="24"/>
      <c r="BB292" s="24">
        <f t="shared" si="123"/>
        <v>0</v>
      </c>
      <c r="BC292" s="24">
        <f t="shared" si="124"/>
        <v>1826.8609000000001</v>
      </c>
      <c r="BD292" s="24">
        <v>40</v>
      </c>
      <c r="BE292" s="24">
        <v>40</v>
      </c>
      <c r="BF292" s="24"/>
      <c r="BG292" s="24">
        <f t="shared" si="132"/>
        <v>616.26499999999999</v>
      </c>
      <c r="BH292" s="24"/>
      <c r="BI292" s="24"/>
      <c r="BJ292" s="24">
        <f t="shared" si="125"/>
        <v>6.1626500000000002</v>
      </c>
      <c r="BK292" s="24">
        <f t="shared" si="126"/>
        <v>2516.9632499999998</v>
      </c>
      <c r="BL292" s="24" t="s">
        <v>807</v>
      </c>
      <c r="BM292" s="42">
        <f t="shared" si="117"/>
        <v>2</v>
      </c>
      <c r="BN292" s="24" t="s">
        <v>83</v>
      </c>
      <c r="BO292" s="2" t="s">
        <v>148</v>
      </c>
    </row>
    <row r="293" spans="1:67" s="1" customFormat="1" ht="15" customHeight="1" x14ac:dyDescent="0.3">
      <c r="A293" s="20">
        <v>289</v>
      </c>
      <c r="B293" s="21">
        <v>46100</v>
      </c>
      <c r="C293" s="21">
        <v>46105</v>
      </c>
      <c r="D293" s="56" t="s">
        <v>1015</v>
      </c>
      <c r="E293" s="23">
        <v>46107</v>
      </c>
      <c r="F293" s="23" t="s">
        <v>7</v>
      </c>
      <c r="G293" s="24" t="s">
        <v>68</v>
      </c>
      <c r="H293" s="24" t="s">
        <v>69</v>
      </c>
      <c r="I293" s="24" t="s">
        <v>513</v>
      </c>
      <c r="J293" s="25" t="s">
        <v>514</v>
      </c>
      <c r="K293" s="45" t="str">
        <f t="shared" si="118"/>
        <v>WB67B3669</v>
      </c>
      <c r="L293" s="26">
        <v>46101</v>
      </c>
      <c r="M293" s="34" t="s">
        <v>1631</v>
      </c>
      <c r="N293" s="27" t="s">
        <v>1632</v>
      </c>
      <c r="O293" s="28">
        <v>0</v>
      </c>
      <c r="P293" s="27" t="s">
        <v>1633</v>
      </c>
      <c r="Q293" s="29">
        <v>2525371694</v>
      </c>
      <c r="R293" s="30">
        <v>2110819344</v>
      </c>
      <c r="S293" s="31" t="s">
        <v>73</v>
      </c>
      <c r="T293" s="24" t="s">
        <v>241</v>
      </c>
      <c r="U293" s="24" t="s">
        <v>75</v>
      </c>
      <c r="V293" s="32" t="s">
        <v>1219</v>
      </c>
      <c r="W293" s="32" t="s">
        <v>1634</v>
      </c>
      <c r="X293" s="32" t="s">
        <v>1635</v>
      </c>
      <c r="Y293" s="24">
        <v>1149</v>
      </c>
      <c r="Z293" s="24">
        <v>30</v>
      </c>
      <c r="AA293" s="24">
        <f t="shared" si="119"/>
        <v>1091.55</v>
      </c>
      <c r="AB293" s="24">
        <f t="shared" si="111"/>
        <v>34470</v>
      </c>
      <c r="AC293" s="24">
        <f t="shared" si="112"/>
        <v>32746.5</v>
      </c>
      <c r="AD293" s="24">
        <f t="shared" si="113"/>
        <v>32746.5</v>
      </c>
      <c r="AE293" s="24">
        <f t="shared" si="114"/>
        <v>1723.5</v>
      </c>
      <c r="AF293" s="24">
        <v>0</v>
      </c>
      <c r="AG293" s="33">
        <v>3800</v>
      </c>
      <c r="AH293" s="24"/>
      <c r="AI293" s="24"/>
      <c r="AJ293" s="24"/>
      <c r="AK293" s="24"/>
      <c r="AL293" s="24"/>
      <c r="AM293" s="24" t="s">
        <v>79</v>
      </c>
      <c r="AN293" s="34" t="s">
        <v>1636</v>
      </c>
      <c r="AO293" s="35" t="s">
        <v>973</v>
      </c>
      <c r="AP293" s="24">
        <f>273*2</f>
        <v>546</v>
      </c>
      <c r="AQ293" s="36">
        <f t="shared" si="120"/>
        <v>168</v>
      </c>
      <c r="AR293" s="67">
        <v>165</v>
      </c>
      <c r="AS293" s="68">
        <f t="shared" si="121"/>
        <v>-3</v>
      </c>
      <c r="AT293" s="69"/>
      <c r="AU293" s="68">
        <f t="shared" si="122"/>
        <v>-3</v>
      </c>
      <c r="AV293" s="70">
        <v>91.99</v>
      </c>
      <c r="AW293" s="65">
        <f t="shared" si="115"/>
        <v>15178.349999999999</v>
      </c>
      <c r="AX293" s="24">
        <f t="shared" si="131"/>
        <v>57.955354007298489</v>
      </c>
      <c r="AY293" s="24"/>
      <c r="AZ293" s="24"/>
      <c r="BA293" s="24"/>
      <c r="BB293" s="24">
        <f t="shared" si="123"/>
        <v>0</v>
      </c>
      <c r="BC293" s="24">
        <f t="shared" si="124"/>
        <v>13768.150000000001</v>
      </c>
      <c r="BD293" s="24"/>
      <c r="BE293" s="24"/>
      <c r="BF293" s="24"/>
      <c r="BG293" s="24">
        <f t="shared" si="132"/>
        <v>3274.65</v>
      </c>
      <c r="BH293" s="24"/>
      <c r="BI293" s="24"/>
      <c r="BJ293" s="24">
        <f t="shared" si="125"/>
        <v>32.746500000000005</v>
      </c>
      <c r="BK293" s="24">
        <f t="shared" si="126"/>
        <v>17010.053500000002</v>
      </c>
      <c r="BL293" s="24" t="s">
        <v>173</v>
      </c>
      <c r="BM293" s="42">
        <f t="shared" si="117"/>
        <v>2</v>
      </c>
      <c r="BN293" s="24" t="s">
        <v>83</v>
      </c>
      <c r="BO293" s="2" t="s">
        <v>84</v>
      </c>
    </row>
    <row r="294" spans="1:67" s="1" customFormat="1" ht="15" customHeight="1" x14ac:dyDescent="0.3">
      <c r="A294" s="20">
        <v>290</v>
      </c>
      <c r="B294" s="21">
        <v>46100</v>
      </c>
      <c r="C294" s="71">
        <v>46104</v>
      </c>
      <c r="D294" s="52" t="s">
        <v>1199</v>
      </c>
      <c r="E294" s="23">
        <v>46104</v>
      </c>
      <c r="F294" s="23" t="s">
        <v>7</v>
      </c>
      <c r="G294" s="24" t="s">
        <v>68</v>
      </c>
      <c r="H294" s="24" t="s">
        <v>69</v>
      </c>
      <c r="I294" s="24" t="s">
        <v>112</v>
      </c>
      <c r="J294" s="25" t="s">
        <v>487</v>
      </c>
      <c r="K294" s="45" t="str">
        <f t="shared" si="118"/>
        <v>WB39A9434</v>
      </c>
      <c r="L294" s="26">
        <v>46101</v>
      </c>
      <c r="M294" s="34" t="s">
        <v>1637</v>
      </c>
      <c r="N294" s="27" t="s">
        <v>1638</v>
      </c>
      <c r="O294" s="28">
        <v>0</v>
      </c>
      <c r="P294" s="27" t="s">
        <v>1639</v>
      </c>
      <c r="Q294" s="29">
        <v>2525371879</v>
      </c>
      <c r="R294" s="30">
        <v>2110819480</v>
      </c>
      <c r="S294" s="31" t="s">
        <v>73</v>
      </c>
      <c r="T294" s="24" t="s">
        <v>91</v>
      </c>
      <c r="U294" s="24" t="s">
        <v>75</v>
      </c>
      <c r="V294" s="32" t="s">
        <v>281</v>
      </c>
      <c r="W294" s="32" t="s">
        <v>1640</v>
      </c>
      <c r="X294" s="32"/>
      <c r="Y294" s="24">
        <v>790</v>
      </c>
      <c r="Z294" s="78">
        <v>12.5</v>
      </c>
      <c r="AA294" s="24">
        <f t="shared" si="119"/>
        <v>750.5</v>
      </c>
      <c r="AB294" s="24">
        <f t="shared" si="111"/>
        <v>9875</v>
      </c>
      <c r="AC294" s="24">
        <f t="shared" si="112"/>
        <v>9381.25</v>
      </c>
      <c r="AD294" s="24">
        <f t="shared" si="113"/>
        <v>9381.25</v>
      </c>
      <c r="AE294" s="24">
        <f t="shared" si="114"/>
        <v>493.75</v>
      </c>
      <c r="AF294" s="24">
        <f t="shared" si="110"/>
        <v>93.8125</v>
      </c>
      <c r="AG294" s="33">
        <v>4000</v>
      </c>
      <c r="AH294" s="24"/>
      <c r="AI294" s="24"/>
      <c r="AJ294" s="24">
        <v>100</v>
      </c>
      <c r="AK294" s="24"/>
      <c r="AL294" s="24"/>
      <c r="AM294" s="24" t="s">
        <v>79</v>
      </c>
      <c r="AN294" s="34" t="s">
        <v>1641</v>
      </c>
      <c r="AO294" s="35" t="s">
        <v>973</v>
      </c>
      <c r="AP294" s="24">
        <f>164*2</f>
        <v>328</v>
      </c>
      <c r="AQ294" s="36">
        <f t="shared" si="120"/>
        <v>100.92307692307692</v>
      </c>
      <c r="AR294" s="67">
        <v>120</v>
      </c>
      <c r="AS294" s="68">
        <f t="shared" si="121"/>
        <v>19.07692307692308</v>
      </c>
      <c r="AT294" s="69"/>
      <c r="AU294" s="68">
        <f t="shared" si="122"/>
        <v>19.07692307692308</v>
      </c>
      <c r="AV294" s="70">
        <v>91.88</v>
      </c>
      <c r="AW294" s="65">
        <f t="shared" si="115"/>
        <v>11025.599999999999</v>
      </c>
      <c r="AX294" s="24">
        <f t="shared" si="131"/>
        <v>160.16628914057293</v>
      </c>
      <c r="AY294" s="24"/>
      <c r="AZ294" s="24"/>
      <c r="BA294" s="24"/>
      <c r="BB294" s="24">
        <f t="shared" si="123"/>
        <v>0</v>
      </c>
      <c r="BC294" s="24">
        <f t="shared" si="124"/>
        <v>-5838.1624999999985</v>
      </c>
      <c r="BD294" s="24">
        <v>135</v>
      </c>
      <c r="BE294" s="24"/>
      <c r="BF294" s="24"/>
      <c r="BG294" s="24">
        <f t="shared" si="132"/>
        <v>938.125</v>
      </c>
      <c r="BH294" s="24"/>
      <c r="BI294" s="24"/>
      <c r="BJ294" s="24">
        <f t="shared" si="125"/>
        <v>9.3812499999999996</v>
      </c>
      <c r="BK294" s="24">
        <f t="shared" si="126"/>
        <v>-4774.4187499999989</v>
      </c>
      <c r="BL294" s="24" t="s">
        <v>494</v>
      </c>
      <c r="BM294" s="42">
        <f t="shared" si="117"/>
        <v>2</v>
      </c>
      <c r="BN294" s="24" t="s">
        <v>83</v>
      </c>
      <c r="BO294" s="2" t="s">
        <v>148</v>
      </c>
    </row>
    <row r="295" spans="1:67" s="1" customFormat="1" ht="15" customHeight="1" x14ac:dyDescent="0.3">
      <c r="A295" s="20">
        <v>291</v>
      </c>
      <c r="B295" s="21">
        <v>46100</v>
      </c>
      <c r="C295" s="71">
        <v>46104</v>
      </c>
      <c r="D295" s="52" t="s">
        <v>1199</v>
      </c>
      <c r="E295" s="23">
        <v>46104</v>
      </c>
      <c r="F295" s="23" t="s">
        <v>7</v>
      </c>
      <c r="G295" s="24" t="s">
        <v>68</v>
      </c>
      <c r="H295" s="24" t="s">
        <v>69</v>
      </c>
      <c r="I295" s="24" t="s">
        <v>112</v>
      </c>
      <c r="J295" s="25" t="s">
        <v>487</v>
      </c>
      <c r="K295" s="45" t="str">
        <f t="shared" si="118"/>
        <v>WB39A9434</v>
      </c>
      <c r="L295" s="26">
        <v>46101</v>
      </c>
      <c r="M295" s="34" t="s">
        <v>1642</v>
      </c>
      <c r="N295" s="27" t="s">
        <v>1643</v>
      </c>
      <c r="O295" s="28">
        <v>0</v>
      </c>
      <c r="P295" s="27" t="s">
        <v>1644</v>
      </c>
      <c r="Q295" s="29">
        <v>2525371878</v>
      </c>
      <c r="R295" s="30">
        <v>2110819469</v>
      </c>
      <c r="S295" s="31" t="s">
        <v>73</v>
      </c>
      <c r="T295" s="24" t="s">
        <v>91</v>
      </c>
      <c r="U295" s="24" t="s">
        <v>75</v>
      </c>
      <c r="V295" s="32" t="s">
        <v>281</v>
      </c>
      <c r="W295" s="32" t="s">
        <v>1640</v>
      </c>
      <c r="X295" s="32"/>
      <c r="Y295" s="24">
        <v>790</v>
      </c>
      <c r="Z295" s="78">
        <v>12.5</v>
      </c>
      <c r="AA295" s="24">
        <f t="shared" si="119"/>
        <v>750.5</v>
      </c>
      <c r="AB295" s="24">
        <f t="shared" si="111"/>
        <v>9875</v>
      </c>
      <c r="AC295" s="24">
        <f t="shared" si="112"/>
        <v>9381.25</v>
      </c>
      <c r="AD295" s="24">
        <f t="shared" si="113"/>
        <v>9381.25</v>
      </c>
      <c r="AE295" s="24">
        <f t="shared" si="114"/>
        <v>493.75</v>
      </c>
      <c r="AF295" s="24">
        <f t="shared" si="110"/>
        <v>93.8125</v>
      </c>
      <c r="AG295" s="31"/>
      <c r="AH295" s="24"/>
      <c r="AI295" s="24"/>
      <c r="AJ295" s="24"/>
      <c r="AK295" s="24"/>
      <c r="AL295" s="24"/>
      <c r="AM295" s="24">
        <v>0</v>
      </c>
      <c r="AN295" s="34" t="s">
        <v>213</v>
      </c>
      <c r="AO295" s="35"/>
      <c r="AP295" s="24"/>
      <c r="AQ295" s="36">
        <f t="shared" si="120"/>
        <v>0</v>
      </c>
      <c r="AR295" s="16"/>
      <c r="AS295" s="47">
        <f t="shared" si="121"/>
        <v>0</v>
      </c>
      <c r="AT295" s="31"/>
      <c r="AU295" s="47">
        <f t="shared" si="122"/>
        <v>0</v>
      </c>
      <c r="AV295" s="48">
        <v>91.99</v>
      </c>
      <c r="AW295" s="24">
        <f t="shared" si="115"/>
        <v>0</v>
      </c>
      <c r="AX295" s="24">
        <f t="shared" si="131"/>
        <v>0</v>
      </c>
      <c r="AY295" s="24"/>
      <c r="AZ295" s="24"/>
      <c r="BA295" s="24"/>
      <c r="BB295" s="24">
        <f t="shared" si="123"/>
        <v>0</v>
      </c>
      <c r="BC295" s="24">
        <f t="shared" si="124"/>
        <v>9287.4375</v>
      </c>
      <c r="BD295" s="24">
        <v>0</v>
      </c>
      <c r="BE295" s="24"/>
      <c r="BF295" s="24"/>
      <c r="BG295" s="24">
        <f t="shared" si="132"/>
        <v>938.125</v>
      </c>
      <c r="BH295" s="24"/>
      <c r="BI295" s="24"/>
      <c r="BJ295" s="24">
        <f t="shared" si="125"/>
        <v>9.3812499999999996</v>
      </c>
      <c r="BK295" s="24">
        <f t="shared" si="126"/>
        <v>10216.18125</v>
      </c>
      <c r="BL295" s="24" t="s">
        <v>494</v>
      </c>
      <c r="BM295" s="42">
        <f t="shared" si="117"/>
        <v>2</v>
      </c>
      <c r="BN295" s="24" t="s">
        <v>83</v>
      </c>
      <c r="BO295" s="2" t="s">
        <v>148</v>
      </c>
    </row>
    <row r="296" spans="1:67" s="1" customFormat="1" ht="15" customHeight="1" x14ac:dyDescent="0.3">
      <c r="A296" s="20">
        <v>292</v>
      </c>
      <c r="B296" s="21">
        <v>46100</v>
      </c>
      <c r="C296" s="71">
        <v>46104</v>
      </c>
      <c r="D296" s="52" t="s">
        <v>1264</v>
      </c>
      <c r="E296" s="23">
        <v>46104</v>
      </c>
      <c r="F296" s="23" t="s">
        <v>7</v>
      </c>
      <c r="G296" s="24" t="s">
        <v>87</v>
      </c>
      <c r="H296" s="24" t="s">
        <v>69</v>
      </c>
      <c r="I296" s="24" t="s">
        <v>70</v>
      </c>
      <c r="J296" s="25" t="s">
        <v>842</v>
      </c>
      <c r="K296" s="45" t="str">
        <f t="shared" si="118"/>
        <v>WB39B8924</v>
      </c>
      <c r="L296" s="26">
        <v>46102</v>
      </c>
      <c r="M296" s="34" t="s">
        <v>1645</v>
      </c>
      <c r="N296" s="27" t="s">
        <v>1646</v>
      </c>
      <c r="O296" s="28">
        <v>0</v>
      </c>
      <c r="P296" s="27"/>
      <c r="Q296" s="29">
        <v>2590202078</v>
      </c>
      <c r="R296" s="30">
        <v>2160379791</v>
      </c>
      <c r="S296" s="31" t="s">
        <v>73</v>
      </c>
      <c r="T296" s="24" t="s">
        <v>91</v>
      </c>
      <c r="U296" s="24" t="s">
        <v>347</v>
      </c>
      <c r="V296" s="32" t="s">
        <v>1004</v>
      </c>
      <c r="W296" s="32" t="s">
        <v>1144</v>
      </c>
      <c r="X296" s="32"/>
      <c r="Y296" s="24">
        <v>778</v>
      </c>
      <c r="Z296" s="24">
        <v>25</v>
      </c>
      <c r="AA296" s="24">
        <f t="shared" si="119"/>
        <v>739.1</v>
      </c>
      <c r="AB296" s="24">
        <f t="shared" si="111"/>
        <v>19450</v>
      </c>
      <c r="AC296" s="24">
        <f t="shared" si="112"/>
        <v>18477.5</v>
      </c>
      <c r="AD296" s="24">
        <f t="shared" si="113"/>
        <v>18477.5</v>
      </c>
      <c r="AE296" s="24">
        <f t="shared" si="114"/>
        <v>972.5</v>
      </c>
      <c r="AF296" s="24">
        <f t="shared" si="110"/>
        <v>184.77500000000001</v>
      </c>
      <c r="AG296" s="33">
        <v>3600</v>
      </c>
      <c r="AH296" s="24"/>
      <c r="AI296" s="24"/>
      <c r="AJ296" s="24"/>
      <c r="AK296" s="24"/>
      <c r="AL296" s="24"/>
      <c r="AM296" s="24" t="s">
        <v>79</v>
      </c>
      <c r="AN296" s="34" t="s">
        <v>1647</v>
      </c>
      <c r="AO296" s="35" t="s">
        <v>973</v>
      </c>
      <c r="AP296" s="24">
        <f>178*2</f>
        <v>356</v>
      </c>
      <c r="AQ296" s="36">
        <f t="shared" si="120"/>
        <v>109.53846153846153</v>
      </c>
      <c r="AR296" s="67">
        <v>120</v>
      </c>
      <c r="AS296" s="68">
        <f t="shared" si="121"/>
        <v>10.461538461538467</v>
      </c>
      <c r="AT296" s="69"/>
      <c r="AU296" s="68">
        <f t="shared" si="122"/>
        <v>10.461538461538467</v>
      </c>
      <c r="AV296" s="70">
        <v>91.88</v>
      </c>
      <c r="AW296" s="65">
        <f t="shared" si="115"/>
        <v>11025.599999999999</v>
      </c>
      <c r="AX296" s="24">
        <f t="shared" si="131"/>
        <v>79.153565146800148</v>
      </c>
      <c r="AY296" s="24"/>
      <c r="AZ296" s="24"/>
      <c r="BA296" s="24"/>
      <c r="BB296" s="24">
        <f t="shared" si="123"/>
        <v>0</v>
      </c>
      <c r="BC296" s="24">
        <f t="shared" si="124"/>
        <v>3667.125</v>
      </c>
      <c r="BD296" s="24"/>
      <c r="BE296" s="24"/>
      <c r="BF296" s="24"/>
      <c r="BG296" s="24">
        <f>+AD296*9.5%</f>
        <v>1755.3625</v>
      </c>
      <c r="BH296" s="24"/>
      <c r="BI296" s="24"/>
      <c r="BJ296" s="24">
        <f t="shared" si="125"/>
        <v>17.553625</v>
      </c>
      <c r="BK296" s="24">
        <f t="shared" si="126"/>
        <v>5404.9338750000006</v>
      </c>
      <c r="BL296" s="24" t="s">
        <v>638</v>
      </c>
      <c r="BM296" s="42">
        <f t="shared" si="117"/>
        <v>3</v>
      </c>
      <c r="BN296" s="24" t="s">
        <v>139</v>
      </c>
      <c r="BO296" s="2" t="s">
        <v>148</v>
      </c>
    </row>
    <row r="297" spans="1:67" s="1" customFormat="1" ht="15" customHeight="1" x14ac:dyDescent="0.3">
      <c r="A297" s="20">
        <v>293</v>
      </c>
      <c r="B297" s="21">
        <v>46100</v>
      </c>
      <c r="C297" s="21">
        <v>46107</v>
      </c>
      <c r="D297" s="50" t="s">
        <v>1648</v>
      </c>
      <c r="E297" s="23">
        <v>46108</v>
      </c>
      <c r="F297" s="23" t="s">
        <v>7</v>
      </c>
      <c r="G297" s="24" t="s">
        <v>87</v>
      </c>
      <c r="H297" s="24" t="s">
        <v>69</v>
      </c>
      <c r="I297" s="24" t="s">
        <v>70</v>
      </c>
      <c r="J297" s="25" t="s">
        <v>150</v>
      </c>
      <c r="K297" s="45" t="str">
        <f t="shared" si="118"/>
        <v>WB39B9201</v>
      </c>
      <c r="L297" s="26">
        <v>46105</v>
      </c>
      <c r="M297" s="57" t="s">
        <v>1649</v>
      </c>
      <c r="N297" s="57" t="s">
        <v>1650</v>
      </c>
      <c r="O297" s="28">
        <v>0</v>
      </c>
      <c r="P297" s="27"/>
      <c r="Q297" s="29">
        <v>2590202083</v>
      </c>
      <c r="R297" s="30">
        <v>2160379796</v>
      </c>
      <c r="S297" s="31" t="s">
        <v>73</v>
      </c>
      <c r="T297" s="24" t="s">
        <v>91</v>
      </c>
      <c r="U297" s="24" t="s">
        <v>347</v>
      </c>
      <c r="V297" s="32" t="s">
        <v>1651</v>
      </c>
      <c r="W297" s="32" t="s">
        <v>1144</v>
      </c>
      <c r="X297" s="32" t="s">
        <v>1144</v>
      </c>
      <c r="Y297" s="24">
        <v>1050</v>
      </c>
      <c r="Z297" s="24">
        <v>25</v>
      </c>
      <c r="AA297" s="24">
        <f t="shared" si="119"/>
        <v>997.5</v>
      </c>
      <c r="AB297" s="24">
        <f t="shared" si="111"/>
        <v>26250</v>
      </c>
      <c r="AC297" s="24">
        <f t="shared" si="112"/>
        <v>24937.5</v>
      </c>
      <c r="AD297" s="24">
        <f t="shared" si="113"/>
        <v>24937.5</v>
      </c>
      <c r="AE297" s="24">
        <f t="shared" si="114"/>
        <v>1312.5</v>
      </c>
      <c r="AF297" s="24">
        <v>0</v>
      </c>
      <c r="AG297" s="33">
        <v>3800</v>
      </c>
      <c r="AH297" s="24"/>
      <c r="AI297" s="24"/>
      <c r="AJ297" s="24"/>
      <c r="AK297" s="24"/>
      <c r="AL297" s="24"/>
      <c r="AM297" s="24" t="s">
        <v>79</v>
      </c>
      <c r="AN297" s="34" t="s">
        <v>1652</v>
      </c>
      <c r="AO297" s="35" t="s">
        <v>973</v>
      </c>
      <c r="AP297" s="24">
        <f>269*2</f>
        <v>538</v>
      </c>
      <c r="AQ297" s="36">
        <f t="shared" si="120"/>
        <v>165.53846153846155</v>
      </c>
      <c r="AR297" s="67">
        <v>140</v>
      </c>
      <c r="AS297" s="68">
        <f t="shared" si="121"/>
        <v>-25.538461538461547</v>
      </c>
      <c r="AT297" s="69"/>
      <c r="AU297" s="68">
        <f t="shared" si="122"/>
        <v>-25.538461538461547</v>
      </c>
      <c r="AV297" s="70">
        <v>91.88</v>
      </c>
      <c r="AW297" s="65">
        <f t="shared" si="115"/>
        <v>12863.199999999999</v>
      </c>
      <c r="AX297" s="24">
        <f t="shared" si="131"/>
        <v>66.81984962406014</v>
      </c>
      <c r="AY297" s="24"/>
      <c r="AZ297" s="24"/>
      <c r="BA297" s="24"/>
      <c r="BB297" s="24">
        <f t="shared" si="123"/>
        <v>0</v>
      </c>
      <c r="BC297" s="24">
        <f t="shared" si="124"/>
        <v>8274.3000000000011</v>
      </c>
      <c r="BD297" s="24">
        <v>135</v>
      </c>
      <c r="BE297" s="24">
        <v>135</v>
      </c>
      <c r="BF297" s="24"/>
      <c r="BG297" s="24">
        <f>+AB297*9.5%</f>
        <v>2493.75</v>
      </c>
      <c r="BH297" s="24"/>
      <c r="BI297" s="24"/>
      <c r="BJ297" s="24">
        <f t="shared" si="125"/>
        <v>24.9375</v>
      </c>
      <c r="BK297" s="24">
        <f t="shared" si="126"/>
        <v>11013.112500000001</v>
      </c>
      <c r="BL297" s="24" t="s">
        <v>155</v>
      </c>
      <c r="BM297" s="42">
        <f t="shared" si="117"/>
        <v>6</v>
      </c>
      <c r="BN297" s="24" t="s">
        <v>183</v>
      </c>
      <c r="BO297" s="2" t="s">
        <v>500</v>
      </c>
    </row>
    <row r="298" spans="1:67" s="1" customFormat="1" ht="15" customHeight="1" x14ac:dyDescent="0.3">
      <c r="A298" s="20">
        <v>294</v>
      </c>
      <c r="B298" s="21">
        <v>46100</v>
      </c>
      <c r="C298" s="21">
        <v>46105</v>
      </c>
      <c r="D298" s="56" t="s">
        <v>1015</v>
      </c>
      <c r="E298" s="23">
        <v>46107</v>
      </c>
      <c r="F298" s="23" t="s">
        <v>7</v>
      </c>
      <c r="G298" s="24" t="s">
        <v>68</v>
      </c>
      <c r="H298" s="24" t="s">
        <v>69</v>
      </c>
      <c r="I298" s="24" t="s">
        <v>263</v>
      </c>
      <c r="J298" s="25" t="s">
        <v>264</v>
      </c>
      <c r="K298" s="45" t="str">
        <f t="shared" si="118"/>
        <v>WB41G1024</v>
      </c>
      <c r="L298" s="26">
        <v>46102</v>
      </c>
      <c r="M298" s="34" t="s">
        <v>1653</v>
      </c>
      <c r="N298" s="27" t="s">
        <v>1654</v>
      </c>
      <c r="O298" s="28">
        <v>0</v>
      </c>
      <c r="P298" s="27" t="s">
        <v>1655</v>
      </c>
      <c r="Q298" s="29">
        <v>2525371976</v>
      </c>
      <c r="R298" s="30">
        <v>2110819569</v>
      </c>
      <c r="S298" s="31" t="s">
        <v>73</v>
      </c>
      <c r="T298" s="24" t="s">
        <v>91</v>
      </c>
      <c r="U298" s="24" t="s">
        <v>75</v>
      </c>
      <c r="V298" s="32" t="s">
        <v>1567</v>
      </c>
      <c r="W298" s="32" t="s">
        <v>1656</v>
      </c>
      <c r="X298" s="32" t="s">
        <v>1657</v>
      </c>
      <c r="Y298" s="24">
        <v>855</v>
      </c>
      <c r="Z298" s="24">
        <v>15</v>
      </c>
      <c r="AA298" s="24">
        <f t="shared" si="119"/>
        <v>812.25000000000011</v>
      </c>
      <c r="AB298" s="24">
        <f t="shared" si="111"/>
        <v>12825</v>
      </c>
      <c r="AC298" s="24">
        <f t="shared" si="112"/>
        <v>12183.75</v>
      </c>
      <c r="AD298" s="24">
        <f t="shared" si="113"/>
        <v>12183.750000000002</v>
      </c>
      <c r="AE298" s="24">
        <f t="shared" si="114"/>
        <v>641.24999999999818</v>
      </c>
      <c r="AF298" s="24">
        <v>0</v>
      </c>
      <c r="AG298" s="33">
        <v>3500</v>
      </c>
      <c r="AH298" s="24"/>
      <c r="AI298" s="24"/>
      <c r="AJ298" s="24"/>
      <c r="AK298" s="24"/>
      <c r="AL298" s="24"/>
      <c r="AM298" s="24" t="s">
        <v>79</v>
      </c>
      <c r="AN298" s="34" t="s">
        <v>1658</v>
      </c>
      <c r="AO298" s="35" t="s">
        <v>973</v>
      </c>
      <c r="AP298" s="24">
        <f>208*2</f>
        <v>416</v>
      </c>
      <c r="AQ298" s="36">
        <f t="shared" si="120"/>
        <v>128</v>
      </c>
      <c r="AR298" s="67">
        <v>130</v>
      </c>
      <c r="AS298" s="68">
        <f t="shared" si="121"/>
        <v>2</v>
      </c>
      <c r="AT298" s="69"/>
      <c r="AU298" s="68">
        <f t="shared" si="122"/>
        <v>2</v>
      </c>
      <c r="AV298" s="70">
        <v>91.99</v>
      </c>
      <c r="AW298" s="65">
        <f t="shared" si="115"/>
        <v>11958.699999999999</v>
      </c>
      <c r="AX298" s="24">
        <f t="shared" si="131"/>
        <v>126.8796552785472</v>
      </c>
      <c r="AY298" s="24"/>
      <c r="AZ298" s="24"/>
      <c r="BA298" s="24"/>
      <c r="BB298" s="24">
        <f t="shared" si="123"/>
        <v>0</v>
      </c>
      <c r="BC298" s="24">
        <f t="shared" si="124"/>
        <v>-3274.9499999999971</v>
      </c>
      <c r="BD298" s="24"/>
      <c r="BE298" s="24"/>
      <c r="BF298" s="24"/>
      <c r="BG298" s="24">
        <f>+AB298*9.5%</f>
        <v>1218.375</v>
      </c>
      <c r="BH298" s="24"/>
      <c r="BI298" s="24"/>
      <c r="BJ298" s="24">
        <f t="shared" si="125"/>
        <v>12.18375</v>
      </c>
      <c r="BK298" s="24">
        <f t="shared" si="126"/>
        <v>-2068.7587499999972</v>
      </c>
      <c r="BL298" s="24" t="s">
        <v>96</v>
      </c>
      <c r="BM298" s="42">
        <f t="shared" si="117"/>
        <v>3</v>
      </c>
      <c r="BN298" s="24" t="s">
        <v>139</v>
      </c>
      <c r="BO298" s="2" t="s">
        <v>148</v>
      </c>
    </row>
    <row r="299" spans="1:67" s="1" customFormat="1" ht="15" customHeight="1" x14ac:dyDescent="0.3">
      <c r="A299" s="20">
        <v>295</v>
      </c>
      <c r="B299" s="21">
        <v>46100</v>
      </c>
      <c r="C299" s="21">
        <v>46105</v>
      </c>
      <c r="D299" s="56" t="s">
        <v>1015</v>
      </c>
      <c r="E299" s="23">
        <v>46107</v>
      </c>
      <c r="F299" s="23" t="s">
        <v>7</v>
      </c>
      <c r="G299" s="24" t="s">
        <v>68</v>
      </c>
      <c r="H299" s="24" t="s">
        <v>69</v>
      </c>
      <c r="I299" s="24" t="s">
        <v>263</v>
      </c>
      <c r="J299" s="25" t="s">
        <v>264</v>
      </c>
      <c r="K299" s="45" t="str">
        <f t="shared" si="118"/>
        <v>WB41G1024</v>
      </c>
      <c r="L299" s="26">
        <v>46102</v>
      </c>
      <c r="M299" s="34" t="s">
        <v>1659</v>
      </c>
      <c r="N299" s="27" t="s">
        <v>1660</v>
      </c>
      <c r="O299" s="28">
        <v>0</v>
      </c>
      <c r="P299" s="27" t="s">
        <v>1661</v>
      </c>
      <c r="Q299" s="29">
        <v>2525371974</v>
      </c>
      <c r="R299" s="30">
        <v>2110819568</v>
      </c>
      <c r="S299" s="31" t="s">
        <v>73</v>
      </c>
      <c r="T299" s="24" t="s">
        <v>91</v>
      </c>
      <c r="U299" s="24" t="s">
        <v>75</v>
      </c>
      <c r="V299" s="32" t="s">
        <v>1567</v>
      </c>
      <c r="W299" s="32" t="s">
        <v>1656</v>
      </c>
      <c r="X299" s="32"/>
      <c r="Y299" s="24">
        <v>855</v>
      </c>
      <c r="Z299" s="24">
        <v>10</v>
      </c>
      <c r="AA299" s="24">
        <f t="shared" si="119"/>
        <v>812.25000000000011</v>
      </c>
      <c r="AB299" s="24">
        <f t="shared" si="111"/>
        <v>8550</v>
      </c>
      <c r="AC299" s="24">
        <f t="shared" si="112"/>
        <v>8122.5</v>
      </c>
      <c r="AD299" s="24">
        <f t="shared" si="113"/>
        <v>8122.5000000000009</v>
      </c>
      <c r="AE299" s="24">
        <f t="shared" si="114"/>
        <v>427.49999999999909</v>
      </c>
      <c r="AF299" s="24">
        <v>0</v>
      </c>
      <c r="AG299" s="31"/>
      <c r="AH299" s="24"/>
      <c r="AI299" s="24"/>
      <c r="AJ299" s="24"/>
      <c r="AK299" s="24"/>
      <c r="AL299" s="24"/>
      <c r="AM299" s="24">
        <v>0</v>
      </c>
      <c r="AN299" s="34"/>
      <c r="AO299" s="35"/>
      <c r="AP299" s="24"/>
      <c r="AQ299" s="36">
        <f t="shared" si="120"/>
        <v>0</v>
      </c>
      <c r="AR299" s="16"/>
      <c r="AS299" s="47">
        <f t="shared" si="121"/>
        <v>0</v>
      </c>
      <c r="AT299" s="31"/>
      <c r="AU299" s="47">
        <f t="shared" si="122"/>
        <v>0</v>
      </c>
      <c r="AV299" s="48">
        <v>91.99</v>
      </c>
      <c r="AW299" s="24">
        <f t="shared" si="115"/>
        <v>0</v>
      </c>
      <c r="AX299" s="24">
        <f t="shared" si="131"/>
        <v>0</v>
      </c>
      <c r="AY299" s="24"/>
      <c r="AZ299" s="24"/>
      <c r="BA299" s="24"/>
      <c r="BB299" s="24">
        <f t="shared" si="123"/>
        <v>0</v>
      </c>
      <c r="BC299" s="24">
        <f t="shared" si="124"/>
        <v>8122.5000000000009</v>
      </c>
      <c r="BD299" s="24"/>
      <c r="BE299" s="24"/>
      <c r="BF299" s="24"/>
      <c r="BG299" s="24">
        <f>+AB299*9.5%</f>
        <v>812.25</v>
      </c>
      <c r="BH299" s="24"/>
      <c r="BI299" s="24"/>
      <c r="BJ299" s="24">
        <f t="shared" si="125"/>
        <v>8.1225000000000005</v>
      </c>
      <c r="BK299" s="24">
        <f t="shared" si="126"/>
        <v>8926.6275000000005</v>
      </c>
      <c r="BL299" s="24" t="s">
        <v>96</v>
      </c>
      <c r="BM299" s="42">
        <f t="shared" si="117"/>
        <v>3</v>
      </c>
      <c r="BN299" s="24" t="s">
        <v>139</v>
      </c>
      <c r="BO299" s="2" t="s">
        <v>148</v>
      </c>
    </row>
    <row r="300" spans="1:67" s="1" customFormat="1" ht="15" customHeight="1" x14ac:dyDescent="0.3">
      <c r="A300" s="20">
        <v>296</v>
      </c>
      <c r="B300" s="21">
        <v>46101</v>
      </c>
      <c r="C300" s="21">
        <v>46107</v>
      </c>
      <c r="D300" s="50" t="s">
        <v>1662</v>
      </c>
      <c r="E300" s="23">
        <v>46120</v>
      </c>
      <c r="F300" s="23" t="s">
        <v>7</v>
      </c>
      <c r="G300" s="24" t="s">
        <v>68</v>
      </c>
      <c r="H300" s="24" t="s">
        <v>69</v>
      </c>
      <c r="I300" s="24" t="s">
        <v>70</v>
      </c>
      <c r="J300" s="25" t="s">
        <v>71</v>
      </c>
      <c r="K300" s="45" t="str">
        <f t="shared" si="118"/>
        <v>WB39B0034</v>
      </c>
      <c r="L300" s="26">
        <v>46102</v>
      </c>
      <c r="M300" s="34" t="s">
        <v>1663</v>
      </c>
      <c r="N300" s="27" t="s">
        <v>1664</v>
      </c>
      <c r="O300" s="28">
        <v>0</v>
      </c>
      <c r="P300" s="27" t="s">
        <v>1665</v>
      </c>
      <c r="Q300" s="29">
        <v>2525372241</v>
      </c>
      <c r="R300" s="30">
        <v>2110819971</v>
      </c>
      <c r="S300" s="63" t="s">
        <v>73</v>
      </c>
      <c r="T300" s="24" t="s">
        <v>74</v>
      </c>
      <c r="U300" s="24" t="s">
        <v>75</v>
      </c>
      <c r="V300" s="32" t="s">
        <v>1666</v>
      </c>
      <c r="W300" s="32" t="s">
        <v>694</v>
      </c>
      <c r="X300" s="32" t="s">
        <v>1667</v>
      </c>
      <c r="Y300" s="24">
        <v>745</v>
      </c>
      <c r="Z300" s="24">
        <v>19</v>
      </c>
      <c r="AA300" s="24">
        <f t="shared" si="119"/>
        <v>707.75</v>
      </c>
      <c r="AB300" s="61">
        <f t="shared" si="111"/>
        <v>14155</v>
      </c>
      <c r="AC300" s="24">
        <f t="shared" si="112"/>
        <v>13447.250000000002</v>
      </c>
      <c r="AD300" s="24">
        <f t="shared" si="113"/>
        <v>13447.25</v>
      </c>
      <c r="AE300" s="24">
        <f t="shared" si="114"/>
        <v>707.75</v>
      </c>
      <c r="AF300" s="24">
        <f t="shared" si="110"/>
        <v>134.4725</v>
      </c>
      <c r="AG300" s="33">
        <v>2800</v>
      </c>
      <c r="AH300" s="24"/>
      <c r="AI300" s="24"/>
      <c r="AJ300" s="24"/>
      <c r="AK300" s="24"/>
      <c r="AL300" s="24"/>
      <c r="AM300" s="24" t="s">
        <v>79</v>
      </c>
      <c r="AN300" s="34" t="s">
        <v>1668</v>
      </c>
      <c r="AO300" s="35" t="s">
        <v>973</v>
      </c>
      <c r="AP300" s="24">
        <f>164*2</f>
        <v>328</v>
      </c>
      <c r="AQ300" s="36">
        <f t="shared" si="120"/>
        <v>100.92307692307692</v>
      </c>
      <c r="AR300" s="67">
        <v>85</v>
      </c>
      <c r="AS300" s="68">
        <f t="shared" si="121"/>
        <v>-15.92307692307692</v>
      </c>
      <c r="AT300" s="69"/>
      <c r="AU300" s="68">
        <f t="shared" si="122"/>
        <v>-15.92307692307692</v>
      </c>
      <c r="AV300" s="70">
        <v>91.99</v>
      </c>
      <c r="AW300" s="65">
        <f t="shared" si="115"/>
        <v>7819.15</v>
      </c>
      <c r="AX300" s="24">
        <f t="shared" si="131"/>
        <v>78.968934168696208</v>
      </c>
      <c r="AY300" s="24">
        <v>120</v>
      </c>
      <c r="AZ300" s="24"/>
      <c r="BA300" s="24"/>
      <c r="BB300" s="24">
        <f t="shared" si="123"/>
        <v>0</v>
      </c>
      <c r="BC300" s="24">
        <f t="shared" si="124"/>
        <v>2573.6275000000005</v>
      </c>
      <c r="BD300" s="24"/>
      <c r="BE300" s="24"/>
      <c r="BF300" s="24"/>
      <c r="BG300" s="24">
        <f>+AD300*8.5%</f>
        <v>1143.0162500000001</v>
      </c>
      <c r="BH300" s="24">
        <f>+AD300*8.5%</f>
        <v>1143.0162500000001</v>
      </c>
      <c r="BI300" s="24"/>
      <c r="BJ300" s="24">
        <f t="shared" si="125"/>
        <v>22.860325000000003</v>
      </c>
      <c r="BK300" s="24">
        <f t="shared" si="126"/>
        <v>4836.7996750000011</v>
      </c>
      <c r="BL300" s="24" t="s">
        <v>82</v>
      </c>
      <c r="BM300" s="42">
        <f t="shared" si="117"/>
        <v>2</v>
      </c>
      <c r="BN300" s="24" t="s">
        <v>83</v>
      </c>
      <c r="BO300" s="2" t="s">
        <v>148</v>
      </c>
    </row>
    <row r="301" spans="1:67" s="1" customFormat="1" ht="15" customHeight="1" x14ac:dyDescent="0.3">
      <c r="A301" s="20">
        <v>297</v>
      </c>
      <c r="B301" s="21">
        <v>46101</v>
      </c>
      <c r="C301" s="21">
        <v>46102</v>
      </c>
      <c r="D301" s="52" t="s">
        <v>523</v>
      </c>
      <c r="E301" s="23">
        <v>46105</v>
      </c>
      <c r="F301" s="23" t="s">
        <v>7</v>
      </c>
      <c r="G301" s="24" t="s">
        <v>68</v>
      </c>
      <c r="H301" s="24" t="s">
        <v>69</v>
      </c>
      <c r="I301" s="24" t="s">
        <v>70</v>
      </c>
      <c r="J301" s="25" t="s">
        <v>177</v>
      </c>
      <c r="K301" s="45" t="str">
        <f t="shared" si="118"/>
        <v>WB39B8916</v>
      </c>
      <c r="L301" s="26">
        <v>46101</v>
      </c>
      <c r="M301" s="34" t="s">
        <v>1669</v>
      </c>
      <c r="N301" s="27" t="s">
        <v>1670</v>
      </c>
      <c r="O301" s="28">
        <v>0</v>
      </c>
      <c r="P301" s="27" t="s">
        <v>1671</v>
      </c>
      <c r="Q301" s="29">
        <v>2525372244</v>
      </c>
      <c r="R301" s="30">
        <v>2110819972</v>
      </c>
      <c r="S301" s="31" t="s">
        <v>73</v>
      </c>
      <c r="T301" s="24" t="s">
        <v>91</v>
      </c>
      <c r="U301" s="24" t="s">
        <v>75</v>
      </c>
      <c r="V301" s="32" t="s">
        <v>1468</v>
      </c>
      <c r="W301" s="32" t="s">
        <v>528</v>
      </c>
      <c r="X301" s="32" t="s">
        <v>1469</v>
      </c>
      <c r="Y301" s="24">
        <v>542</v>
      </c>
      <c r="Z301" s="24">
        <v>25</v>
      </c>
      <c r="AA301" s="24">
        <f t="shared" si="119"/>
        <v>514.9</v>
      </c>
      <c r="AB301" s="24">
        <f t="shared" si="111"/>
        <v>13550</v>
      </c>
      <c r="AC301" s="24">
        <f t="shared" si="112"/>
        <v>12872.5</v>
      </c>
      <c r="AD301" s="24">
        <f t="shared" si="113"/>
        <v>12872.5</v>
      </c>
      <c r="AE301" s="24">
        <f t="shared" si="114"/>
        <v>677.5</v>
      </c>
      <c r="AF301" s="24">
        <f t="shared" si="110"/>
        <v>128.72499999999999</v>
      </c>
      <c r="AG301" s="33">
        <v>4700</v>
      </c>
      <c r="AH301" s="24"/>
      <c r="AI301" s="24">
        <v>375</v>
      </c>
      <c r="AJ301" s="24"/>
      <c r="AK301" s="24"/>
      <c r="AL301" s="24"/>
      <c r="AM301" s="24" t="s">
        <v>79</v>
      </c>
      <c r="AN301" s="34" t="s">
        <v>1672</v>
      </c>
      <c r="AO301" s="35" t="s">
        <v>1673</v>
      </c>
      <c r="AP301" s="24">
        <f>89*2</f>
        <v>178</v>
      </c>
      <c r="AQ301" s="36">
        <f t="shared" si="120"/>
        <v>54.769230769230766</v>
      </c>
      <c r="AR301" s="79">
        <v>50</v>
      </c>
      <c r="AS301" s="47">
        <f t="shared" si="121"/>
        <v>-4.7692307692307665</v>
      </c>
      <c r="AT301" s="31"/>
      <c r="AU301" s="47">
        <f t="shared" si="122"/>
        <v>-4.7692307692307665</v>
      </c>
      <c r="AV301" s="48">
        <v>91.99</v>
      </c>
      <c r="AW301" s="24">
        <f t="shared" si="115"/>
        <v>4599.5</v>
      </c>
      <c r="AX301" s="24">
        <f t="shared" si="131"/>
        <v>72.243154010487473</v>
      </c>
      <c r="AY301" s="24">
        <v>100</v>
      </c>
      <c r="AZ301" s="24"/>
      <c r="BA301" s="24"/>
      <c r="BB301" s="24">
        <f t="shared" si="123"/>
        <v>0</v>
      </c>
      <c r="BC301" s="24">
        <f t="shared" si="124"/>
        <v>2969.2749999999996</v>
      </c>
      <c r="BD301" s="24">
        <v>135</v>
      </c>
      <c r="BE301" s="24">
        <v>135</v>
      </c>
      <c r="BF301" s="24"/>
      <c r="BG301" s="24">
        <f>+AD301*9.5%</f>
        <v>1222.8875</v>
      </c>
      <c r="BH301" s="24"/>
      <c r="BI301" s="24"/>
      <c r="BJ301" s="24">
        <f t="shared" si="125"/>
        <v>12.228875</v>
      </c>
      <c r="BK301" s="24">
        <f t="shared" si="126"/>
        <v>4449.9336249999997</v>
      </c>
      <c r="BL301" s="24" t="s">
        <v>182</v>
      </c>
      <c r="BM301" s="42">
        <f t="shared" si="117"/>
        <v>1</v>
      </c>
      <c r="BN301" s="24" t="s">
        <v>610</v>
      </c>
      <c r="BO301" s="2" t="s">
        <v>148</v>
      </c>
    </row>
    <row r="302" spans="1:67" s="1" customFormat="1" ht="15" customHeight="1" x14ac:dyDescent="0.3">
      <c r="A302" s="20">
        <v>298</v>
      </c>
      <c r="B302" s="21">
        <v>46101</v>
      </c>
      <c r="C302" s="21">
        <v>46105</v>
      </c>
      <c r="D302" s="50" t="s">
        <v>1674</v>
      </c>
      <c r="E302" s="23">
        <v>46139</v>
      </c>
      <c r="F302" s="23" t="s">
        <v>7</v>
      </c>
      <c r="G302" s="24" t="s">
        <v>68</v>
      </c>
      <c r="H302" s="24" t="s">
        <v>69</v>
      </c>
      <c r="I302" s="24" t="s">
        <v>70</v>
      </c>
      <c r="J302" s="25" t="s">
        <v>336</v>
      </c>
      <c r="K302" s="45" t="str">
        <f t="shared" si="118"/>
        <v>WB39B0801</v>
      </c>
      <c r="L302" s="26">
        <v>46102</v>
      </c>
      <c r="M302" s="34" t="s">
        <v>1675</v>
      </c>
      <c r="N302" s="27" t="s">
        <v>1676</v>
      </c>
      <c r="O302" s="28">
        <v>0</v>
      </c>
      <c r="P302" s="27" t="s">
        <v>1677</v>
      </c>
      <c r="Q302" s="29">
        <v>2525372277</v>
      </c>
      <c r="R302" s="30">
        <v>2110820026</v>
      </c>
      <c r="S302" s="31" t="s">
        <v>73</v>
      </c>
      <c r="T302" s="24" t="s">
        <v>74</v>
      </c>
      <c r="U302" s="24" t="s">
        <v>75</v>
      </c>
      <c r="V302" s="32" t="s">
        <v>1678</v>
      </c>
      <c r="W302" s="32" t="s">
        <v>1679</v>
      </c>
      <c r="X302" s="32" t="s">
        <v>1680</v>
      </c>
      <c r="Y302" s="24">
        <v>704</v>
      </c>
      <c r="Z302" s="24">
        <v>19</v>
      </c>
      <c r="AA302" s="24">
        <f t="shared" si="119"/>
        <v>668.8</v>
      </c>
      <c r="AB302" s="24">
        <f t="shared" si="111"/>
        <v>13376</v>
      </c>
      <c r="AC302" s="24">
        <f t="shared" si="112"/>
        <v>12707.199999999999</v>
      </c>
      <c r="AD302" s="24">
        <f t="shared" si="113"/>
        <v>12707.199999999999</v>
      </c>
      <c r="AE302" s="24">
        <f t="shared" si="114"/>
        <v>668.80000000000109</v>
      </c>
      <c r="AF302" s="24">
        <f t="shared" si="110"/>
        <v>127.07199999999999</v>
      </c>
      <c r="AG302" s="33">
        <v>2800</v>
      </c>
      <c r="AH302" s="24"/>
      <c r="AI302" s="24"/>
      <c r="AJ302" s="24"/>
      <c r="AK302" s="24"/>
      <c r="AL302" s="24"/>
      <c r="AM302" s="24" t="s">
        <v>79</v>
      </c>
      <c r="AN302" s="34" t="s">
        <v>1681</v>
      </c>
      <c r="AO302" s="35" t="s">
        <v>973</v>
      </c>
      <c r="AP302" s="24">
        <f>136*2</f>
        <v>272</v>
      </c>
      <c r="AQ302" s="36">
        <f t="shared" si="120"/>
        <v>83.692307692307693</v>
      </c>
      <c r="AR302" s="67">
        <v>88</v>
      </c>
      <c r="AS302" s="68">
        <f t="shared" si="121"/>
        <v>4.3076923076923066</v>
      </c>
      <c r="AT302" s="69"/>
      <c r="AU302" s="68">
        <f t="shared" si="122"/>
        <v>4.3076923076923066</v>
      </c>
      <c r="AV302" s="70">
        <v>91.99</v>
      </c>
      <c r="AW302" s="65">
        <f t="shared" si="115"/>
        <v>8095.12</v>
      </c>
      <c r="AX302" s="24">
        <f t="shared" si="131"/>
        <v>85.739738101233939</v>
      </c>
      <c r="AY302" s="24">
        <v>120</v>
      </c>
      <c r="AZ302" s="24"/>
      <c r="BA302" s="24"/>
      <c r="BB302" s="24">
        <f t="shared" si="123"/>
        <v>0</v>
      </c>
      <c r="BC302" s="24">
        <f t="shared" si="124"/>
        <v>1565.0079999999989</v>
      </c>
      <c r="BD302" s="24">
        <v>110</v>
      </c>
      <c r="BE302" s="24">
        <v>110</v>
      </c>
      <c r="BF302" s="24"/>
      <c r="BG302" s="24">
        <f>+AD302*8.5%</f>
        <v>1080.1120000000001</v>
      </c>
      <c r="BH302" s="24">
        <f>+AD302*8.5%</f>
        <v>1080.1120000000001</v>
      </c>
      <c r="BI302" s="24"/>
      <c r="BJ302" s="24">
        <f t="shared" si="125"/>
        <v>21.602240000000002</v>
      </c>
      <c r="BK302" s="24">
        <f t="shared" si="126"/>
        <v>3923.6297599999989</v>
      </c>
      <c r="BL302" s="24" t="s">
        <v>82</v>
      </c>
      <c r="BM302" s="42">
        <f t="shared" si="117"/>
        <v>2</v>
      </c>
      <c r="BN302" s="24" t="s">
        <v>83</v>
      </c>
      <c r="BO302" s="2" t="s">
        <v>148</v>
      </c>
    </row>
    <row r="303" spans="1:67" s="1" customFormat="1" ht="15" customHeight="1" x14ac:dyDescent="0.3">
      <c r="A303" s="20">
        <v>299</v>
      </c>
      <c r="B303" s="21">
        <v>46101</v>
      </c>
      <c r="C303" s="21">
        <v>46119</v>
      </c>
      <c r="D303" s="50" t="s">
        <v>1682</v>
      </c>
      <c r="E303" s="23">
        <v>46120</v>
      </c>
      <c r="F303" s="23" t="s">
        <v>7</v>
      </c>
      <c r="G303" s="24" t="s">
        <v>68</v>
      </c>
      <c r="H303" s="24" t="s">
        <v>69</v>
      </c>
      <c r="I303" s="24" t="s">
        <v>70</v>
      </c>
      <c r="J303" s="25" t="s">
        <v>612</v>
      </c>
      <c r="K303" s="45" t="str">
        <f t="shared" si="118"/>
        <v>WB39B2382</v>
      </c>
      <c r="L303" s="26">
        <v>46102</v>
      </c>
      <c r="M303" s="34" t="s">
        <v>1683</v>
      </c>
      <c r="N303" s="27" t="s">
        <v>1684</v>
      </c>
      <c r="O303" s="28">
        <v>0</v>
      </c>
      <c r="P303" s="27" t="s">
        <v>1685</v>
      </c>
      <c r="Q303" s="29">
        <v>2590202347</v>
      </c>
      <c r="R303" s="30">
        <v>2160380062</v>
      </c>
      <c r="S303" s="31" t="s">
        <v>73</v>
      </c>
      <c r="T303" s="24" t="s">
        <v>91</v>
      </c>
      <c r="U303" s="24" t="s">
        <v>347</v>
      </c>
      <c r="V303" s="32" t="s">
        <v>616</v>
      </c>
      <c r="W303" s="32" t="s">
        <v>349</v>
      </c>
      <c r="X303" s="32" t="s">
        <v>349</v>
      </c>
      <c r="Y303" s="24">
        <v>934</v>
      </c>
      <c r="Z303" s="24">
        <v>25</v>
      </c>
      <c r="AA303" s="24">
        <f t="shared" si="119"/>
        <v>887.3</v>
      </c>
      <c r="AB303" s="61">
        <f t="shared" si="111"/>
        <v>23350</v>
      </c>
      <c r="AC303" s="24">
        <f t="shared" si="112"/>
        <v>22182.5</v>
      </c>
      <c r="AD303" s="24">
        <f t="shared" si="113"/>
        <v>22182.5</v>
      </c>
      <c r="AE303" s="24">
        <f t="shared" si="114"/>
        <v>1167.5</v>
      </c>
      <c r="AF303" s="24">
        <f t="shared" si="110"/>
        <v>221.82500000000002</v>
      </c>
      <c r="AG303" s="33">
        <v>4700</v>
      </c>
      <c r="AH303" s="24"/>
      <c r="AI303" s="24"/>
      <c r="AJ303" s="24"/>
      <c r="AK303" s="24"/>
      <c r="AL303" s="24"/>
      <c r="AM303" s="24" t="s">
        <v>79</v>
      </c>
      <c r="AN303" s="34" t="s">
        <v>1686</v>
      </c>
      <c r="AO303" s="35" t="s">
        <v>973</v>
      </c>
      <c r="AP303" s="24">
        <f>225*2</f>
        <v>450</v>
      </c>
      <c r="AQ303" s="36">
        <f t="shared" si="120"/>
        <v>138.46153846153845</v>
      </c>
      <c r="AR303" s="67">
        <v>150</v>
      </c>
      <c r="AS303" s="68">
        <f t="shared" si="121"/>
        <v>11.538461538461547</v>
      </c>
      <c r="AT303" s="69"/>
      <c r="AU303" s="68">
        <f t="shared" si="122"/>
        <v>11.538461538461547</v>
      </c>
      <c r="AV303" s="70">
        <v>91.99</v>
      </c>
      <c r="AW303" s="65">
        <f t="shared" si="115"/>
        <v>13798.5</v>
      </c>
      <c r="AX303" s="24">
        <f t="shared" si="131"/>
        <v>83.392313760847514</v>
      </c>
      <c r="AY303" s="24"/>
      <c r="AZ303" s="24"/>
      <c r="BA303" s="24"/>
      <c r="BB303" s="24">
        <f t="shared" si="123"/>
        <v>0</v>
      </c>
      <c r="BC303" s="24">
        <f t="shared" si="124"/>
        <v>3462.1749999999993</v>
      </c>
      <c r="BD303" s="24"/>
      <c r="BE303" s="24"/>
      <c r="BF303" s="24"/>
      <c r="BG303" s="24">
        <f>+AD303*9.5%</f>
        <v>2107.3375000000001</v>
      </c>
      <c r="BH303" s="24"/>
      <c r="BI303" s="24"/>
      <c r="BJ303" s="24">
        <f t="shared" si="125"/>
        <v>21.073375000000002</v>
      </c>
      <c r="BK303" s="24">
        <f t="shared" si="126"/>
        <v>5548.439124999999</v>
      </c>
      <c r="BL303" s="24" t="s">
        <v>618</v>
      </c>
      <c r="BM303" s="42">
        <f t="shared" si="117"/>
        <v>2</v>
      </c>
      <c r="BN303" s="24" t="s">
        <v>83</v>
      </c>
      <c r="BO303" s="2" t="s">
        <v>148</v>
      </c>
    </row>
    <row r="304" spans="1:67" s="1" customFormat="1" ht="15" customHeight="1" x14ac:dyDescent="0.3">
      <c r="A304" s="20">
        <v>300</v>
      </c>
      <c r="B304" s="21">
        <v>46101</v>
      </c>
      <c r="C304" s="71">
        <v>46104</v>
      </c>
      <c r="D304" s="52" t="s">
        <v>1334</v>
      </c>
      <c r="E304" s="23">
        <v>46104</v>
      </c>
      <c r="F304" s="23" t="s">
        <v>7</v>
      </c>
      <c r="G304" s="24" t="s">
        <v>68</v>
      </c>
      <c r="H304" s="24" t="s">
        <v>69</v>
      </c>
      <c r="I304" s="24" t="s">
        <v>112</v>
      </c>
      <c r="J304" s="25" t="s">
        <v>157</v>
      </c>
      <c r="K304" s="45" t="str">
        <f t="shared" si="118"/>
        <v>WB39A6898</v>
      </c>
      <c r="L304" s="26">
        <v>46102</v>
      </c>
      <c r="M304" s="34" t="s">
        <v>1687</v>
      </c>
      <c r="N304" s="27" t="s">
        <v>1688</v>
      </c>
      <c r="O304" s="28">
        <v>0</v>
      </c>
      <c r="P304" s="27" t="s">
        <v>1689</v>
      </c>
      <c r="Q304" s="29">
        <v>2525372349</v>
      </c>
      <c r="R304" s="30">
        <v>2110820202</v>
      </c>
      <c r="S304" s="31" t="s">
        <v>73</v>
      </c>
      <c r="T304" s="24" t="s">
        <v>74</v>
      </c>
      <c r="U304" s="24" t="s">
        <v>75</v>
      </c>
      <c r="V304" s="32" t="s">
        <v>989</v>
      </c>
      <c r="W304" s="32" t="s">
        <v>990</v>
      </c>
      <c r="X304" s="32"/>
      <c r="Y304" s="24">
        <v>654</v>
      </c>
      <c r="Z304" s="24">
        <v>19</v>
      </c>
      <c r="AA304" s="24">
        <f t="shared" si="119"/>
        <v>621.29999999999995</v>
      </c>
      <c r="AB304" s="24">
        <f t="shared" si="111"/>
        <v>12426</v>
      </c>
      <c r="AC304" s="24">
        <f t="shared" si="112"/>
        <v>11804.7</v>
      </c>
      <c r="AD304" s="24">
        <f t="shared" si="113"/>
        <v>11804.699999999999</v>
      </c>
      <c r="AE304" s="24">
        <f t="shared" si="114"/>
        <v>621.30000000000109</v>
      </c>
      <c r="AF304" s="24">
        <f t="shared" si="110"/>
        <v>118.047</v>
      </c>
      <c r="AG304" s="33">
        <v>3200</v>
      </c>
      <c r="AH304" s="24">
        <v>500</v>
      </c>
      <c r="AI304" s="24">
        <v>1000</v>
      </c>
      <c r="AJ304" s="24"/>
      <c r="AK304" s="24"/>
      <c r="AL304" s="24"/>
      <c r="AM304" s="24" t="s">
        <v>79</v>
      </c>
      <c r="AN304" s="34" t="s">
        <v>1690</v>
      </c>
      <c r="AO304" s="35" t="s">
        <v>1673</v>
      </c>
      <c r="AP304" s="24">
        <f>122*2</f>
        <v>244</v>
      </c>
      <c r="AQ304" s="36">
        <f t="shared" si="120"/>
        <v>75.07692307692308</v>
      </c>
      <c r="AR304" s="79">
        <f>58</f>
        <v>58</v>
      </c>
      <c r="AS304" s="47">
        <f t="shared" si="121"/>
        <v>-17.07692307692308</v>
      </c>
      <c r="AT304" s="31"/>
      <c r="AU304" s="47">
        <f t="shared" si="122"/>
        <v>-17.07692307692308</v>
      </c>
      <c r="AV304" s="48">
        <v>91.88</v>
      </c>
      <c r="AW304" s="24">
        <f t="shared" si="115"/>
        <v>5329.04</v>
      </c>
      <c r="AX304" s="24">
        <f t="shared" si="131"/>
        <v>72.25122197090991</v>
      </c>
      <c r="AY304" s="24"/>
      <c r="AZ304" s="24"/>
      <c r="BA304" s="24"/>
      <c r="BB304" s="24">
        <f t="shared" si="123"/>
        <v>0</v>
      </c>
      <c r="BC304" s="24">
        <f t="shared" si="124"/>
        <v>1657.6129999999985</v>
      </c>
      <c r="BD304" s="24">
        <v>110</v>
      </c>
      <c r="BE304" s="24">
        <v>110</v>
      </c>
      <c r="BF304" s="24"/>
      <c r="BG304" s="24">
        <f>+AD304*8.5%</f>
        <v>1003.3995</v>
      </c>
      <c r="BH304" s="24">
        <f>+AD304*8.5%</f>
        <v>1003.3995</v>
      </c>
      <c r="BI304" s="24"/>
      <c r="BJ304" s="24">
        <f t="shared" si="125"/>
        <v>20.067990000000002</v>
      </c>
      <c r="BK304" s="24">
        <f t="shared" si="126"/>
        <v>3864.3440099999984</v>
      </c>
      <c r="BL304" s="24" t="s">
        <v>163</v>
      </c>
      <c r="BM304" s="42">
        <f t="shared" si="117"/>
        <v>2</v>
      </c>
      <c r="BN304" s="24" t="s">
        <v>83</v>
      </c>
      <c r="BO304" s="2" t="s">
        <v>84</v>
      </c>
    </row>
    <row r="305" spans="1:67" s="1" customFormat="1" ht="15" customHeight="1" x14ac:dyDescent="0.3">
      <c r="A305" s="20">
        <v>301</v>
      </c>
      <c r="B305" s="21">
        <v>46101</v>
      </c>
      <c r="C305" s="21">
        <v>46107</v>
      </c>
      <c r="D305" s="50" t="s">
        <v>1648</v>
      </c>
      <c r="E305" s="23">
        <v>46108</v>
      </c>
      <c r="F305" s="23" t="s">
        <v>7</v>
      </c>
      <c r="G305" s="24" t="s">
        <v>87</v>
      </c>
      <c r="H305" s="24" t="s">
        <v>69</v>
      </c>
      <c r="I305" s="24" t="s">
        <v>389</v>
      </c>
      <c r="J305" s="25" t="s">
        <v>1423</v>
      </c>
      <c r="K305" s="45" t="str">
        <f t="shared" si="118"/>
        <v>WB39G8384</v>
      </c>
      <c r="L305" s="26">
        <v>46105</v>
      </c>
      <c r="M305" s="34" t="s">
        <v>1691</v>
      </c>
      <c r="N305" s="27" t="s">
        <v>1692</v>
      </c>
      <c r="O305" s="28">
        <v>0</v>
      </c>
      <c r="P305" s="27"/>
      <c r="Q305" s="29">
        <v>2590202384</v>
      </c>
      <c r="R305" s="30">
        <v>2160379807</v>
      </c>
      <c r="S305" s="31" t="s">
        <v>73</v>
      </c>
      <c r="T305" s="24" t="s">
        <v>91</v>
      </c>
      <c r="U305" s="24" t="s">
        <v>347</v>
      </c>
      <c r="V305" s="32" t="s">
        <v>1651</v>
      </c>
      <c r="W305" s="32" t="s">
        <v>1144</v>
      </c>
      <c r="X305" s="32" t="s">
        <v>1144</v>
      </c>
      <c r="Y305" s="24">
        <v>1050</v>
      </c>
      <c r="Z305" s="24">
        <v>25</v>
      </c>
      <c r="AA305" s="24">
        <f t="shared" si="119"/>
        <v>997.5</v>
      </c>
      <c r="AB305" s="24">
        <f t="shared" si="111"/>
        <v>26250</v>
      </c>
      <c r="AC305" s="24">
        <f t="shared" si="112"/>
        <v>24937.5</v>
      </c>
      <c r="AD305" s="24">
        <f t="shared" si="113"/>
        <v>24937.5</v>
      </c>
      <c r="AE305" s="24">
        <f t="shared" si="114"/>
        <v>1312.5</v>
      </c>
      <c r="AF305" s="24">
        <f t="shared" si="110"/>
        <v>249.375</v>
      </c>
      <c r="AG305" s="33">
        <v>3200</v>
      </c>
      <c r="AH305" s="24"/>
      <c r="AI305" s="24"/>
      <c r="AJ305" s="24"/>
      <c r="AK305" s="24"/>
      <c r="AL305" s="24"/>
      <c r="AM305" s="24" t="s">
        <v>79</v>
      </c>
      <c r="AN305" s="34" t="s">
        <v>1693</v>
      </c>
      <c r="AO305" s="35" t="s">
        <v>973</v>
      </c>
      <c r="AP305" s="24">
        <f>269*2</f>
        <v>538</v>
      </c>
      <c r="AQ305" s="36">
        <f t="shared" si="120"/>
        <v>165.53846153846155</v>
      </c>
      <c r="AR305" s="67">
        <v>166</v>
      </c>
      <c r="AS305" s="68">
        <f t="shared" si="121"/>
        <v>0.46153846153845279</v>
      </c>
      <c r="AT305" s="69"/>
      <c r="AU305" s="68">
        <f t="shared" si="122"/>
        <v>0.46153846153845279</v>
      </c>
      <c r="AV305" s="70">
        <v>91.88</v>
      </c>
      <c r="AW305" s="65">
        <f t="shared" si="115"/>
        <v>15252.08</v>
      </c>
      <c r="AX305" s="24">
        <f t="shared" si="131"/>
        <v>73.993303258145374</v>
      </c>
      <c r="AY305" s="24"/>
      <c r="AZ305" s="24"/>
      <c r="BA305" s="24"/>
      <c r="BB305" s="24">
        <f t="shared" si="123"/>
        <v>0</v>
      </c>
      <c r="BC305" s="24">
        <f t="shared" si="124"/>
        <v>6236.0450000000001</v>
      </c>
      <c r="BD305" s="24"/>
      <c r="BE305" s="24"/>
      <c r="BF305" s="24"/>
      <c r="BG305" s="24">
        <f>+AB305*9.5%</f>
        <v>2493.75</v>
      </c>
      <c r="BH305" s="24"/>
      <c r="BI305" s="24"/>
      <c r="BJ305" s="24">
        <f t="shared" si="125"/>
        <v>24.9375</v>
      </c>
      <c r="BK305" s="24">
        <f t="shared" si="126"/>
        <v>8704.8575000000001</v>
      </c>
      <c r="BL305" s="24" t="s">
        <v>261</v>
      </c>
      <c r="BM305" s="42">
        <f t="shared" si="117"/>
        <v>5</v>
      </c>
      <c r="BN305" s="24" t="s">
        <v>1542</v>
      </c>
      <c r="BO305" s="2" t="s">
        <v>500</v>
      </c>
    </row>
    <row r="306" spans="1:67" s="1" customFormat="1" ht="15" customHeight="1" x14ac:dyDescent="0.3">
      <c r="A306" s="20">
        <v>302</v>
      </c>
      <c r="B306" s="21">
        <v>46101</v>
      </c>
      <c r="C306" s="21">
        <v>46107</v>
      </c>
      <c r="D306" s="50" t="s">
        <v>1694</v>
      </c>
      <c r="E306" s="23">
        <v>46108</v>
      </c>
      <c r="F306" s="23" t="s">
        <v>7</v>
      </c>
      <c r="G306" s="24" t="s">
        <v>68</v>
      </c>
      <c r="H306" s="24" t="s">
        <v>69</v>
      </c>
      <c r="I306" s="24" t="s">
        <v>70</v>
      </c>
      <c r="J306" s="25" t="s">
        <v>674</v>
      </c>
      <c r="K306" s="45" t="str">
        <f t="shared" si="118"/>
        <v>WB39B3049</v>
      </c>
      <c r="L306" s="26">
        <v>46103</v>
      </c>
      <c r="M306" s="34" t="s">
        <v>1695</v>
      </c>
      <c r="N306" s="27" t="s">
        <v>1696</v>
      </c>
      <c r="O306" s="28">
        <v>0</v>
      </c>
      <c r="P306" s="27" t="s">
        <v>1697</v>
      </c>
      <c r="Q306" s="29">
        <v>2590202394</v>
      </c>
      <c r="R306" s="30">
        <v>2160380083</v>
      </c>
      <c r="S306" s="31" t="s">
        <v>73</v>
      </c>
      <c r="T306" s="24" t="s">
        <v>91</v>
      </c>
      <c r="U306" s="24" t="s">
        <v>347</v>
      </c>
      <c r="V306" s="32" t="s">
        <v>616</v>
      </c>
      <c r="W306" s="32" t="s">
        <v>349</v>
      </c>
      <c r="X306" s="32" t="s">
        <v>349</v>
      </c>
      <c r="Y306" s="24">
        <v>934</v>
      </c>
      <c r="Z306" s="24">
        <v>25</v>
      </c>
      <c r="AA306" s="24">
        <f t="shared" si="119"/>
        <v>887.3</v>
      </c>
      <c r="AB306" s="24">
        <f t="shared" si="111"/>
        <v>23350</v>
      </c>
      <c r="AC306" s="24">
        <f t="shared" si="112"/>
        <v>22182.5</v>
      </c>
      <c r="AD306" s="24">
        <f t="shared" si="113"/>
        <v>22182.5</v>
      </c>
      <c r="AE306" s="24">
        <f t="shared" si="114"/>
        <v>1167.5</v>
      </c>
      <c r="AF306" s="24">
        <f t="shared" si="110"/>
        <v>221.82500000000002</v>
      </c>
      <c r="AG306" s="33">
        <v>3700</v>
      </c>
      <c r="AH306" s="24"/>
      <c r="AI306" s="24"/>
      <c r="AJ306" s="24"/>
      <c r="AK306" s="24"/>
      <c r="AL306" s="24"/>
      <c r="AM306" s="24" t="s">
        <v>79</v>
      </c>
      <c r="AN306" s="34" t="s">
        <v>1698</v>
      </c>
      <c r="AO306" s="35" t="s">
        <v>973</v>
      </c>
      <c r="AP306" s="24">
        <f>225*2</f>
        <v>450</v>
      </c>
      <c r="AQ306" s="36">
        <f t="shared" si="120"/>
        <v>138.46153846153845</v>
      </c>
      <c r="AR306" s="67">
        <v>150</v>
      </c>
      <c r="AS306" s="68">
        <f t="shared" si="121"/>
        <v>11.538461538461547</v>
      </c>
      <c r="AT306" s="69"/>
      <c r="AU306" s="68">
        <f t="shared" si="122"/>
        <v>11.538461538461547</v>
      </c>
      <c r="AV306" s="70">
        <v>91.99</v>
      </c>
      <c r="AW306" s="65">
        <f t="shared" si="115"/>
        <v>13798.5</v>
      </c>
      <c r="AX306" s="24">
        <f t="shared" si="131"/>
        <v>78.884255606897327</v>
      </c>
      <c r="AY306" s="24"/>
      <c r="AZ306" s="24"/>
      <c r="BA306" s="24"/>
      <c r="BB306" s="24">
        <f t="shared" si="123"/>
        <v>0</v>
      </c>
      <c r="BC306" s="24">
        <f t="shared" si="124"/>
        <v>4462.1749999999993</v>
      </c>
      <c r="BD306" s="24"/>
      <c r="BE306" s="24"/>
      <c r="BF306" s="24"/>
      <c r="BG306" s="24">
        <f>+AD306*9.5%</f>
        <v>2107.3375000000001</v>
      </c>
      <c r="BH306" s="24"/>
      <c r="BI306" s="24"/>
      <c r="BJ306" s="24">
        <f t="shared" si="125"/>
        <v>21.073375000000002</v>
      </c>
      <c r="BK306" s="24">
        <f t="shared" si="126"/>
        <v>6548.439124999999</v>
      </c>
      <c r="BL306" s="24" t="s">
        <v>680</v>
      </c>
      <c r="BM306" s="42">
        <f t="shared" si="117"/>
        <v>3</v>
      </c>
      <c r="BN306" s="24" t="s">
        <v>139</v>
      </c>
      <c r="BO306" s="2" t="s">
        <v>148</v>
      </c>
    </row>
    <row r="307" spans="1:67" s="1" customFormat="1" ht="15" customHeight="1" x14ac:dyDescent="0.3">
      <c r="A307" s="20">
        <v>303</v>
      </c>
      <c r="B307" s="21">
        <v>46101</v>
      </c>
      <c r="C307" s="71">
        <v>46104</v>
      </c>
      <c r="D307" s="52" t="s">
        <v>1108</v>
      </c>
      <c r="E307" s="23">
        <v>46104</v>
      </c>
      <c r="F307" s="23" t="s">
        <v>7</v>
      </c>
      <c r="G307" s="24" t="s">
        <v>68</v>
      </c>
      <c r="H307" s="24" t="s">
        <v>69</v>
      </c>
      <c r="I307" s="24" t="s">
        <v>141</v>
      </c>
      <c r="J307" s="25" t="s">
        <v>142</v>
      </c>
      <c r="K307" s="45" t="str">
        <f t="shared" si="118"/>
        <v>WB41F2315</v>
      </c>
      <c r="L307" s="26">
        <v>46102</v>
      </c>
      <c r="M307" s="34" t="s">
        <v>1699</v>
      </c>
      <c r="N307" s="27" t="s">
        <v>1700</v>
      </c>
      <c r="O307" s="28">
        <v>0</v>
      </c>
      <c r="P307" s="27" t="s">
        <v>1701</v>
      </c>
      <c r="Q307" s="29">
        <v>2590202568</v>
      </c>
      <c r="R307" s="30">
        <v>2160380350</v>
      </c>
      <c r="S307" s="31" t="s">
        <v>73</v>
      </c>
      <c r="T307" s="24" t="s">
        <v>91</v>
      </c>
      <c r="U307" s="24" t="s">
        <v>347</v>
      </c>
      <c r="V307" s="32" t="s">
        <v>903</v>
      </c>
      <c r="W307" s="32" t="s">
        <v>349</v>
      </c>
      <c r="X307" s="32"/>
      <c r="Y307" s="24">
        <v>845</v>
      </c>
      <c r="Z307" s="24">
        <v>25</v>
      </c>
      <c r="AA307" s="24">
        <f t="shared" si="119"/>
        <v>802.74999999999989</v>
      </c>
      <c r="AB307" s="24">
        <f t="shared" si="111"/>
        <v>21125</v>
      </c>
      <c r="AC307" s="24">
        <f t="shared" si="112"/>
        <v>20068.75</v>
      </c>
      <c r="AD307" s="24">
        <f t="shared" si="113"/>
        <v>20068.749999999996</v>
      </c>
      <c r="AE307" s="24">
        <f t="shared" si="114"/>
        <v>1056.2500000000036</v>
      </c>
      <c r="AF307" s="24">
        <v>0</v>
      </c>
      <c r="AG307" s="33">
        <v>6600</v>
      </c>
      <c r="AH307" s="24"/>
      <c r="AI307" s="24"/>
      <c r="AJ307" s="24"/>
      <c r="AK307" s="24"/>
      <c r="AL307" s="24"/>
      <c r="AM307" s="24" t="s">
        <v>79</v>
      </c>
      <c r="AN307" s="34" t="s">
        <v>1702</v>
      </c>
      <c r="AO307" s="35" t="s">
        <v>973</v>
      </c>
      <c r="AP307" s="24">
        <f>162*2</f>
        <v>324</v>
      </c>
      <c r="AQ307" s="36">
        <f t="shared" si="120"/>
        <v>99.692307692307693</v>
      </c>
      <c r="AR307" s="67">
        <v>100</v>
      </c>
      <c r="AS307" s="68">
        <f t="shared" si="121"/>
        <v>0.3076923076923066</v>
      </c>
      <c r="AT307" s="69"/>
      <c r="AU307" s="68">
        <f t="shared" si="122"/>
        <v>0.3076923076923066</v>
      </c>
      <c r="AV307" s="70">
        <v>91.99</v>
      </c>
      <c r="AW307" s="65">
        <f t="shared" si="115"/>
        <v>9199</v>
      </c>
      <c r="AX307" s="24">
        <f t="shared" si="131"/>
        <v>78.724384926814096</v>
      </c>
      <c r="AY307" s="24"/>
      <c r="AZ307" s="24"/>
      <c r="BA307" s="24"/>
      <c r="BB307" s="24">
        <f t="shared" si="123"/>
        <v>0</v>
      </c>
      <c r="BC307" s="24">
        <f t="shared" si="124"/>
        <v>4269.7499999999964</v>
      </c>
      <c r="BD307" s="24"/>
      <c r="BE307" s="24"/>
      <c r="BF307" s="24"/>
      <c r="BG307" s="24">
        <f t="shared" ref="BG307:BG313" si="133">+AB307*9.5%</f>
        <v>2006.875</v>
      </c>
      <c r="BH307" s="24"/>
      <c r="BI307" s="24"/>
      <c r="BJ307" s="24">
        <f t="shared" si="125"/>
        <v>20.068750000000001</v>
      </c>
      <c r="BK307" s="24">
        <f t="shared" si="126"/>
        <v>6256.556249999996</v>
      </c>
      <c r="BL307" s="24" t="s">
        <v>147</v>
      </c>
      <c r="BM307" s="42">
        <f t="shared" si="117"/>
        <v>2</v>
      </c>
      <c r="BN307" s="24" t="s">
        <v>83</v>
      </c>
      <c r="BO307" s="2" t="s">
        <v>148</v>
      </c>
    </row>
    <row r="308" spans="1:67" s="1" customFormat="1" ht="15" customHeight="1" x14ac:dyDescent="0.3">
      <c r="A308" s="20">
        <v>304</v>
      </c>
      <c r="B308" s="21">
        <v>46101</v>
      </c>
      <c r="C308" s="21">
        <v>46107</v>
      </c>
      <c r="D308" s="50" t="s">
        <v>1694</v>
      </c>
      <c r="E308" s="23">
        <v>46108</v>
      </c>
      <c r="F308" s="23" t="s">
        <v>7</v>
      </c>
      <c r="G308" s="24" t="s">
        <v>68</v>
      </c>
      <c r="H308" s="24" t="s">
        <v>69</v>
      </c>
      <c r="I308" s="24" t="s">
        <v>166</v>
      </c>
      <c r="J308" s="25" t="s">
        <v>360</v>
      </c>
      <c r="K308" s="45" t="str">
        <f t="shared" si="118"/>
        <v>WB41H6585</v>
      </c>
      <c r="L308" s="26">
        <v>46103</v>
      </c>
      <c r="M308" s="57" t="s">
        <v>1703</v>
      </c>
      <c r="N308" s="57" t="s">
        <v>1704</v>
      </c>
      <c r="O308" s="28">
        <v>0</v>
      </c>
      <c r="P308" s="27" t="s">
        <v>1705</v>
      </c>
      <c r="Q308" s="29">
        <v>2590202580</v>
      </c>
      <c r="R308" s="30">
        <v>2160380374</v>
      </c>
      <c r="S308" s="31" t="s">
        <v>73</v>
      </c>
      <c r="T308" s="24" t="s">
        <v>91</v>
      </c>
      <c r="U308" s="24" t="s">
        <v>347</v>
      </c>
      <c r="V308" s="32" t="s">
        <v>903</v>
      </c>
      <c r="W308" s="32" t="s">
        <v>349</v>
      </c>
      <c r="X308" s="32" t="s">
        <v>349</v>
      </c>
      <c r="Y308" s="24">
        <v>845</v>
      </c>
      <c r="Z308" s="24">
        <v>25</v>
      </c>
      <c r="AA308" s="24">
        <f t="shared" si="119"/>
        <v>802.74999999999989</v>
      </c>
      <c r="AB308" s="24">
        <f t="shared" si="111"/>
        <v>21125</v>
      </c>
      <c r="AC308" s="24">
        <f t="shared" si="112"/>
        <v>20068.75</v>
      </c>
      <c r="AD308" s="24">
        <f t="shared" si="113"/>
        <v>20068.749999999996</v>
      </c>
      <c r="AE308" s="24">
        <f t="shared" si="114"/>
        <v>1056.2500000000036</v>
      </c>
      <c r="AF308" s="24">
        <v>0</v>
      </c>
      <c r="AG308" s="33">
        <v>3000</v>
      </c>
      <c r="AH308" s="24"/>
      <c r="AI308" s="24"/>
      <c r="AJ308" s="24"/>
      <c r="AK308" s="24"/>
      <c r="AL308" s="24"/>
      <c r="AM308" s="24" t="s">
        <v>79</v>
      </c>
      <c r="AN308" s="34" t="s">
        <v>1706</v>
      </c>
      <c r="AO308" s="35" t="s">
        <v>973</v>
      </c>
      <c r="AP308" s="24">
        <f>162*2</f>
        <v>324</v>
      </c>
      <c r="AQ308" s="36">
        <f t="shared" si="120"/>
        <v>99.692307692307693</v>
      </c>
      <c r="AR308" s="67">
        <v>95</v>
      </c>
      <c r="AS308" s="68">
        <f t="shared" si="121"/>
        <v>-4.6923076923076934</v>
      </c>
      <c r="AT308" s="69"/>
      <c r="AU308" s="68">
        <f t="shared" si="122"/>
        <v>-4.6923076923076934</v>
      </c>
      <c r="AV308" s="70">
        <v>91.99</v>
      </c>
      <c r="AW308" s="65">
        <f t="shared" si="115"/>
        <v>8739.0499999999993</v>
      </c>
      <c r="AX308" s="24">
        <f t="shared" si="131"/>
        <v>58.494176269075062</v>
      </c>
      <c r="AY308" s="24"/>
      <c r="AZ308" s="24"/>
      <c r="BA308" s="24"/>
      <c r="BB308" s="24">
        <f t="shared" si="123"/>
        <v>0</v>
      </c>
      <c r="BC308" s="24">
        <f t="shared" si="124"/>
        <v>8329.6999999999971</v>
      </c>
      <c r="BD308" s="24"/>
      <c r="BE308" s="24"/>
      <c r="BF308" s="24"/>
      <c r="BG308" s="24">
        <f t="shared" si="133"/>
        <v>2006.875</v>
      </c>
      <c r="BH308" s="24"/>
      <c r="BI308" s="24"/>
      <c r="BJ308" s="24">
        <f t="shared" si="125"/>
        <v>20.068750000000001</v>
      </c>
      <c r="BK308" s="24">
        <f t="shared" si="126"/>
        <v>10316.506249999997</v>
      </c>
      <c r="BL308" s="24" t="s">
        <v>365</v>
      </c>
      <c r="BM308" s="42">
        <f t="shared" si="117"/>
        <v>3</v>
      </c>
      <c r="BN308" s="24" t="s">
        <v>139</v>
      </c>
      <c r="BO308" s="2" t="s">
        <v>148</v>
      </c>
    </row>
    <row r="309" spans="1:67" s="1" customFormat="1" ht="15" customHeight="1" x14ac:dyDescent="0.3">
      <c r="A309" s="20">
        <v>305</v>
      </c>
      <c r="B309" s="21">
        <v>46101</v>
      </c>
      <c r="C309" s="71">
        <v>46104</v>
      </c>
      <c r="D309" s="52" t="s">
        <v>1264</v>
      </c>
      <c r="E309" s="23">
        <v>46104</v>
      </c>
      <c r="F309" s="23" t="s">
        <v>7</v>
      </c>
      <c r="G309" s="24" t="s">
        <v>87</v>
      </c>
      <c r="H309" s="24" t="s">
        <v>69</v>
      </c>
      <c r="I309" s="24" t="s">
        <v>236</v>
      </c>
      <c r="J309" s="25" t="s">
        <v>681</v>
      </c>
      <c r="K309" s="45" t="str">
        <f t="shared" si="118"/>
        <v>WB41J9696</v>
      </c>
      <c r="L309" s="26">
        <v>46102</v>
      </c>
      <c r="M309" s="34" t="s">
        <v>1707</v>
      </c>
      <c r="N309" s="27" t="s">
        <v>1708</v>
      </c>
      <c r="O309" s="28">
        <v>0</v>
      </c>
      <c r="P309" s="27"/>
      <c r="Q309" s="29">
        <v>2590202584</v>
      </c>
      <c r="R309" s="30">
        <v>2160380298</v>
      </c>
      <c r="S309" s="31" t="s">
        <v>73</v>
      </c>
      <c r="T309" s="24" t="s">
        <v>241</v>
      </c>
      <c r="U309" s="24" t="s">
        <v>347</v>
      </c>
      <c r="V309" s="32" t="s">
        <v>642</v>
      </c>
      <c r="W309" s="32" t="s">
        <v>1144</v>
      </c>
      <c r="X309" s="32"/>
      <c r="Y309" s="24">
        <v>635</v>
      </c>
      <c r="Z309" s="24">
        <v>30</v>
      </c>
      <c r="AA309" s="24">
        <f t="shared" si="119"/>
        <v>603.25</v>
      </c>
      <c r="AB309" s="24">
        <f t="shared" si="111"/>
        <v>19050</v>
      </c>
      <c r="AC309" s="24">
        <f t="shared" si="112"/>
        <v>18097.5</v>
      </c>
      <c r="AD309" s="24">
        <f t="shared" si="113"/>
        <v>18097.5</v>
      </c>
      <c r="AE309" s="24">
        <f t="shared" si="114"/>
        <v>952.5</v>
      </c>
      <c r="AF309" s="24">
        <v>0</v>
      </c>
      <c r="AG309" s="33">
        <v>4000</v>
      </c>
      <c r="AH309" s="24"/>
      <c r="AI309" s="24"/>
      <c r="AJ309" s="24"/>
      <c r="AK309" s="24"/>
      <c r="AL309" s="24"/>
      <c r="AM309" s="24" t="s">
        <v>79</v>
      </c>
      <c r="AN309" s="34" t="s">
        <v>1709</v>
      </c>
      <c r="AO309" s="35" t="s">
        <v>973</v>
      </c>
      <c r="AP309" s="24">
        <f>127*2</f>
        <v>254</v>
      </c>
      <c r="AQ309" s="36">
        <f t="shared" si="120"/>
        <v>78.15384615384616</v>
      </c>
      <c r="AR309" s="67">
        <v>85</v>
      </c>
      <c r="AS309" s="68">
        <f t="shared" si="121"/>
        <v>6.8461538461538396</v>
      </c>
      <c r="AT309" s="69"/>
      <c r="AU309" s="68">
        <f t="shared" si="122"/>
        <v>6.8461538461538396</v>
      </c>
      <c r="AV309" s="70">
        <v>91.99</v>
      </c>
      <c r="AW309" s="65">
        <f t="shared" si="115"/>
        <v>7819.15</v>
      </c>
      <c r="AX309" s="24">
        <f t="shared" si="131"/>
        <v>65.308191739190491</v>
      </c>
      <c r="AY309" s="24"/>
      <c r="AZ309" s="24"/>
      <c r="BA309" s="24"/>
      <c r="BB309" s="24">
        <f t="shared" si="123"/>
        <v>0</v>
      </c>
      <c r="BC309" s="24">
        <f t="shared" si="124"/>
        <v>6278.35</v>
      </c>
      <c r="BD309" s="24"/>
      <c r="BE309" s="24"/>
      <c r="BF309" s="24"/>
      <c r="BG309" s="24">
        <f t="shared" si="133"/>
        <v>1809.75</v>
      </c>
      <c r="BH309" s="24"/>
      <c r="BI309" s="24"/>
      <c r="BJ309" s="24">
        <f t="shared" si="125"/>
        <v>18.0975</v>
      </c>
      <c r="BK309" s="24">
        <f t="shared" si="126"/>
        <v>8070.0025000000005</v>
      </c>
      <c r="BL309" s="24" t="s">
        <v>687</v>
      </c>
      <c r="BM309" s="42">
        <f t="shared" si="117"/>
        <v>2</v>
      </c>
      <c r="BN309" s="24" t="s">
        <v>83</v>
      </c>
      <c r="BO309" s="2" t="s">
        <v>148</v>
      </c>
    </row>
    <row r="310" spans="1:67" s="1" customFormat="1" ht="15" customHeight="1" x14ac:dyDescent="0.3">
      <c r="A310" s="20">
        <v>306</v>
      </c>
      <c r="B310" s="21">
        <v>46101</v>
      </c>
      <c r="C310" s="21">
        <v>46105</v>
      </c>
      <c r="D310" s="50" t="s">
        <v>410</v>
      </c>
      <c r="E310" s="23">
        <v>46123</v>
      </c>
      <c r="F310" s="23" t="s">
        <v>7</v>
      </c>
      <c r="G310" s="24" t="s">
        <v>68</v>
      </c>
      <c r="H310" s="24" t="s">
        <v>69</v>
      </c>
      <c r="I310" s="24" t="s">
        <v>800</v>
      </c>
      <c r="J310" s="25" t="s">
        <v>801</v>
      </c>
      <c r="K310" s="59" t="str">
        <f t="shared" si="118"/>
        <v>WB41P4782</v>
      </c>
      <c r="L310" s="26">
        <v>46102</v>
      </c>
      <c r="M310" s="34" t="s">
        <v>1710</v>
      </c>
      <c r="N310" s="27" t="s">
        <v>1711</v>
      </c>
      <c r="O310" s="28">
        <v>0</v>
      </c>
      <c r="P310" s="27" t="s">
        <v>1712</v>
      </c>
      <c r="Q310" s="29">
        <v>2525372708</v>
      </c>
      <c r="R310" s="30">
        <v>2110820843</v>
      </c>
      <c r="S310" s="60" t="s">
        <v>73</v>
      </c>
      <c r="T310" s="24" t="s">
        <v>188</v>
      </c>
      <c r="U310" s="24" t="s">
        <v>75</v>
      </c>
      <c r="V310" s="32" t="s">
        <v>1713</v>
      </c>
      <c r="W310" s="32" t="s">
        <v>415</v>
      </c>
      <c r="X310" s="32" t="s">
        <v>1714</v>
      </c>
      <c r="Y310" s="24">
        <v>675</v>
      </c>
      <c r="Z310" s="24">
        <v>13</v>
      </c>
      <c r="AA310" s="24">
        <f>+Y310/100*93</f>
        <v>627.75</v>
      </c>
      <c r="AB310" s="24">
        <f t="shared" si="111"/>
        <v>8775</v>
      </c>
      <c r="AC310" s="24">
        <f t="shared" si="112"/>
        <v>8336.25</v>
      </c>
      <c r="AD310" s="24">
        <f t="shared" si="113"/>
        <v>8160.75</v>
      </c>
      <c r="AE310" s="24">
        <f t="shared" si="114"/>
        <v>614.25</v>
      </c>
      <c r="AF310" s="24">
        <f t="shared" si="110"/>
        <v>81.607500000000002</v>
      </c>
      <c r="AG310" s="33">
        <v>1450</v>
      </c>
      <c r="AH310" s="24"/>
      <c r="AI310" s="24"/>
      <c r="AJ310" s="24"/>
      <c r="AK310" s="24"/>
      <c r="AL310" s="24"/>
      <c r="AM310" s="24" t="s">
        <v>79</v>
      </c>
      <c r="AN310" s="34" t="s">
        <v>1715</v>
      </c>
      <c r="AO310" s="35" t="s">
        <v>973</v>
      </c>
      <c r="AP310" s="24">
        <f>138*2</f>
        <v>276</v>
      </c>
      <c r="AQ310" s="36">
        <f t="shared" si="120"/>
        <v>84.92307692307692</v>
      </c>
      <c r="AR310" s="67">
        <v>50</v>
      </c>
      <c r="AS310" s="68">
        <f t="shared" si="121"/>
        <v>-34.92307692307692</v>
      </c>
      <c r="AT310" s="69"/>
      <c r="AU310" s="68">
        <f t="shared" si="122"/>
        <v>-34.92307692307692</v>
      </c>
      <c r="AV310" s="70">
        <v>91.99</v>
      </c>
      <c r="AW310" s="65">
        <f t="shared" si="115"/>
        <v>4599.5</v>
      </c>
      <c r="AX310" s="24">
        <f t="shared" si="131"/>
        <v>74.129216064699932</v>
      </c>
      <c r="AY310" s="24">
        <v>120</v>
      </c>
      <c r="AZ310" s="24"/>
      <c r="BA310" s="24"/>
      <c r="BB310" s="24">
        <f t="shared" si="123"/>
        <v>0</v>
      </c>
      <c r="BC310" s="24">
        <f t="shared" si="124"/>
        <v>1909.6424999999999</v>
      </c>
      <c r="BD310" s="24">
        <v>40</v>
      </c>
      <c r="BE310" s="24">
        <v>40</v>
      </c>
      <c r="BF310" s="24"/>
      <c r="BG310" s="24">
        <f t="shared" si="133"/>
        <v>833.625</v>
      </c>
      <c r="BH310" s="24"/>
      <c r="BI310" s="24"/>
      <c r="BJ310" s="24">
        <f t="shared" si="125"/>
        <v>8.3362499999999997</v>
      </c>
      <c r="BK310" s="24">
        <f t="shared" si="126"/>
        <v>2814.9312500000001</v>
      </c>
      <c r="BL310" s="24" t="s">
        <v>807</v>
      </c>
      <c r="BM310" s="42">
        <f t="shared" si="117"/>
        <v>2</v>
      </c>
      <c r="BN310" s="24" t="s">
        <v>83</v>
      </c>
      <c r="BO310" s="2" t="s">
        <v>1716</v>
      </c>
    </row>
    <row r="311" spans="1:67" s="1" customFormat="1" ht="15" customHeight="1" x14ac:dyDescent="0.3">
      <c r="A311" s="20">
        <v>307</v>
      </c>
      <c r="B311" s="21">
        <v>46101</v>
      </c>
      <c r="C311" s="21">
        <v>46107</v>
      </c>
      <c r="D311" s="50" t="s">
        <v>1648</v>
      </c>
      <c r="E311" s="23">
        <v>46108</v>
      </c>
      <c r="F311" s="23" t="s">
        <v>7</v>
      </c>
      <c r="G311" s="24" t="s">
        <v>87</v>
      </c>
      <c r="H311" s="24" t="s">
        <v>69</v>
      </c>
      <c r="I311" s="24" t="s">
        <v>88</v>
      </c>
      <c r="J311" s="25" t="s">
        <v>278</v>
      </c>
      <c r="K311" s="45" t="str">
        <f t="shared" si="118"/>
        <v>WB67A4475</v>
      </c>
      <c r="L311" s="26">
        <v>46105</v>
      </c>
      <c r="M311" s="34" t="s">
        <v>1717</v>
      </c>
      <c r="N311" s="27" t="s">
        <v>1718</v>
      </c>
      <c r="O311" s="28">
        <v>0</v>
      </c>
      <c r="P311" s="27"/>
      <c r="Q311" s="29">
        <v>2590202596</v>
      </c>
      <c r="R311" s="30">
        <v>2160380309</v>
      </c>
      <c r="S311" s="31" t="s">
        <v>73</v>
      </c>
      <c r="T311" s="24" t="s">
        <v>91</v>
      </c>
      <c r="U311" s="24" t="s">
        <v>347</v>
      </c>
      <c r="V311" s="32" t="s">
        <v>1004</v>
      </c>
      <c r="W311" s="32" t="s">
        <v>1144</v>
      </c>
      <c r="X311" s="32" t="s">
        <v>1144</v>
      </c>
      <c r="Y311" s="24">
        <v>778</v>
      </c>
      <c r="Z311" s="24">
        <v>25</v>
      </c>
      <c r="AA311" s="24">
        <f t="shared" si="119"/>
        <v>739.1</v>
      </c>
      <c r="AB311" s="24">
        <f t="shared" si="111"/>
        <v>19450</v>
      </c>
      <c r="AC311" s="24">
        <f t="shared" si="112"/>
        <v>18477.5</v>
      </c>
      <c r="AD311" s="24">
        <f t="shared" si="113"/>
        <v>18477.5</v>
      </c>
      <c r="AE311" s="24">
        <f t="shared" si="114"/>
        <v>972.5</v>
      </c>
      <c r="AF311" s="24">
        <v>0</v>
      </c>
      <c r="AG311" s="33">
        <v>3600</v>
      </c>
      <c r="AH311" s="24"/>
      <c r="AI311" s="24">
        <v>10000</v>
      </c>
      <c r="AJ311" s="24"/>
      <c r="AK311" s="24"/>
      <c r="AL311" s="24"/>
      <c r="AM311" s="24" t="s">
        <v>79</v>
      </c>
      <c r="AN311" s="34" t="s">
        <v>1719</v>
      </c>
      <c r="AO311" s="35" t="s">
        <v>973</v>
      </c>
      <c r="AP311" s="24">
        <f>178*2</f>
        <v>356</v>
      </c>
      <c r="AQ311" s="36">
        <f t="shared" si="120"/>
        <v>109.53846153846153</v>
      </c>
      <c r="AR311" s="67">
        <v>120</v>
      </c>
      <c r="AS311" s="68">
        <f t="shared" si="121"/>
        <v>10.461538461538467</v>
      </c>
      <c r="AT311" s="69"/>
      <c r="AU311" s="68">
        <f t="shared" si="122"/>
        <v>10.461538461538467</v>
      </c>
      <c r="AV311" s="70">
        <v>91.99</v>
      </c>
      <c r="AW311" s="65">
        <f t="shared" si="115"/>
        <v>11038.8</v>
      </c>
      <c r="AX311" s="24">
        <f t="shared" si="131"/>
        <v>79.225003382492218</v>
      </c>
      <c r="AY311" s="24"/>
      <c r="AZ311" s="24"/>
      <c r="BA311" s="24"/>
      <c r="BB311" s="24">
        <f t="shared" si="123"/>
        <v>0</v>
      </c>
      <c r="BC311" s="24">
        <f t="shared" si="124"/>
        <v>-6161.2999999999993</v>
      </c>
      <c r="BD311" s="24">
        <v>120</v>
      </c>
      <c r="BE311" s="24">
        <v>120</v>
      </c>
      <c r="BF311" s="24"/>
      <c r="BG311" s="24">
        <f t="shared" si="133"/>
        <v>1847.75</v>
      </c>
      <c r="BH311" s="24"/>
      <c r="BI311" s="24"/>
      <c r="BJ311" s="24">
        <f t="shared" si="125"/>
        <v>18.477499999999999</v>
      </c>
      <c r="BK311" s="24">
        <f t="shared" si="126"/>
        <v>-4092.0274999999992</v>
      </c>
      <c r="BL311" s="24" t="s">
        <v>283</v>
      </c>
      <c r="BM311" s="42">
        <f t="shared" si="117"/>
        <v>5</v>
      </c>
      <c r="BN311" s="24" t="s">
        <v>1542</v>
      </c>
      <c r="BO311" s="2" t="s">
        <v>500</v>
      </c>
    </row>
    <row r="312" spans="1:67" s="1" customFormat="1" ht="15" customHeight="1" x14ac:dyDescent="0.3">
      <c r="A312" s="20">
        <v>308</v>
      </c>
      <c r="B312" s="21">
        <v>46101</v>
      </c>
      <c r="C312" s="21">
        <v>46126</v>
      </c>
      <c r="D312" s="50" t="s">
        <v>1720</v>
      </c>
      <c r="E312" s="23">
        <v>46139</v>
      </c>
      <c r="F312" s="23" t="s">
        <v>7</v>
      </c>
      <c r="G312" s="24" t="s">
        <v>68</v>
      </c>
      <c r="H312" s="24" t="s">
        <v>69</v>
      </c>
      <c r="I312" s="24">
        <v>35</v>
      </c>
      <c r="J312" s="25" t="s">
        <v>451</v>
      </c>
      <c r="K312" s="45" t="str">
        <f t="shared" si="118"/>
        <v>WB351813</v>
      </c>
      <c r="L312" s="26">
        <v>46106</v>
      </c>
      <c r="M312" s="34" t="s">
        <v>1721</v>
      </c>
      <c r="N312" s="27" t="s">
        <v>1722</v>
      </c>
      <c r="O312" s="28">
        <v>0</v>
      </c>
      <c r="P312" s="27" t="s">
        <v>1723</v>
      </c>
      <c r="Q312" s="29">
        <v>2525372590</v>
      </c>
      <c r="R312" s="30">
        <v>2110820749</v>
      </c>
      <c r="S312" s="31" t="s">
        <v>73</v>
      </c>
      <c r="T312" s="24" t="s">
        <v>91</v>
      </c>
      <c r="U312" s="24" t="s">
        <v>75</v>
      </c>
      <c r="V312" s="32" t="s">
        <v>1724</v>
      </c>
      <c r="W312" s="32" t="s">
        <v>1508</v>
      </c>
      <c r="X312" s="32" t="s">
        <v>1725</v>
      </c>
      <c r="Y312" s="24">
        <v>1319</v>
      </c>
      <c r="Z312" s="24">
        <v>13</v>
      </c>
      <c r="AA312" s="24">
        <f t="shared" si="119"/>
        <v>1253.05</v>
      </c>
      <c r="AB312" s="24">
        <f t="shared" si="111"/>
        <v>17147</v>
      </c>
      <c r="AC312" s="24">
        <f t="shared" si="112"/>
        <v>16289.65</v>
      </c>
      <c r="AD312" s="24">
        <f t="shared" si="113"/>
        <v>16289.65</v>
      </c>
      <c r="AE312" s="24">
        <f t="shared" si="114"/>
        <v>857.35000000000036</v>
      </c>
      <c r="AF312" s="24">
        <v>0</v>
      </c>
      <c r="AG312" s="33">
        <v>4000</v>
      </c>
      <c r="AH312" s="24">
        <v>300</v>
      </c>
      <c r="AI312" s="24"/>
      <c r="AJ312" s="24"/>
      <c r="AK312" s="24"/>
      <c r="AL312" s="24"/>
      <c r="AM312" s="24" t="s">
        <v>79</v>
      </c>
      <c r="AN312" s="34" t="s">
        <v>1726</v>
      </c>
      <c r="AO312" s="35" t="s">
        <v>1673</v>
      </c>
      <c r="AP312" s="24">
        <f>336*2</f>
        <v>672</v>
      </c>
      <c r="AQ312" s="36">
        <f t="shared" si="120"/>
        <v>206.76923076923077</v>
      </c>
      <c r="AR312" s="79">
        <v>190</v>
      </c>
      <c r="AS312" s="47">
        <f t="shared" si="121"/>
        <v>-16.769230769230774</v>
      </c>
      <c r="AT312" s="31"/>
      <c r="AU312" s="47">
        <f t="shared" si="122"/>
        <v>-16.769230769230774</v>
      </c>
      <c r="AV312" s="48">
        <v>91.99</v>
      </c>
      <c r="AW312" s="24">
        <f t="shared" si="115"/>
        <v>17478.099999999999</v>
      </c>
      <c r="AX312" s="24">
        <f t="shared" si="131"/>
        <v>131.85120613395623</v>
      </c>
      <c r="AY312" s="24"/>
      <c r="AZ312" s="24"/>
      <c r="BA312" s="24"/>
      <c r="BB312" s="24">
        <f t="shared" si="123"/>
        <v>0</v>
      </c>
      <c r="BC312" s="24">
        <f t="shared" si="124"/>
        <v>-5488.4499999999989</v>
      </c>
      <c r="BD312" s="24">
        <v>135</v>
      </c>
      <c r="BE312" s="24">
        <v>135</v>
      </c>
      <c r="BF312" s="24"/>
      <c r="BG312" s="24">
        <f t="shared" si="133"/>
        <v>1628.9649999999999</v>
      </c>
      <c r="BH312" s="24"/>
      <c r="BI312" s="24"/>
      <c r="BJ312" s="24">
        <f t="shared" si="125"/>
        <v>16.289649999999998</v>
      </c>
      <c r="BK312" s="24">
        <f t="shared" si="126"/>
        <v>-3605.7746499999989</v>
      </c>
      <c r="BL312" s="24" t="s">
        <v>155</v>
      </c>
      <c r="BM312" s="42">
        <f t="shared" si="117"/>
        <v>6</v>
      </c>
      <c r="BN312" s="24" t="s">
        <v>183</v>
      </c>
      <c r="BO312" s="2" t="s">
        <v>84</v>
      </c>
    </row>
    <row r="313" spans="1:67" s="1" customFormat="1" ht="12.75" customHeight="1" x14ac:dyDescent="0.3">
      <c r="A313" s="20">
        <v>309</v>
      </c>
      <c r="B313" s="21">
        <v>46101</v>
      </c>
      <c r="C313" s="21">
        <v>46126</v>
      </c>
      <c r="D313" s="50" t="s">
        <v>1720</v>
      </c>
      <c r="E313" s="23">
        <v>46139</v>
      </c>
      <c r="F313" s="23" t="s">
        <v>7</v>
      </c>
      <c r="G313" s="24" t="s">
        <v>68</v>
      </c>
      <c r="H313" s="24" t="s">
        <v>69</v>
      </c>
      <c r="I313" s="24">
        <v>35</v>
      </c>
      <c r="J313" s="25" t="s">
        <v>451</v>
      </c>
      <c r="K313" s="45" t="str">
        <f t="shared" si="118"/>
        <v>WB351813</v>
      </c>
      <c r="L313" s="26">
        <v>46106</v>
      </c>
      <c r="M313" s="34" t="s">
        <v>1727</v>
      </c>
      <c r="N313" s="27" t="s">
        <v>1728</v>
      </c>
      <c r="O313" s="28">
        <v>0</v>
      </c>
      <c r="P313" s="27" t="s">
        <v>1729</v>
      </c>
      <c r="Q313" s="29">
        <v>2525372591</v>
      </c>
      <c r="R313" s="30">
        <v>2110820750</v>
      </c>
      <c r="S313" s="31" t="s">
        <v>73</v>
      </c>
      <c r="T313" s="24" t="s">
        <v>91</v>
      </c>
      <c r="U313" s="24" t="s">
        <v>75</v>
      </c>
      <c r="V313" s="32" t="s">
        <v>1724</v>
      </c>
      <c r="W313" s="32" t="s">
        <v>1508</v>
      </c>
      <c r="X313" s="32"/>
      <c r="Y313" s="24">
        <v>1319</v>
      </c>
      <c r="Z313" s="24">
        <v>12</v>
      </c>
      <c r="AA313" s="24">
        <f t="shared" si="119"/>
        <v>1253.05</v>
      </c>
      <c r="AB313" s="24">
        <f t="shared" si="111"/>
        <v>15828</v>
      </c>
      <c r="AC313" s="24">
        <f t="shared" si="112"/>
        <v>15036.6</v>
      </c>
      <c r="AD313" s="24">
        <f t="shared" si="113"/>
        <v>15036.599999999999</v>
      </c>
      <c r="AE313" s="24">
        <f t="shared" si="114"/>
        <v>791.40000000000146</v>
      </c>
      <c r="AF313" s="24">
        <v>0</v>
      </c>
      <c r="AG313" s="31">
        <v>0</v>
      </c>
      <c r="AH313" s="24"/>
      <c r="AI313" s="24"/>
      <c r="AJ313" s="24"/>
      <c r="AK313" s="24"/>
      <c r="AL313" s="24"/>
      <c r="AM313" s="24">
        <v>0</v>
      </c>
      <c r="AN313" s="34" t="s">
        <v>213</v>
      </c>
      <c r="AO313" s="35"/>
      <c r="AP313" s="24"/>
      <c r="AQ313" s="36">
        <f t="shared" si="120"/>
        <v>0</v>
      </c>
      <c r="AR313" s="16">
        <v>0</v>
      </c>
      <c r="AS313" s="47">
        <f t="shared" si="121"/>
        <v>0</v>
      </c>
      <c r="AT313" s="31"/>
      <c r="AU313" s="47">
        <f t="shared" si="122"/>
        <v>0</v>
      </c>
      <c r="AV313" s="48">
        <v>91.99</v>
      </c>
      <c r="AW313" s="24">
        <f t="shared" si="115"/>
        <v>0</v>
      </c>
      <c r="AX313" s="24">
        <f t="shared" si="131"/>
        <v>0</v>
      </c>
      <c r="AY313" s="24"/>
      <c r="AZ313" s="24"/>
      <c r="BA313" s="24"/>
      <c r="BB313" s="24">
        <f t="shared" si="123"/>
        <v>0</v>
      </c>
      <c r="BC313" s="24">
        <f t="shared" si="124"/>
        <v>15036.599999999999</v>
      </c>
      <c r="BD313" s="24"/>
      <c r="BE313" s="24"/>
      <c r="BF313" s="24"/>
      <c r="BG313" s="24">
        <f t="shared" si="133"/>
        <v>1503.66</v>
      </c>
      <c r="BH313" s="24"/>
      <c r="BI313" s="24"/>
      <c r="BJ313" s="24">
        <f t="shared" si="125"/>
        <v>15.036600000000002</v>
      </c>
      <c r="BK313" s="24">
        <f t="shared" si="126"/>
        <v>16525.223399999999</v>
      </c>
      <c r="BL313" s="24" t="s">
        <v>155</v>
      </c>
      <c r="BM313" s="42">
        <f t="shared" si="117"/>
        <v>6</v>
      </c>
      <c r="BN313" s="24" t="s">
        <v>183</v>
      </c>
      <c r="BO313" s="2" t="s">
        <v>84</v>
      </c>
    </row>
    <row r="314" spans="1:67" s="1" customFormat="1" ht="15" customHeight="1" x14ac:dyDescent="0.3">
      <c r="A314" s="20">
        <v>310</v>
      </c>
      <c r="B314" s="21">
        <v>46101</v>
      </c>
      <c r="C314" s="21">
        <v>46107</v>
      </c>
      <c r="D314" s="50" t="s">
        <v>185</v>
      </c>
      <c r="E314" s="23">
        <v>46108</v>
      </c>
      <c r="F314" s="23" t="s">
        <v>7</v>
      </c>
      <c r="G314" s="24" t="s">
        <v>68</v>
      </c>
      <c r="H314" s="24" t="s">
        <v>69</v>
      </c>
      <c r="I314" s="24" t="s">
        <v>70</v>
      </c>
      <c r="J314" s="25" t="s">
        <v>177</v>
      </c>
      <c r="K314" s="45" t="str">
        <f t="shared" si="118"/>
        <v>WB39B8916</v>
      </c>
      <c r="L314" s="26">
        <v>46103</v>
      </c>
      <c r="M314" s="34" t="s">
        <v>1730</v>
      </c>
      <c r="N314" s="27" t="s">
        <v>1731</v>
      </c>
      <c r="O314" s="28">
        <v>0</v>
      </c>
      <c r="P314" s="27" t="s">
        <v>1732</v>
      </c>
      <c r="Q314" s="29">
        <v>2525372765</v>
      </c>
      <c r="R314" s="30">
        <v>2110820961</v>
      </c>
      <c r="S314" s="31" t="s">
        <v>73</v>
      </c>
      <c r="T314" s="24" t="s">
        <v>91</v>
      </c>
      <c r="U314" s="24" t="s">
        <v>75</v>
      </c>
      <c r="V314" s="32" t="s">
        <v>268</v>
      </c>
      <c r="W314" s="32" t="s">
        <v>1090</v>
      </c>
      <c r="X314" s="32" t="s">
        <v>1090</v>
      </c>
      <c r="Y314" s="24">
        <v>1319</v>
      </c>
      <c r="Z314" s="24">
        <v>25</v>
      </c>
      <c r="AA314" s="24">
        <f t="shared" si="119"/>
        <v>1253.05</v>
      </c>
      <c r="AB314" s="24">
        <f t="shared" si="111"/>
        <v>32975</v>
      </c>
      <c r="AC314" s="24">
        <f t="shared" si="112"/>
        <v>31326.25</v>
      </c>
      <c r="AD314" s="24">
        <f t="shared" si="113"/>
        <v>31326.25</v>
      </c>
      <c r="AE314" s="24">
        <f t="shared" si="114"/>
        <v>1648.75</v>
      </c>
      <c r="AF314" s="24">
        <f t="shared" si="110"/>
        <v>313.26249999999999</v>
      </c>
      <c r="AG314" s="33">
        <v>4700</v>
      </c>
      <c r="AH314" s="24">
        <v>1000</v>
      </c>
      <c r="AI314" s="24"/>
      <c r="AJ314" s="24"/>
      <c r="AK314" s="24"/>
      <c r="AL314" s="24"/>
      <c r="AM314" s="24" t="s">
        <v>79</v>
      </c>
      <c r="AN314" s="34" t="s">
        <v>1733</v>
      </c>
      <c r="AO314" s="35" t="s">
        <v>973</v>
      </c>
      <c r="AP314" s="24">
        <f>332*2</f>
        <v>664</v>
      </c>
      <c r="AQ314" s="36">
        <f t="shared" si="120"/>
        <v>204.30769230769232</v>
      </c>
      <c r="AR314" s="67">
        <v>210</v>
      </c>
      <c r="AS314" s="68">
        <f t="shared" si="121"/>
        <v>5.6923076923076792</v>
      </c>
      <c r="AT314" s="69"/>
      <c r="AU314" s="68">
        <f t="shared" si="122"/>
        <v>5.6923076923076792</v>
      </c>
      <c r="AV314" s="70">
        <v>91.99</v>
      </c>
      <c r="AW314" s="65">
        <f t="shared" si="115"/>
        <v>19317.899999999998</v>
      </c>
      <c r="AX314" s="24">
        <f t="shared" si="131"/>
        <v>76.670204700530704</v>
      </c>
      <c r="AY314" s="24"/>
      <c r="AZ314" s="24"/>
      <c r="BA314" s="24"/>
      <c r="BB314" s="24">
        <f t="shared" si="123"/>
        <v>0</v>
      </c>
      <c r="BC314" s="24">
        <f t="shared" si="124"/>
        <v>5995.0875000000015</v>
      </c>
      <c r="BD314" s="24">
        <v>135</v>
      </c>
      <c r="BE314" s="24">
        <v>135</v>
      </c>
      <c r="BF314" s="24"/>
      <c r="BG314" s="24">
        <f>+AD314*9.5%</f>
        <v>2975.9937500000001</v>
      </c>
      <c r="BH314" s="24"/>
      <c r="BI314" s="24"/>
      <c r="BJ314" s="24">
        <f t="shared" si="125"/>
        <v>29.759937500000003</v>
      </c>
      <c r="BK314" s="24">
        <f t="shared" si="126"/>
        <v>9211.3213125000002</v>
      </c>
      <c r="BL314" s="24" t="s">
        <v>182</v>
      </c>
      <c r="BM314" s="42">
        <f t="shared" si="117"/>
        <v>3</v>
      </c>
      <c r="BN314" s="24" t="s">
        <v>139</v>
      </c>
      <c r="BO314" s="2" t="s">
        <v>84</v>
      </c>
    </row>
    <row r="315" spans="1:67" s="1" customFormat="1" ht="15" customHeight="1" x14ac:dyDescent="0.3">
      <c r="A315" s="20">
        <v>311</v>
      </c>
      <c r="B315" s="21">
        <v>46101</v>
      </c>
      <c r="C315" s="21">
        <v>46111</v>
      </c>
      <c r="D315" s="50" t="s">
        <v>1734</v>
      </c>
      <c r="E315" s="23">
        <v>46151</v>
      </c>
      <c r="F315" s="23" t="s">
        <v>7</v>
      </c>
      <c r="G315" s="24" t="s">
        <v>68</v>
      </c>
      <c r="H315" s="24" t="s">
        <v>69</v>
      </c>
      <c r="I315" s="24" t="s">
        <v>166</v>
      </c>
      <c r="J315" s="25" t="s">
        <v>255</v>
      </c>
      <c r="K315" s="45" t="str">
        <f t="shared" si="118"/>
        <v>WB41H0177</v>
      </c>
      <c r="L315" s="26">
        <v>46104</v>
      </c>
      <c r="M315" s="34" t="s">
        <v>1735</v>
      </c>
      <c r="N315" s="27" t="s">
        <v>1736</v>
      </c>
      <c r="O315" s="28">
        <v>0</v>
      </c>
      <c r="P315" s="27" t="s">
        <v>1737</v>
      </c>
      <c r="Q315" s="29">
        <v>2525372780</v>
      </c>
      <c r="R315" s="30">
        <v>2110820990</v>
      </c>
      <c r="S315" s="31" t="s">
        <v>73</v>
      </c>
      <c r="T315" s="24" t="s">
        <v>91</v>
      </c>
      <c r="U315" s="24" t="s">
        <v>75</v>
      </c>
      <c r="V315" s="32" t="s">
        <v>1738</v>
      </c>
      <c r="W315" s="32" t="s">
        <v>1739</v>
      </c>
      <c r="X315" s="32" t="s">
        <v>1740</v>
      </c>
      <c r="Y315" s="24">
        <v>1311</v>
      </c>
      <c r="Z315" s="24">
        <v>25</v>
      </c>
      <c r="AA315" s="24">
        <f t="shared" si="119"/>
        <v>1245.45</v>
      </c>
      <c r="AB315" s="24">
        <f t="shared" si="111"/>
        <v>32775</v>
      </c>
      <c r="AC315" s="24">
        <f t="shared" si="112"/>
        <v>31136.25</v>
      </c>
      <c r="AD315" s="24">
        <f t="shared" si="113"/>
        <v>31136.25</v>
      </c>
      <c r="AE315" s="24">
        <f t="shared" si="114"/>
        <v>1638.75</v>
      </c>
      <c r="AF315" s="24">
        <f t="shared" si="110"/>
        <v>311.36250000000001</v>
      </c>
      <c r="AG315" s="33">
        <v>3800</v>
      </c>
      <c r="AH315" s="24"/>
      <c r="AI315" s="24"/>
      <c r="AJ315" s="24"/>
      <c r="AK315" s="24"/>
      <c r="AL315" s="24"/>
      <c r="AM315" s="24" t="s">
        <v>79</v>
      </c>
      <c r="AN315" s="34" t="s">
        <v>1741</v>
      </c>
      <c r="AO315" s="35" t="s">
        <v>973</v>
      </c>
      <c r="AP315" s="24">
        <f>332*2</f>
        <v>664</v>
      </c>
      <c r="AQ315" s="36">
        <f t="shared" si="120"/>
        <v>204.30769230769232</v>
      </c>
      <c r="AR315" s="67">
        <v>206</v>
      </c>
      <c r="AS315" s="68">
        <f t="shared" si="121"/>
        <v>1.6923076923076792</v>
      </c>
      <c r="AT315" s="69"/>
      <c r="AU315" s="68">
        <f t="shared" si="122"/>
        <v>1.6923076923076792</v>
      </c>
      <c r="AV315" s="70">
        <v>91.99</v>
      </c>
      <c r="AW315" s="65">
        <f t="shared" si="115"/>
        <v>18949.939999999999</v>
      </c>
      <c r="AX315" s="24">
        <f t="shared" si="131"/>
        <v>73.06576739331166</v>
      </c>
      <c r="AY315" s="24"/>
      <c r="AZ315" s="24"/>
      <c r="BA315" s="24"/>
      <c r="BB315" s="24">
        <f t="shared" si="123"/>
        <v>0</v>
      </c>
      <c r="BC315" s="24">
        <f t="shared" si="124"/>
        <v>8074.947500000002</v>
      </c>
      <c r="BD315" s="24">
        <v>135</v>
      </c>
      <c r="BE315" s="24">
        <v>135</v>
      </c>
      <c r="BF315" s="24"/>
      <c r="BG315" s="24">
        <f>+AB315*9.5%</f>
        <v>3113.625</v>
      </c>
      <c r="BH315" s="24"/>
      <c r="BI315" s="24"/>
      <c r="BJ315" s="24">
        <f t="shared" si="125"/>
        <v>31.13625</v>
      </c>
      <c r="BK315" s="24">
        <f t="shared" si="126"/>
        <v>11427.436250000002</v>
      </c>
      <c r="BL315" s="24" t="s">
        <v>261</v>
      </c>
      <c r="BM315" s="42">
        <f t="shared" si="117"/>
        <v>4</v>
      </c>
      <c r="BN315" s="24" t="s">
        <v>174</v>
      </c>
      <c r="BO315" s="2" t="s">
        <v>84</v>
      </c>
    </row>
    <row r="316" spans="1:67" s="1" customFormat="1" ht="15" customHeight="1" x14ac:dyDescent="0.3">
      <c r="A316" s="20">
        <v>312</v>
      </c>
      <c r="B316" s="21">
        <v>46101</v>
      </c>
      <c r="C316" s="71">
        <v>46104</v>
      </c>
      <c r="D316" s="52" t="s">
        <v>1264</v>
      </c>
      <c r="E316" s="23">
        <v>46104</v>
      </c>
      <c r="F316" s="23" t="s">
        <v>7</v>
      </c>
      <c r="G316" s="24" t="s">
        <v>87</v>
      </c>
      <c r="H316" s="24" t="s">
        <v>69</v>
      </c>
      <c r="I316" s="24" t="s">
        <v>236</v>
      </c>
      <c r="J316" s="25" t="s">
        <v>237</v>
      </c>
      <c r="K316" s="45" t="str">
        <f t="shared" si="118"/>
        <v>WB41J9798</v>
      </c>
      <c r="L316" s="26">
        <v>46102</v>
      </c>
      <c r="M316" s="34" t="s">
        <v>1742</v>
      </c>
      <c r="N316" s="27" t="s">
        <v>1743</v>
      </c>
      <c r="O316" s="28">
        <v>0</v>
      </c>
      <c r="P316" s="27"/>
      <c r="Q316" s="29">
        <v>2590202712</v>
      </c>
      <c r="R316" s="30">
        <v>2160380356</v>
      </c>
      <c r="S316" s="31" t="s">
        <v>73</v>
      </c>
      <c r="T316" s="24" t="s">
        <v>241</v>
      </c>
      <c r="U316" s="24" t="s">
        <v>347</v>
      </c>
      <c r="V316" s="32" t="s">
        <v>1004</v>
      </c>
      <c r="W316" s="32" t="s">
        <v>1144</v>
      </c>
      <c r="X316" s="32"/>
      <c r="Y316" s="24">
        <v>778</v>
      </c>
      <c r="Z316" s="24">
        <v>30</v>
      </c>
      <c r="AA316" s="24">
        <f t="shared" si="119"/>
        <v>739.1</v>
      </c>
      <c r="AB316" s="24">
        <f t="shared" si="111"/>
        <v>23340</v>
      </c>
      <c r="AC316" s="24">
        <f t="shared" si="112"/>
        <v>22173</v>
      </c>
      <c r="AD316" s="24">
        <f t="shared" si="113"/>
        <v>22173</v>
      </c>
      <c r="AE316" s="24">
        <f t="shared" si="114"/>
        <v>1167</v>
      </c>
      <c r="AF316" s="24">
        <v>0</v>
      </c>
      <c r="AG316" s="33">
        <v>4000</v>
      </c>
      <c r="AH316" s="24"/>
      <c r="AI316" s="24"/>
      <c r="AJ316" s="24"/>
      <c r="AK316" s="24"/>
      <c r="AL316" s="24"/>
      <c r="AM316" s="24" t="s">
        <v>79</v>
      </c>
      <c r="AN316" s="34" t="s">
        <v>1744</v>
      </c>
      <c r="AO316" s="35" t="s">
        <v>973</v>
      </c>
      <c r="AP316" s="24">
        <f>178*2</f>
        <v>356</v>
      </c>
      <c r="AQ316" s="36">
        <f t="shared" si="120"/>
        <v>109.53846153846153</v>
      </c>
      <c r="AR316" s="67">
        <v>130</v>
      </c>
      <c r="AS316" s="68">
        <f t="shared" si="121"/>
        <v>20.461538461538467</v>
      </c>
      <c r="AT316" s="69"/>
      <c r="AU316" s="68">
        <f t="shared" si="122"/>
        <v>20.461538461538467</v>
      </c>
      <c r="AV316" s="70">
        <v>91.99</v>
      </c>
      <c r="AW316" s="65">
        <f t="shared" si="115"/>
        <v>11958.699999999999</v>
      </c>
      <c r="AX316" s="24">
        <f t="shared" si="131"/>
        <v>71.973571460785635</v>
      </c>
      <c r="AY316" s="24"/>
      <c r="AZ316" s="24"/>
      <c r="BA316" s="24"/>
      <c r="BB316" s="24">
        <f t="shared" si="123"/>
        <v>0</v>
      </c>
      <c r="BC316" s="24">
        <f t="shared" si="124"/>
        <v>6214.3000000000011</v>
      </c>
      <c r="BD316" s="24">
        <v>120</v>
      </c>
      <c r="BE316" s="24">
        <v>120</v>
      </c>
      <c r="BF316" s="24"/>
      <c r="BG316" s="24">
        <f>+AB316*9.5%</f>
        <v>2217.3000000000002</v>
      </c>
      <c r="BH316" s="24"/>
      <c r="BI316" s="24"/>
      <c r="BJ316" s="24">
        <f t="shared" si="125"/>
        <v>22.173000000000002</v>
      </c>
      <c r="BK316" s="24">
        <f t="shared" si="126"/>
        <v>8649.4270000000015</v>
      </c>
      <c r="BL316" s="24" t="s">
        <v>245</v>
      </c>
      <c r="BM316" s="42">
        <f t="shared" si="117"/>
        <v>2</v>
      </c>
      <c r="BN316" s="24" t="s">
        <v>83</v>
      </c>
      <c r="BO316" s="2" t="s">
        <v>148</v>
      </c>
    </row>
    <row r="317" spans="1:67" s="1" customFormat="1" ht="15" customHeight="1" x14ac:dyDescent="0.3">
      <c r="A317" s="20">
        <v>313</v>
      </c>
      <c r="B317" s="21">
        <v>46101</v>
      </c>
      <c r="C317" s="21">
        <v>46107</v>
      </c>
      <c r="D317" s="50" t="s">
        <v>185</v>
      </c>
      <c r="E317" s="23">
        <v>46108</v>
      </c>
      <c r="F317" s="23" t="s">
        <v>7</v>
      </c>
      <c r="G317" s="24" t="s">
        <v>68</v>
      </c>
      <c r="H317" s="24" t="s">
        <v>69</v>
      </c>
      <c r="I317" s="24" t="s">
        <v>131</v>
      </c>
      <c r="J317" s="25" t="s">
        <v>132</v>
      </c>
      <c r="K317" s="45" t="str">
        <f t="shared" si="118"/>
        <v>WB29A8166</v>
      </c>
      <c r="L317" s="26">
        <v>46103</v>
      </c>
      <c r="M317" s="34" t="s">
        <v>1745</v>
      </c>
      <c r="N317" s="27" t="s">
        <v>1746</v>
      </c>
      <c r="O317" s="28">
        <v>0</v>
      </c>
      <c r="P317" s="27" t="s">
        <v>1747</v>
      </c>
      <c r="Q317" s="29">
        <v>2525373067</v>
      </c>
      <c r="R317" s="30">
        <v>2110821162</v>
      </c>
      <c r="S317" s="31" t="s">
        <v>73</v>
      </c>
      <c r="T317" s="24" t="s">
        <v>91</v>
      </c>
      <c r="U317" s="24" t="s">
        <v>347</v>
      </c>
      <c r="V317" s="32" t="s">
        <v>1748</v>
      </c>
      <c r="W317" s="32" t="s">
        <v>1749</v>
      </c>
      <c r="X317" s="32" t="s">
        <v>1749</v>
      </c>
      <c r="Y317" s="24">
        <v>1301</v>
      </c>
      <c r="Z317" s="24">
        <v>25</v>
      </c>
      <c r="AA317" s="24">
        <f t="shared" si="119"/>
        <v>1235.95</v>
      </c>
      <c r="AB317" s="24">
        <f t="shared" si="111"/>
        <v>32525</v>
      </c>
      <c r="AC317" s="24">
        <f t="shared" si="112"/>
        <v>30898.75</v>
      </c>
      <c r="AD317" s="24">
        <f t="shared" si="113"/>
        <v>30898.75</v>
      </c>
      <c r="AE317" s="24">
        <f t="shared" si="114"/>
        <v>1626.25</v>
      </c>
      <c r="AF317" s="24">
        <v>0</v>
      </c>
      <c r="AG317" s="33">
        <v>7200</v>
      </c>
      <c r="AH317" s="24"/>
      <c r="AI317" s="24"/>
      <c r="AJ317" s="24"/>
      <c r="AK317" s="24"/>
      <c r="AL317" s="24"/>
      <c r="AM317" s="24" t="s">
        <v>79</v>
      </c>
      <c r="AN317" s="34" t="s">
        <v>1750</v>
      </c>
      <c r="AO317" s="35" t="s">
        <v>973</v>
      </c>
      <c r="AP317" s="24">
        <f>326*2</f>
        <v>652</v>
      </c>
      <c r="AQ317" s="36">
        <f t="shared" si="120"/>
        <v>200.61538461538461</v>
      </c>
      <c r="AR317" s="67">
        <v>205</v>
      </c>
      <c r="AS317" s="68">
        <f t="shared" si="121"/>
        <v>4.3846153846153868</v>
      </c>
      <c r="AT317" s="69"/>
      <c r="AU317" s="68">
        <f t="shared" si="122"/>
        <v>4.3846153846153868</v>
      </c>
      <c r="AV317" s="70">
        <v>91.88</v>
      </c>
      <c r="AW317" s="65">
        <f t="shared" si="115"/>
        <v>18835.399999999998</v>
      </c>
      <c r="AX317" s="24">
        <f t="shared" si="131"/>
        <v>84.260366519681213</v>
      </c>
      <c r="AY317" s="24"/>
      <c r="AZ317" s="24"/>
      <c r="BA317" s="24"/>
      <c r="BB317" s="24">
        <f t="shared" si="123"/>
        <v>0</v>
      </c>
      <c r="BC317" s="24">
        <f t="shared" si="124"/>
        <v>4863.3500000000022</v>
      </c>
      <c r="BD317" s="24">
        <v>135</v>
      </c>
      <c r="BE317" s="24">
        <v>135</v>
      </c>
      <c r="BF317" s="24"/>
      <c r="BG317" s="24">
        <f>+AB317*9.5%</f>
        <v>3089.875</v>
      </c>
      <c r="BH317" s="24"/>
      <c r="BI317" s="24"/>
      <c r="BJ317" s="24">
        <f t="shared" si="125"/>
        <v>30.89875</v>
      </c>
      <c r="BK317" s="24">
        <f t="shared" si="126"/>
        <v>8192.3262500000019</v>
      </c>
      <c r="BL317" s="24" t="s">
        <v>138</v>
      </c>
      <c r="BM317" s="42">
        <f t="shared" si="117"/>
        <v>3</v>
      </c>
      <c r="BN317" s="24" t="s">
        <v>139</v>
      </c>
      <c r="BO317" s="2" t="s">
        <v>84</v>
      </c>
    </row>
    <row r="318" spans="1:67" s="1" customFormat="1" ht="15" customHeight="1" x14ac:dyDescent="0.3">
      <c r="A318" s="20">
        <v>314</v>
      </c>
      <c r="B318" s="21">
        <v>46101</v>
      </c>
      <c r="C318" s="21">
        <v>46107</v>
      </c>
      <c r="D318" s="50" t="s">
        <v>1751</v>
      </c>
      <c r="E318" s="23">
        <v>46108</v>
      </c>
      <c r="F318" s="23" t="s">
        <v>7</v>
      </c>
      <c r="G318" s="24" t="s">
        <v>87</v>
      </c>
      <c r="H318" s="24" t="s">
        <v>1752</v>
      </c>
      <c r="I318" s="24" t="s">
        <v>1753</v>
      </c>
      <c r="J318" s="25" t="s">
        <v>1754</v>
      </c>
      <c r="K318" s="45" t="str">
        <f t="shared" si="118"/>
        <v>JH10BY9023</v>
      </c>
      <c r="L318" s="26">
        <v>46103</v>
      </c>
      <c r="M318" s="57" t="s">
        <v>1755</v>
      </c>
      <c r="N318" s="57" t="s">
        <v>1756</v>
      </c>
      <c r="O318" s="28">
        <v>0</v>
      </c>
      <c r="P318" s="27"/>
      <c r="Q318" s="29">
        <v>2525373127</v>
      </c>
      <c r="R318" s="30">
        <v>2110820839</v>
      </c>
      <c r="S318" s="31" t="s">
        <v>73</v>
      </c>
      <c r="T318" s="24" t="s">
        <v>241</v>
      </c>
      <c r="U318" s="24" t="s">
        <v>75</v>
      </c>
      <c r="V318" s="32" t="s">
        <v>1757</v>
      </c>
      <c r="W318" s="32" t="s">
        <v>1758</v>
      </c>
      <c r="X318" s="32" t="s">
        <v>1758</v>
      </c>
      <c r="Y318" s="24">
        <v>790</v>
      </c>
      <c r="Z318" s="24">
        <v>30</v>
      </c>
      <c r="AA318" s="24">
        <f t="shared" si="119"/>
        <v>750.5</v>
      </c>
      <c r="AB318" s="24">
        <f t="shared" si="111"/>
        <v>23700</v>
      </c>
      <c r="AC318" s="24">
        <f t="shared" si="112"/>
        <v>22515</v>
      </c>
      <c r="AD318" s="24">
        <f t="shared" si="113"/>
        <v>22515</v>
      </c>
      <c r="AE318" s="24">
        <f t="shared" si="114"/>
        <v>1185</v>
      </c>
      <c r="AF318" s="24">
        <v>0</v>
      </c>
      <c r="AG318" s="33">
        <v>3500</v>
      </c>
      <c r="AH318" s="24"/>
      <c r="AI318" s="24"/>
      <c r="AJ318" s="24"/>
      <c r="AK318" s="24">
        <v>115</v>
      </c>
      <c r="AL318" s="24"/>
      <c r="AM318" s="24" t="s">
        <v>79</v>
      </c>
      <c r="AN318" s="34" t="s">
        <v>1759</v>
      </c>
      <c r="AO318" s="35" t="s">
        <v>1673</v>
      </c>
      <c r="AP318" s="24">
        <f>167*2</f>
        <v>334</v>
      </c>
      <c r="AQ318" s="36">
        <f t="shared" si="120"/>
        <v>102.76923076923077</v>
      </c>
      <c r="AR318" s="79">
        <v>120</v>
      </c>
      <c r="AS318" s="47">
        <f t="shared" si="121"/>
        <v>17.230769230769226</v>
      </c>
      <c r="AT318" s="31"/>
      <c r="AU318" s="47">
        <f t="shared" si="122"/>
        <v>17.230769230769226</v>
      </c>
      <c r="AV318" s="48">
        <v>91.88</v>
      </c>
      <c r="AW318" s="24">
        <f t="shared" si="115"/>
        <v>11025.599999999999</v>
      </c>
      <c r="AX318" s="24">
        <f t="shared" si="131"/>
        <v>64.515212080834999</v>
      </c>
      <c r="AY318" s="24"/>
      <c r="AZ318" s="24"/>
      <c r="BA318" s="24"/>
      <c r="BB318" s="24">
        <f t="shared" si="123"/>
        <v>0</v>
      </c>
      <c r="BC318" s="24">
        <f t="shared" si="124"/>
        <v>7874.4000000000015</v>
      </c>
      <c r="BD318" s="24">
        <v>135</v>
      </c>
      <c r="BE318" s="24">
        <v>135</v>
      </c>
      <c r="BF318" s="24"/>
      <c r="BG318" s="24">
        <f>+AB318*9.5%</f>
        <v>2251.5</v>
      </c>
      <c r="BH318" s="24"/>
      <c r="BI318" s="24"/>
      <c r="BJ318" s="24">
        <f t="shared" si="125"/>
        <v>22.515000000000001</v>
      </c>
      <c r="BK318" s="24">
        <f t="shared" si="126"/>
        <v>10373.385000000002</v>
      </c>
      <c r="BL318" s="24" t="s">
        <v>155</v>
      </c>
      <c r="BM318" s="42">
        <f t="shared" si="117"/>
        <v>3</v>
      </c>
      <c r="BN318" s="24" t="s">
        <v>139</v>
      </c>
      <c r="BO318" s="2" t="s">
        <v>84</v>
      </c>
    </row>
    <row r="319" spans="1:67" s="1" customFormat="1" ht="15" customHeight="1" x14ac:dyDescent="0.3">
      <c r="A319" s="20">
        <v>315</v>
      </c>
      <c r="B319" s="21">
        <v>46102</v>
      </c>
      <c r="C319" s="21">
        <v>46112</v>
      </c>
      <c r="D319" s="73" t="s">
        <v>1760</v>
      </c>
      <c r="E319" s="74">
        <v>46116</v>
      </c>
      <c r="F319" s="23" t="s">
        <v>7</v>
      </c>
      <c r="G319" s="24" t="s">
        <v>87</v>
      </c>
      <c r="H319" s="24" t="s">
        <v>69</v>
      </c>
      <c r="I319" s="24" t="s">
        <v>70</v>
      </c>
      <c r="J319" s="25" t="s">
        <v>630</v>
      </c>
      <c r="K319" s="45" t="str">
        <f t="shared" si="118"/>
        <v>WB39B8879</v>
      </c>
      <c r="L319" s="26">
        <v>46102</v>
      </c>
      <c r="M319" s="34" t="s">
        <v>1761</v>
      </c>
      <c r="N319" s="27" t="s">
        <v>1762</v>
      </c>
      <c r="O319" s="28">
        <v>0</v>
      </c>
      <c r="P319" s="27"/>
      <c r="Q319" s="29">
        <v>2590202944</v>
      </c>
      <c r="R319" s="30">
        <v>2160380372</v>
      </c>
      <c r="S319" s="31" t="s">
        <v>73</v>
      </c>
      <c r="T319" s="24" t="s">
        <v>91</v>
      </c>
      <c r="U319" s="24" t="s">
        <v>347</v>
      </c>
      <c r="V319" s="32" t="s">
        <v>1004</v>
      </c>
      <c r="W319" s="32" t="s">
        <v>1144</v>
      </c>
      <c r="X319" s="32"/>
      <c r="Y319" s="24">
        <v>778</v>
      </c>
      <c r="Z319" s="24">
        <v>25</v>
      </c>
      <c r="AA319" s="24">
        <f t="shared" si="119"/>
        <v>739.1</v>
      </c>
      <c r="AB319" s="24">
        <f t="shared" si="111"/>
        <v>19450</v>
      </c>
      <c r="AC319" s="24">
        <f t="shared" si="112"/>
        <v>18477.5</v>
      </c>
      <c r="AD319" s="24">
        <f t="shared" si="113"/>
        <v>18477.5</v>
      </c>
      <c r="AE319" s="24">
        <f t="shared" si="114"/>
        <v>972.5</v>
      </c>
      <c r="AF319" s="24">
        <f t="shared" si="110"/>
        <v>184.77500000000001</v>
      </c>
      <c r="AG319" s="33">
        <v>3600</v>
      </c>
      <c r="AH319" s="24"/>
      <c r="AI319" s="24"/>
      <c r="AJ319" s="24"/>
      <c r="AK319" s="24"/>
      <c r="AL319" s="24"/>
      <c r="AM319" s="24" t="s">
        <v>79</v>
      </c>
      <c r="AN319" s="34" t="s">
        <v>1763</v>
      </c>
      <c r="AO319" s="35" t="s">
        <v>973</v>
      </c>
      <c r="AP319" s="24">
        <f>178*2</f>
        <v>356</v>
      </c>
      <c r="AQ319" s="36">
        <f t="shared" si="120"/>
        <v>109.53846153846153</v>
      </c>
      <c r="AR319" s="67">
        <v>120</v>
      </c>
      <c r="AS319" s="68">
        <f t="shared" si="121"/>
        <v>10.461538461538467</v>
      </c>
      <c r="AT319" s="69"/>
      <c r="AU319" s="68">
        <f t="shared" si="122"/>
        <v>10.461538461538467</v>
      </c>
      <c r="AV319" s="70">
        <v>91.99</v>
      </c>
      <c r="AW319" s="65">
        <f t="shared" si="115"/>
        <v>11038.8</v>
      </c>
      <c r="AX319" s="24">
        <f t="shared" si="131"/>
        <v>79.225003382492218</v>
      </c>
      <c r="AY319" s="24"/>
      <c r="AZ319" s="24"/>
      <c r="BA319" s="24"/>
      <c r="BB319" s="24">
        <f t="shared" si="123"/>
        <v>0</v>
      </c>
      <c r="BC319" s="24">
        <f t="shared" si="124"/>
        <v>3653.9249999999993</v>
      </c>
      <c r="BD319" s="24"/>
      <c r="BE319" s="24"/>
      <c r="BF319" s="24"/>
      <c r="BG319" s="24">
        <f>+AD319*9.5%</f>
        <v>1755.3625</v>
      </c>
      <c r="BH319" s="24"/>
      <c r="BI319" s="24"/>
      <c r="BJ319" s="24">
        <f t="shared" si="125"/>
        <v>17.553625</v>
      </c>
      <c r="BK319" s="24">
        <f t="shared" si="126"/>
        <v>5391.7338749999999</v>
      </c>
      <c r="BL319" s="24" t="s">
        <v>638</v>
      </c>
      <c r="BM319" s="42">
        <f t="shared" si="117"/>
        <v>1</v>
      </c>
      <c r="BN319" s="24" t="s">
        <v>610</v>
      </c>
      <c r="BO319" s="2" t="s">
        <v>148</v>
      </c>
    </row>
    <row r="320" spans="1:67" s="1" customFormat="1" ht="15" customHeight="1" x14ac:dyDescent="0.3">
      <c r="A320" s="20">
        <v>316</v>
      </c>
      <c r="B320" s="21">
        <v>46102</v>
      </c>
      <c r="C320" s="21">
        <v>46107</v>
      </c>
      <c r="D320" s="62" t="s">
        <v>1380</v>
      </c>
      <c r="E320" s="23">
        <v>46116</v>
      </c>
      <c r="F320" s="23" t="s">
        <v>7</v>
      </c>
      <c r="G320" s="24" t="s">
        <v>68</v>
      </c>
      <c r="H320" s="24" t="s">
        <v>69</v>
      </c>
      <c r="I320" s="24" t="s">
        <v>122</v>
      </c>
      <c r="J320" s="25" t="s">
        <v>123</v>
      </c>
      <c r="K320" s="45" t="str">
        <f t="shared" si="118"/>
        <v>WB23C9555</v>
      </c>
      <c r="L320" s="26">
        <v>46103</v>
      </c>
      <c r="M320" s="34" t="s">
        <v>1764</v>
      </c>
      <c r="N320" s="27" t="s">
        <v>1765</v>
      </c>
      <c r="O320" s="28">
        <v>0</v>
      </c>
      <c r="P320" s="27" t="s">
        <v>1766</v>
      </c>
      <c r="Q320" s="29">
        <v>2525373312</v>
      </c>
      <c r="R320" s="30">
        <v>2110821566</v>
      </c>
      <c r="S320" s="31" t="s">
        <v>73</v>
      </c>
      <c r="T320" s="24" t="s">
        <v>91</v>
      </c>
      <c r="U320" s="24" t="s">
        <v>75</v>
      </c>
      <c r="V320" s="32" t="s">
        <v>1468</v>
      </c>
      <c r="W320" s="32" t="s">
        <v>528</v>
      </c>
      <c r="X320" s="32" t="s">
        <v>1767</v>
      </c>
      <c r="Y320" s="24">
        <v>542</v>
      </c>
      <c r="Z320" s="24">
        <v>25</v>
      </c>
      <c r="AA320" s="24">
        <f t="shared" si="119"/>
        <v>514.9</v>
      </c>
      <c r="AB320" s="24">
        <f t="shared" si="111"/>
        <v>13550</v>
      </c>
      <c r="AC320" s="24">
        <f t="shared" si="112"/>
        <v>12872.5</v>
      </c>
      <c r="AD320" s="24">
        <f t="shared" si="113"/>
        <v>12872.5</v>
      </c>
      <c r="AE320" s="24">
        <f t="shared" si="114"/>
        <v>677.5</v>
      </c>
      <c r="AF320" s="24">
        <v>0</v>
      </c>
      <c r="AG320" s="33">
        <v>3700</v>
      </c>
      <c r="AH320" s="24"/>
      <c r="AI320" s="24"/>
      <c r="AJ320" s="24"/>
      <c r="AK320" s="24"/>
      <c r="AL320" s="24"/>
      <c r="AM320" s="24" t="s">
        <v>79</v>
      </c>
      <c r="AN320" s="34" t="s">
        <v>1768</v>
      </c>
      <c r="AO320" s="35" t="s">
        <v>1673</v>
      </c>
      <c r="AP320" s="24">
        <f>89*2</f>
        <v>178</v>
      </c>
      <c r="AQ320" s="36">
        <f t="shared" si="120"/>
        <v>54.769230769230766</v>
      </c>
      <c r="AR320" s="80">
        <v>50</v>
      </c>
      <c r="AS320" s="47">
        <f t="shared" si="121"/>
        <v>-4.7692307692307665</v>
      </c>
      <c r="AT320" s="31"/>
      <c r="AU320" s="47">
        <f t="shared" si="122"/>
        <v>-4.7692307692307665</v>
      </c>
      <c r="AV320" s="81">
        <v>91.99</v>
      </c>
      <c r="AW320" s="24">
        <f t="shared" si="115"/>
        <v>4599.5</v>
      </c>
      <c r="AX320" s="24">
        <f t="shared" si="131"/>
        <v>64.474655272868517</v>
      </c>
      <c r="AY320" s="24"/>
      <c r="AZ320" s="24"/>
      <c r="BA320" s="24"/>
      <c r="BB320" s="24">
        <f t="shared" si="123"/>
        <v>0</v>
      </c>
      <c r="BC320" s="24">
        <f t="shared" si="124"/>
        <v>4573</v>
      </c>
      <c r="BD320" s="24">
        <v>40</v>
      </c>
      <c r="BE320" s="24">
        <v>40</v>
      </c>
      <c r="BF320" s="24"/>
      <c r="BG320" s="24">
        <f t="shared" ref="BG320:BG327" si="134">+AB320*9.5%</f>
        <v>1287.25</v>
      </c>
      <c r="BH320" s="24"/>
      <c r="BI320" s="24"/>
      <c r="BJ320" s="24">
        <f t="shared" si="125"/>
        <v>12.8725</v>
      </c>
      <c r="BK320" s="24">
        <f t="shared" si="126"/>
        <v>5927.3774999999996</v>
      </c>
      <c r="BL320" s="24" t="s">
        <v>128</v>
      </c>
      <c r="BM320" s="42">
        <f t="shared" si="117"/>
        <v>2</v>
      </c>
      <c r="BN320" s="24" t="s">
        <v>83</v>
      </c>
      <c r="BO320" s="2" t="s">
        <v>175</v>
      </c>
    </row>
    <row r="321" spans="1:67" s="1" customFormat="1" ht="15" customHeight="1" x14ac:dyDescent="0.3">
      <c r="A321" s="20">
        <v>317</v>
      </c>
      <c r="B321" s="21">
        <v>46102</v>
      </c>
      <c r="C321" s="21">
        <v>46105</v>
      </c>
      <c r="D321" s="62" t="s">
        <v>1769</v>
      </c>
      <c r="E321" s="23">
        <v>46116</v>
      </c>
      <c r="F321" s="23" t="s">
        <v>7</v>
      </c>
      <c r="G321" s="24" t="s">
        <v>68</v>
      </c>
      <c r="H321" s="24" t="s">
        <v>69</v>
      </c>
      <c r="I321" s="24" t="s">
        <v>70</v>
      </c>
      <c r="J321" s="25" t="s">
        <v>293</v>
      </c>
      <c r="K321" s="45" t="str">
        <f t="shared" si="118"/>
        <v>WB39B4313</v>
      </c>
      <c r="L321" s="26">
        <v>46104</v>
      </c>
      <c r="M321" s="34" t="s">
        <v>1770</v>
      </c>
      <c r="N321" s="27" t="s">
        <v>1771</v>
      </c>
      <c r="O321" s="28">
        <v>0</v>
      </c>
      <c r="P321" s="27" t="s">
        <v>1772</v>
      </c>
      <c r="Q321" s="29">
        <v>2525373308</v>
      </c>
      <c r="R321" s="30">
        <v>2110821563</v>
      </c>
      <c r="S321" s="63" t="s">
        <v>73</v>
      </c>
      <c r="T321" s="24" t="s">
        <v>91</v>
      </c>
      <c r="U321" s="24" t="s">
        <v>75</v>
      </c>
      <c r="V321" s="32" t="s">
        <v>1773</v>
      </c>
      <c r="W321" s="32" t="s">
        <v>889</v>
      </c>
      <c r="X321" s="32" t="s">
        <v>1774</v>
      </c>
      <c r="Y321" s="24">
        <v>900</v>
      </c>
      <c r="Z321" s="24">
        <v>25</v>
      </c>
      <c r="AA321" s="24">
        <f t="shared" si="119"/>
        <v>855</v>
      </c>
      <c r="AB321" s="24">
        <f t="shared" si="111"/>
        <v>22500</v>
      </c>
      <c r="AC321" s="24">
        <f t="shared" si="112"/>
        <v>21375</v>
      </c>
      <c r="AD321" s="24">
        <f t="shared" si="113"/>
        <v>21375</v>
      </c>
      <c r="AE321" s="24">
        <f t="shared" si="114"/>
        <v>1125</v>
      </c>
      <c r="AF321" s="24">
        <f t="shared" ref="AF321:AF352" si="135">+AD321*1%</f>
        <v>213.75</v>
      </c>
      <c r="AG321" s="33">
        <v>3900</v>
      </c>
      <c r="AH321" s="24"/>
      <c r="AI321" s="24"/>
      <c r="AJ321" s="24"/>
      <c r="AK321" s="24"/>
      <c r="AL321" s="24"/>
      <c r="AM321" s="24" t="s">
        <v>79</v>
      </c>
      <c r="AN321" s="34" t="s">
        <v>1775</v>
      </c>
      <c r="AO321" s="35" t="s">
        <v>973</v>
      </c>
      <c r="AP321" s="24">
        <f>188*2</f>
        <v>376</v>
      </c>
      <c r="AQ321" s="36">
        <f t="shared" si="120"/>
        <v>115.69230769230769</v>
      </c>
      <c r="AR321" s="67">
        <v>115</v>
      </c>
      <c r="AS321" s="68">
        <f t="shared" si="121"/>
        <v>-0.6923076923076934</v>
      </c>
      <c r="AT321" s="69"/>
      <c r="AU321" s="68">
        <f t="shared" si="122"/>
        <v>-0.6923076923076934</v>
      </c>
      <c r="AV321" s="70">
        <v>91.99</v>
      </c>
      <c r="AW321" s="65">
        <f t="shared" si="115"/>
        <v>10578.849999999999</v>
      </c>
      <c r="AX321" s="24">
        <f t="shared" si="131"/>
        <v>67.737309941520465</v>
      </c>
      <c r="AY321" s="24"/>
      <c r="AZ321" s="24"/>
      <c r="BA321" s="24"/>
      <c r="BB321" s="24">
        <f t="shared" si="123"/>
        <v>0</v>
      </c>
      <c r="BC321" s="24">
        <f t="shared" si="124"/>
        <v>6682.4000000000015</v>
      </c>
      <c r="BD321" s="24"/>
      <c r="BE321" s="24"/>
      <c r="BF321" s="24"/>
      <c r="BG321" s="24">
        <f t="shared" si="134"/>
        <v>2137.5</v>
      </c>
      <c r="BH321" s="24"/>
      <c r="BI321" s="24"/>
      <c r="BJ321" s="24">
        <f t="shared" si="125"/>
        <v>21.375</v>
      </c>
      <c r="BK321" s="24">
        <f t="shared" si="126"/>
        <v>8798.5250000000015</v>
      </c>
      <c r="BL321" s="24" t="s">
        <v>253</v>
      </c>
      <c r="BM321" s="42">
        <f t="shared" si="117"/>
        <v>3</v>
      </c>
      <c r="BN321" s="24" t="s">
        <v>139</v>
      </c>
      <c r="BO321" s="2" t="s">
        <v>148</v>
      </c>
    </row>
    <row r="322" spans="1:67" s="1" customFormat="1" ht="15" customHeight="1" x14ac:dyDescent="0.3">
      <c r="A322" s="20">
        <v>318</v>
      </c>
      <c r="B322" s="21">
        <v>46102</v>
      </c>
      <c r="C322" s="21">
        <v>46107</v>
      </c>
      <c r="D322" s="50" t="s">
        <v>1751</v>
      </c>
      <c r="E322" s="23">
        <v>46108</v>
      </c>
      <c r="F322" s="23" t="s">
        <v>7</v>
      </c>
      <c r="G322" s="24" t="s">
        <v>87</v>
      </c>
      <c r="H322" s="24" t="s">
        <v>69</v>
      </c>
      <c r="I322" s="24" t="s">
        <v>106</v>
      </c>
      <c r="J322" s="25" t="s">
        <v>107</v>
      </c>
      <c r="K322" s="45" t="str">
        <f t="shared" si="118"/>
        <v>WB57C7436</v>
      </c>
      <c r="L322" s="26">
        <v>46103</v>
      </c>
      <c r="M322" s="34" t="s">
        <v>1776</v>
      </c>
      <c r="N322" s="27" t="s">
        <v>1777</v>
      </c>
      <c r="O322" s="28">
        <v>0</v>
      </c>
      <c r="P322" s="27"/>
      <c r="Q322" s="29">
        <v>2525373296</v>
      </c>
      <c r="R322" s="30">
        <v>2110820934</v>
      </c>
      <c r="S322" s="31" t="s">
        <v>73</v>
      </c>
      <c r="T322" s="24" t="s">
        <v>91</v>
      </c>
      <c r="U322" s="24" t="s">
        <v>92</v>
      </c>
      <c r="V322" s="32" t="s">
        <v>1778</v>
      </c>
      <c r="W322" s="32" t="s">
        <v>1779</v>
      </c>
      <c r="X322" s="32" t="s">
        <v>1779</v>
      </c>
      <c r="Y322" s="24">
        <v>819</v>
      </c>
      <c r="Z322" s="24">
        <v>25</v>
      </c>
      <c r="AA322" s="24">
        <f t="shared" si="119"/>
        <v>778.05</v>
      </c>
      <c r="AB322" s="24">
        <f t="shared" si="111"/>
        <v>20475</v>
      </c>
      <c r="AC322" s="24">
        <f t="shared" si="112"/>
        <v>19451.25</v>
      </c>
      <c r="AD322" s="24">
        <f t="shared" si="113"/>
        <v>19451.25</v>
      </c>
      <c r="AE322" s="24">
        <f t="shared" si="114"/>
        <v>1023.75</v>
      </c>
      <c r="AF322" s="24">
        <v>0</v>
      </c>
      <c r="AG322" s="33">
        <v>10100</v>
      </c>
      <c r="AH322" s="24"/>
      <c r="AI322" s="24"/>
      <c r="AJ322" s="24"/>
      <c r="AK322" s="24"/>
      <c r="AL322" s="24"/>
      <c r="AM322" s="24" t="s">
        <v>79</v>
      </c>
      <c r="AN322" s="34" t="s">
        <v>1750</v>
      </c>
      <c r="AO322" s="35" t="s">
        <v>1673</v>
      </c>
      <c r="AP322" s="24">
        <f>154*2</f>
        <v>308</v>
      </c>
      <c r="AQ322" s="36">
        <f t="shared" si="120"/>
        <v>94.769230769230774</v>
      </c>
      <c r="AR322" s="80">
        <v>100</v>
      </c>
      <c r="AS322" s="47">
        <f t="shared" si="121"/>
        <v>5.2307692307692264</v>
      </c>
      <c r="AT322" s="31"/>
      <c r="AU322" s="47">
        <f t="shared" si="122"/>
        <v>5.2307692307692264</v>
      </c>
      <c r="AV322" s="81">
        <v>91.99</v>
      </c>
      <c r="AW322" s="24">
        <f t="shared" si="115"/>
        <v>9199</v>
      </c>
      <c r="AX322" s="24">
        <f t="shared" si="131"/>
        <v>99.217273954116052</v>
      </c>
      <c r="AY322" s="24"/>
      <c r="AZ322" s="24"/>
      <c r="BA322" s="24"/>
      <c r="BB322" s="24">
        <f t="shared" si="123"/>
        <v>0</v>
      </c>
      <c r="BC322" s="24">
        <f t="shared" si="124"/>
        <v>152.25</v>
      </c>
      <c r="BD322" s="24"/>
      <c r="BE322" s="24"/>
      <c r="BF322" s="24">
        <v>750</v>
      </c>
      <c r="BG322" s="24">
        <f t="shared" si="134"/>
        <v>1945.125</v>
      </c>
      <c r="BH322" s="24"/>
      <c r="BI322" s="24"/>
      <c r="BJ322" s="24">
        <f t="shared" si="125"/>
        <v>26.951250000000002</v>
      </c>
      <c r="BK322" s="24">
        <f t="shared" si="126"/>
        <v>2820.4237499999999</v>
      </c>
      <c r="BL322" s="24" t="s">
        <v>110</v>
      </c>
      <c r="BM322" s="42">
        <f t="shared" si="117"/>
        <v>2</v>
      </c>
      <c r="BN322" s="24" t="s">
        <v>83</v>
      </c>
      <c r="BO322" s="2" t="s">
        <v>84</v>
      </c>
    </row>
    <row r="323" spans="1:67" s="1" customFormat="1" ht="15" customHeight="1" x14ac:dyDescent="0.3">
      <c r="A323" s="20">
        <v>319</v>
      </c>
      <c r="B323" s="21">
        <v>46102</v>
      </c>
      <c r="C323" s="21">
        <v>46111</v>
      </c>
      <c r="D323" s="50" t="s">
        <v>1780</v>
      </c>
      <c r="E323" s="23">
        <v>46168</v>
      </c>
      <c r="F323" s="23" t="s">
        <v>7</v>
      </c>
      <c r="G323" s="24" t="s">
        <v>87</v>
      </c>
      <c r="H323" s="24" t="s">
        <v>69</v>
      </c>
      <c r="I323" s="24" t="s">
        <v>236</v>
      </c>
      <c r="J323" s="25" t="s">
        <v>366</v>
      </c>
      <c r="K323" s="45" t="str">
        <f t="shared" si="118"/>
        <v>WB41J5775</v>
      </c>
      <c r="L323" s="26">
        <v>46103</v>
      </c>
      <c r="M323" s="34" t="s">
        <v>1781</v>
      </c>
      <c r="N323" s="27" t="s">
        <v>1782</v>
      </c>
      <c r="O323" s="28">
        <v>0</v>
      </c>
      <c r="P323" s="27"/>
      <c r="Q323" s="29">
        <v>2525373321</v>
      </c>
      <c r="R323" s="30">
        <v>2110821449</v>
      </c>
      <c r="S323" s="31" t="s">
        <v>73</v>
      </c>
      <c r="T323" s="24" t="s">
        <v>91</v>
      </c>
      <c r="U323" s="24" t="s">
        <v>75</v>
      </c>
      <c r="V323" s="32" t="s">
        <v>1783</v>
      </c>
      <c r="W323" s="32" t="s">
        <v>1784</v>
      </c>
      <c r="X323" s="32" t="s">
        <v>1785</v>
      </c>
      <c r="Y323" s="24">
        <v>955</v>
      </c>
      <c r="Z323" s="24">
        <v>25</v>
      </c>
      <c r="AA323" s="24">
        <f t="shared" si="119"/>
        <v>907.25000000000011</v>
      </c>
      <c r="AB323" s="24">
        <f t="shared" si="111"/>
        <v>23875</v>
      </c>
      <c r="AC323" s="24">
        <f t="shared" si="112"/>
        <v>22681.25</v>
      </c>
      <c r="AD323" s="24">
        <f t="shared" si="113"/>
        <v>22681.250000000004</v>
      </c>
      <c r="AE323" s="24">
        <f t="shared" si="114"/>
        <v>1193.7499999999964</v>
      </c>
      <c r="AF323" s="24">
        <v>0</v>
      </c>
      <c r="AG323" s="33">
        <v>4200</v>
      </c>
      <c r="AH323" s="24"/>
      <c r="AI323" s="24"/>
      <c r="AJ323" s="24"/>
      <c r="AK323" s="24"/>
      <c r="AL323" s="24"/>
      <c r="AM323" s="24" t="s">
        <v>79</v>
      </c>
      <c r="AN323" s="34" t="s">
        <v>1786</v>
      </c>
      <c r="AO323" s="35" t="s">
        <v>1673</v>
      </c>
      <c r="AP323" s="24">
        <f>246*2</f>
        <v>492</v>
      </c>
      <c r="AQ323" s="36">
        <f t="shared" si="120"/>
        <v>151.38461538461539</v>
      </c>
      <c r="AR323" s="80">
        <v>170</v>
      </c>
      <c r="AS323" s="47">
        <f t="shared" si="121"/>
        <v>18.615384615384613</v>
      </c>
      <c r="AT323" s="31"/>
      <c r="AU323" s="47">
        <f t="shared" si="122"/>
        <v>18.615384615384613</v>
      </c>
      <c r="AV323" s="81">
        <v>91.99</v>
      </c>
      <c r="AW323" s="24">
        <f t="shared" si="115"/>
        <v>15638.3</v>
      </c>
      <c r="AX323" s="24">
        <f t="shared" si="131"/>
        <v>87.465637916781475</v>
      </c>
      <c r="AY323" s="24"/>
      <c r="AZ323" s="24"/>
      <c r="BA323" s="24"/>
      <c r="BB323" s="24">
        <f t="shared" si="123"/>
        <v>0</v>
      </c>
      <c r="BC323" s="24">
        <f t="shared" si="124"/>
        <v>2842.9500000000044</v>
      </c>
      <c r="BD323" s="24"/>
      <c r="BE323" s="24"/>
      <c r="BF323" s="24">
        <v>750</v>
      </c>
      <c r="BG323" s="24">
        <f t="shared" si="134"/>
        <v>2268.125</v>
      </c>
      <c r="BH323" s="24"/>
      <c r="BI323" s="24"/>
      <c r="BJ323" s="24">
        <f t="shared" si="125"/>
        <v>30.181250000000002</v>
      </c>
      <c r="BK323" s="24">
        <f t="shared" si="126"/>
        <v>5830.8937500000047</v>
      </c>
      <c r="BL323" s="24" t="s">
        <v>245</v>
      </c>
      <c r="BM323" s="42">
        <f t="shared" si="117"/>
        <v>2</v>
      </c>
      <c r="BN323" s="24" t="s">
        <v>83</v>
      </c>
      <c r="BO323" s="2" t="s">
        <v>129</v>
      </c>
    </row>
    <row r="324" spans="1:67" s="1" customFormat="1" ht="15" customHeight="1" x14ac:dyDescent="0.3">
      <c r="A324" s="20">
        <v>320</v>
      </c>
      <c r="B324" s="21">
        <v>46102</v>
      </c>
      <c r="C324" s="21">
        <v>46107</v>
      </c>
      <c r="D324" s="50" t="s">
        <v>1751</v>
      </c>
      <c r="E324" s="23">
        <v>46108</v>
      </c>
      <c r="F324" s="23" t="s">
        <v>7</v>
      </c>
      <c r="G324" s="24" t="s">
        <v>87</v>
      </c>
      <c r="H324" s="24" t="s">
        <v>69</v>
      </c>
      <c r="I324" s="24" t="s">
        <v>98</v>
      </c>
      <c r="J324" s="25" t="s">
        <v>99</v>
      </c>
      <c r="K324" s="45" t="str">
        <f t="shared" si="118"/>
        <v>WB65D7397</v>
      </c>
      <c r="L324" s="26">
        <v>46104</v>
      </c>
      <c r="M324" s="34" t="s">
        <v>1787</v>
      </c>
      <c r="N324" s="27" t="s">
        <v>1788</v>
      </c>
      <c r="O324" s="28">
        <v>0</v>
      </c>
      <c r="P324" s="27"/>
      <c r="Q324" s="29">
        <v>2525373327</v>
      </c>
      <c r="R324" s="30">
        <v>2110820965</v>
      </c>
      <c r="S324" s="31" t="s">
        <v>73</v>
      </c>
      <c r="T324" s="24" t="s">
        <v>91</v>
      </c>
      <c r="U324" s="24" t="s">
        <v>92</v>
      </c>
      <c r="V324" s="32" t="s">
        <v>1778</v>
      </c>
      <c r="W324" s="32" t="s">
        <v>1779</v>
      </c>
      <c r="X324" s="32" t="s">
        <v>1779</v>
      </c>
      <c r="Y324" s="24">
        <v>819</v>
      </c>
      <c r="Z324" s="24">
        <v>25</v>
      </c>
      <c r="AA324" s="24">
        <f t="shared" si="119"/>
        <v>778.05</v>
      </c>
      <c r="AB324" s="24">
        <f t="shared" si="111"/>
        <v>20475</v>
      </c>
      <c r="AC324" s="24">
        <f t="shared" si="112"/>
        <v>19451.25</v>
      </c>
      <c r="AD324" s="24">
        <f t="shared" si="113"/>
        <v>19451.25</v>
      </c>
      <c r="AE324" s="24">
        <f t="shared" si="114"/>
        <v>1023.75</v>
      </c>
      <c r="AF324" s="24">
        <v>0</v>
      </c>
      <c r="AG324" s="33">
        <v>4700</v>
      </c>
      <c r="AH324" s="24"/>
      <c r="AI324" s="24"/>
      <c r="AJ324" s="24"/>
      <c r="AK324" s="24"/>
      <c r="AL324" s="24"/>
      <c r="AM324" s="24" t="s">
        <v>79</v>
      </c>
      <c r="AN324" s="34" t="s">
        <v>1789</v>
      </c>
      <c r="AO324" s="35" t="s">
        <v>1673</v>
      </c>
      <c r="AP324" s="24">
        <f>154*2</f>
        <v>308</v>
      </c>
      <c r="AQ324" s="36">
        <f t="shared" si="120"/>
        <v>94.769230769230774</v>
      </c>
      <c r="AR324" s="80">
        <v>100</v>
      </c>
      <c r="AS324" s="47">
        <f t="shared" si="121"/>
        <v>5.2307692307692264</v>
      </c>
      <c r="AT324" s="31"/>
      <c r="AU324" s="47">
        <f t="shared" si="122"/>
        <v>5.2307692307692264</v>
      </c>
      <c r="AV324" s="81">
        <v>91.99</v>
      </c>
      <c r="AW324" s="24">
        <f t="shared" si="115"/>
        <v>9199</v>
      </c>
      <c r="AX324" s="24">
        <f t="shared" si="131"/>
        <v>71.455561981877764</v>
      </c>
      <c r="AY324" s="24"/>
      <c r="AZ324" s="24"/>
      <c r="BA324" s="24"/>
      <c r="BB324" s="24">
        <f t="shared" si="123"/>
        <v>0</v>
      </c>
      <c r="BC324" s="24">
        <f t="shared" si="124"/>
        <v>5552.25</v>
      </c>
      <c r="BD324" s="24"/>
      <c r="BE324" s="24"/>
      <c r="BF324" s="24">
        <v>750</v>
      </c>
      <c r="BG324" s="24">
        <f>+AD324*9.5%</f>
        <v>1847.8687500000001</v>
      </c>
      <c r="BH324" s="24"/>
      <c r="BI324" s="24"/>
      <c r="BJ324" s="24">
        <f t="shared" si="125"/>
        <v>25.978687500000003</v>
      </c>
      <c r="BK324" s="24">
        <f t="shared" si="126"/>
        <v>8124.1400624999997</v>
      </c>
      <c r="BL324" s="24" t="s">
        <v>105</v>
      </c>
      <c r="BM324" s="42">
        <f t="shared" si="117"/>
        <v>3</v>
      </c>
      <c r="BN324" s="24" t="s">
        <v>139</v>
      </c>
      <c r="BO324" s="2" t="s">
        <v>148</v>
      </c>
    </row>
    <row r="325" spans="1:67" s="1" customFormat="1" ht="15" customHeight="1" x14ac:dyDescent="0.3">
      <c r="A325" s="20">
        <v>321</v>
      </c>
      <c r="B325" s="21">
        <v>46102</v>
      </c>
      <c r="C325" s="21">
        <v>46107</v>
      </c>
      <c r="D325" s="50" t="s">
        <v>1694</v>
      </c>
      <c r="E325" s="23">
        <v>46108</v>
      </c>
      <c r="F325" s="23" t="s">
        <v>7</v>
      </c>
      <c r="G325" s="24" t="s">
        <v>68</v>
      </c>
      <c r="H325" s="24" t="s">
        <v>69</v>
      </c>
      <c r="I325" s="24" t="s">
        <v>70</v>
      </c>
      <c r="J325" s="25" t="s">
        <v>113</v>
      </c>
      <c r="K325" s="45" t="str">
        <f t="shared" si="118"/>
        <v>WB39B5062</v>
      </c>
      <c r="L325" s="26">
        <v>46103</v>
      </c>
      <c r="M325" s="34" t="s">
        <v>1790</v>
      </c>
      <c r="N325" s="27" t="s">
        <v>1791</v>
      </c>
      <c r="O325" s="28">
        <v>0</v>
      </c>
      <c r="P325" s="27" t="s">
        <v>1792</v>
      </c>
      <c r="Q325" s="29">
        <v>2590203037</v>
      </c>
      <c r="R325" s="30">
        <v>2160380723</v>
      </c>
      <c r="S325" s="31" t="s">
        <v>73</v>
      </c>
      <c r="T325" s="24" t="s">
        <v>91</v>
      </c>
      <c r="U325" s="24" t="s">
        <v>347</v>
      </c>
      <c r="V325" s="32" t="s">
        <v>348</v>
      </c>
      <c r="W325" s="32" t="s">
        <v>349</v>
      </c>
      <c r="X325" s="32" t="s">
        <v>349</v>
      </c>
      <c r="Y325" s="24">
        <v>706</v>
      </c>
      <c r="Z325" s="24">
        <v>25</v>
      </c>
      <c r="AA325" s="24">
        <f t="shared" si="119"/>
        <v>670.69999999999993</v>
      </c>
      <c r="AB325" s="24">
        <f t="shared" ref="AB325:AB388" si="136">+Z325*Y325</f>
        <v>17650</v>
      </c>
      <c r="AC325" s="24">
        <f t="shared" ref="AC325:AC388" si="137">+AB325/100*95</f>
        <v>16767.5</v>
      </c>
      <c r="AD325" s="24">
        <f t="shared" ref="AD325:AD388" si="138">+AA325*Z325</f>
        <v>16767.5</v>
      </c>
      <c r="AE325" s="24">
        <f t="shared" ref="AE325:AE388" si="139">+AB325-AD325</f>
        <v>882.5</v>
      </c>
      <c r="AF325" s="24">
        <v>0</v>
      </c>
      <c r="AG325" s="33">
        <v>3200</v>
      </c>
      <c r="AH325" s="24"/>
      <c r="AI325" s="24"/>
      <c r="AJ325" s="24"/>
      <c r="AK325" s="24"/>
      <c r="AL325" s="24"/>
      <c r="AM325" s="24" t="s">
        <v>79</v>
      </c>
      <c r="AN325" s="34" t="s">
        <v>1793</v>
      </c>
      <c r="AO325" s="35" t="s">
        <v>1673</v>
      </c>
      <c r="AP325" s="24">
        <f>129*2</f>
        <v>258</v>
      </c>
      <c r="AQ325" s="36">
        <f t="shared" si="120"/>
        <v>79.384615384615387</v>
      </c>
      <c r="AR325" s="80">
        <v>90</v>
      </c>
      <c r="AS325" s="47">
        <f t="shared" si="121"/>
        <v>10.615384615384613</v>
      </c>
      <c r="AT325" s="31"/>
      <c r="AU325" s="47">
        <f t="shared" si="122"/>
        <v>10.615384615384613</v>
      </c>
      <c r="AV325" s="81">
        <v>91.99</v>
      </c>
      <c r="AW325" s="24">
        <f t="shared" ref="AW325:AW388" si="140">+AR325*AV325</f>
        <v>8279.1</v>
      </c>
      <c r="AX325" s="24">
        <f t="shared" si="131"/>
        <v>68.460414492321448</v>
      </c>
      <c r="AY325" s="24"/>
      <c r="AZ325" s="24"/>
      <c r="BA325" s="24"/>
      <c r="BB325" s="24">
        <f t="shared" si="123"/>
        <v>0</v>
      </c>
      <c r="BC325" s="24">
        <f t="shared" si="124"/>
        <v>5288.4</v>
      </c>
      <c r="BD325" s="24"/>
      <c r="BE325" s="24"/>
      <c r="BF325" s="24"/>
      <c r="BG325" s="24">
        <f t="shared" si="134"/>
        <v>1676.75</v>
      </c>
      <c r="BH325" s="24"/>
      <c r="BI325" s="24"/>
      <c r="BJ325" s="24">
        <f t="shared" si="125"/>
        <v>16.767500000000002</v>
      </c>
      <c r="BK325" s="24">
        <f t="shared" si="126"/>
        <v>6948.3824999999997</v>
      </c>
      <c r="BL325" s="24" t="s">
        <v>116</v>
      </c>
      <c r="BM325" s="42">
        <f t="shared" ref="BM325:BM388" si="141">+L325-B325+1</f>
        <v>2</v>
      </c>
      <c r="BN325" s="24" t="s">
        <v>83</v>
      </c>
      <c r="BO325" s="2" t="s">
        <v>148</v>
      </c>
    </row>
    <row r="326" spans="1:67" s="1" customFormat="1" ht="15" customHeight="1" x14ac:dyDescent="0.3">
      <c r="A326" s="20">
        <v>322</v>
      </c>
      <c r="B326" s="21">
        <v>46102</v>
      </c>
      <c r="C326" s="21">
        <v>46107</v>
      </c>
      <c r="D326" s="50" t="s">
        <v>1694</v>
      </c>
      <c r="E326" s="23">
        <v>46108</v>
      </c>
      <c r="F326" s="23" t="s">
        <v>7</v>
      </c>
      <c r="G326" s="24" t="s">
        <v>68</v>
      </c>
      <c r="H326" s="24" t="s">
        <v>69</v>
      </c>
      <c r="I326" s="24" t="s">
        <v>729</v>
      </c>
      <c r="J326" s="25" t="s">
        <v>730</v>
      </c>
      <c r="K326" s="45" t="str">
        <f t="shared" ref="K326:K389" si="142">CONCATENATE(H326,I326,J326)</f>
        <v>WB53B7628</v>
      </c>
      <c r="L326" s="26">
        <v>46103</v>
      </c>
      <c r="M326" s="34" t="s">
        <v>1794</v>
      </c>
      <c r="N326" s="27" t="s">
        <v>1795</v>
      </c>
      <c r="O326" s="28">
        <v>0</v>
      </c>
      <c r="P326" s="27" t="s">
        <v>1796</v>
      </c>
      <c r="Q326" s="29">
        <v>2590203038</v>
      </c>
      <c r="R326" s="30">
        <v>2160380724</v>
      </c>
      <c r="S326" s="31" t="s">
        <v>73</v>
      </c>
      <c r="T326" s="24" t="s">
        <v>91</v>
      </c>
      <c r="U326" s="24" t="s">
        <v>347</v>
      </c>
      <c r="V326" s="32" t="s">
        <v>348</v>
      </c>
      <c r="W326" s="32" t="s">
        <v>349</v>
      </c>
      <c r="X326" s="32" t="s">
        <v>349</v>
      </c>
      <c r="Y326" s="24">
        <v>706</v>
      </c>
      <c r="Z326" s="24">
        <v>25</v>
      </c>
      <c r="AA326" s="24">
        <f t="shared" ref="AA326:AA389" si="143">+Y326/100*95</f>
        <v>670.69999999999993</v>
      </c>
      <c r="AB326" s="24">
        <f t="shared" si="136"/>
        <v>17650</v>
      </c>
      <c r="AC326" s="24">
        <f t="shared" si="137"/>
        <v>16767.5</v>
      </c>
      <c r="AD326" s="24">
        <f t="shared" si="138"/>
        <v>16767.5</v>
      </c>
      <c r="AE326" s="24">
        <f t="shared" si="139"/>
        <v>882.5</v>
      </c>
      <c r="AF326" s="24">
        <v>0</v>
      </c>
      <c r="AG326" s="33">
        <v>3900</v>
      </c>
      <c r="AH326" s="24"/>
      <c r="AI326" s="24">
        <v>8385</v>
      </c>
      <c r="AJ326" s="24">
        <v>150</v>
      </c>
      <c r="AK326" s="24"/>
      <c r="AL326" s="24"/>
      <c r="AM326" s="24" t="s">
        <v>79</v>
      </c>
      <c r="AN326" s="34" t="s">
        <v>1797</v>
      </c>
      <c r="AO326" s="35" t="s">
        <v>1673</v>
      </c>
      <c r="AP326" s="24">
        <f>129*2</f>
        <v>258</v>
      </c>
      <c r="AQ326" s="36">
        <f t="shared" ref="AQ326:AQ389" si="144">+AP326/3.25</f>
        <v>79.384615384615387</v>
      </c>
      <c r="AR326" s="80">
        <v>85</v>
      </c>
      <c r="AS326" s="47">
        <f t="shared" ref="AS326:AS389" si="145">+AR326-AQ326</f>
        <v>5.6153846153846132</v>
      </c>
      <c r="AT326" s="31"/>
      <c r="AU326" s="47">
        <f t="shared" ref="AU326:AU389" si="146">+AS326-AT326</f>
        <v>5.6153846153846132</v>
      </c>
      <c r="AV326" s="81">
        <v>91.99</v>
      </c>
      <c r="AW326" s="24">
        <f t="shared" si="140"/>
        <v>7819.15</v>
      </c>
      <c r="AX326" s="24">
        <f t="shared" si="131"/>
        <v>69.89205307887282</v>
      </c>
      <c r="AY326" s="24"/>
      <c r="AZ326" s="24"/>
      <c r="BA326" s="24"/>
      <c r="BB326" s="24">
        <f t="shared" ref="BB326:BB389" si="147">+AZ326*BA326</f>
        <v>0</v>
      </c>
      <c r="BC326" s="24">
        <f t="shared" ref="BC326:BC389" si="148">+AD326-AF326-AG326-AH326-AI326-AJ326-AK326-AW326-AY326-BB326-AL326</f>
        <v>-3486.6499999999996</v>
      </c>
      <c r="BD326" s="24"/>
      <c r="BE326" s="24"/>
      <c r="BF326" s="24"/>
      <c r="BG326" s="24">
        <f t="shared" si="134"/>
        <v>1676.75</v>
      </c>
      <c r="BH326" s="24"/>
      <c r="BI326" s="24"/>
      <c r="BJ326" s="24">
        <f t="shared" ref="BJ326:BJ389" si="149">+(+BF326+BG326+BH326+BI326)*1%</f>
        <v>16.767500000000002</v>
      </c>
      <c r="BK326" s="24">
        <f t="shared" ref="BK326:BK389" si="150">+BC326+BD326+BE326+BF326+BG326+BH326+BI326-BJ326</f>
        <v>-1826.6674999999996</v>
      </c>
      <c r="BL326" s="24" t="s">
        <v>735</v>
      </c>
      <c r="BM326" s="42">
        <f t="shared" si="141"/>
        <v>2</v>
      </c>
      <c r="BN326" s="24" t="s">
        <v>83</v>
      </c>
      <c r="BO326" s="2" t="s">
        <v>148</v>
      </c>
    </row>
    <row r="327" spans="1:67" s="1" customFormat="1" ht="15" customHeight="1" x14ac:dyDescent="0.3">
      <c r="A327" s="20">
        <v>323</v>
      </c>
      <c r="B327" s="21">
        <v>46102</v>
      </c>
      <c r="C327" s="21">
        <v>46107</v>
      </c>
      <c r="D327" s="50" t="s">
        <v>185</v>
      </c>
      <c r="E327" s="23">
        <v>46108</v>
      </c>
      <c r="F327" s="23" t="s">
        <v>7</v>
      </c>
      <c r="G327" s="24" t="s">
        <v>68</v>
      </c>
      <c r="H327" s="24" t="s">
        <v>69</v>
      </c>
      <c r="I327" s="24" t="s">
        <v>389</v>
      </c>
      <c r="J327" s="25" t="s">
        <v>372</v>
      </c>
      <c r="K327" s="45" t="str">
        <f t="shared" si="142"/>
        <v>WB39G7433</v>
      </c>
      <c r="L327" s="26">
        <v>46104</v>
      </c>
      <c r="M327" s="34" t="s">
        <v>1798</v>
      </c>
      <c r="N327" s="27" t="s">
        <v>1799</v>
      </c>
      <c r="O327" s="28">
        <v>0</v>
      </c>
      <c r="P327" s="27" t="s">
        <v>1800</v>
      </c>
      <c r="Q327" s="29">
        <v>2525373679</v>
      </c>
      <c r="R327" s="30">
        <v>2110822355</v>
      </c>
      <c r="S327" s="31" t="s">
        <v>73</v>
      </c>
      <c r="T327" s="24" t="s">
        <v>91</v>
      </c>
      <c r="U327" s="24" t="s">
        <v>75</v>
      </c>
      <c r="V327" s="32" t="s">
        <v>1095</v>
      </c>
      <c r="W327" s="32" t="s">
        <v>1090</v>
      </c>
      <c r="X327" s="32" t="s">
        <v>1090</v>
      </c>
      <c r="Y327" s="24">
        <v>1278</v>
      </c>
      <c r="Z327" s="24">
        <v>25</v>
      </c>
      <c r="AA327" s="24">
        <f t="shared" si="143"/>
        <v>1214.0999999999999</v>
      </c>
      <c r="AB327" s="24">
        <f t="shared" si="136"/>
        <v>31950</v>
      </c>
      <c r="AC327" s="24">
        <f t="shared" si="137"/>
        <v>30352.5</v>
      </c>
      <c r="AD327" s="24">
        <f t="shared" si="138"/>
        <v>30352.499999999996</v>
      </c>
      <c r="AE327" s="24">
        <f t="shared" si="139"/>
        <v>1597.5000000000036</v>
      </c>
      <c r="AF327" s="24">
        <f>+AD327*1%</f>
        <v>303.52499999999998</v>
      </c>
      <c r="AG327" s="33">
        <v>4200</v>
      </c>
      <c r="AH327" s="24"/>
      <c r="AI327" s="24"/>
      <c r="AJ327" s="24"/>
      <c r="AK327" s="24"/>
      <c r="AL327" s="24"/>
      <c r="AM327" s="24" t="s">
        <v>79</v>
      </c>
      <c r="AN327" s="34" t="s">
        <v>1801</v>
      </c>
      <c r="AO327" s="35" t="s">
        <v>1673</v>
      </c>
      <c r="AP327" s="24">
        <f>315*2</f>
        <v>630</v>
      </c>
      <c r="AQ327" s="36">
        <f t="shared" si="144"/>
        <v>193.84615384615384</v>
      </c>
      <c r="AR327" s="80">
        <v>180</v>
      </c>
      <c r="AS327" s="47">
        <f t="shared" si="145"/>
        <v>-13.84615384615384</v>
      </c>
      <c r="AT327" s="31"/>
      <c r="AU327" s="47">
        <f t="shared" si="146"/>
        <v>-13.84615384615384</v>
      </c>
      <c r="AV327" s="81">
        <v>91.99</v>
      </c>
      <c r="AW327" s="24">
        <f t="shared" si="140"/>
        <v>16558.2</v>
      </c>
      <c r="AX327" s="24">
        <f t="shared" si="131"/>
        <v>68.390412651346693</v>
      </c>
      <c r="AY327" s="24"/>
      <c r="AZ327" s="24"/>
      <c r="BA327" s="24"/>
      <c r="BB327" s="24">
        <f t="shared" si="147"/>
        <v>0</v>
      </c>
      <c r="BC327" s="24">
        <f t="shared" si="148"/>
        <v>9290.7749999999942</v>
      </c>
      <c r="BD327" s="24">
        <v>135</v>
      </c>
      <c r="BE327" s="24">
        <v>135</v>
      </c>
      <c r="BF327" s="24"/>
      <c r="BG327" s="24">
        <f t="shared" si="134"/>
        <v>3035.25</v>
      </c>
      <c r="BH327" s="24"/>
      <c r="BI327" s="24"/>
      <c r="BJ327" s="24">
        <f t="shared" si="149"/>
        <v>30.352499999999999</v>
      </c>
      <c r="BK327" s="24">
        <f t="shared" si="150"/>
        <v>12565.672499999993</v>
      </c>
      <c r="BL327" s="24" t="s">
        <v>379</v>
      </c>
      <c r="BM327" s="42">
        <f t="shared" si="141"/>
        <v>3</v>
      </c>
      <c r="BN327" s="24" t="s">
        <v>139</v>
      </c>
      <c r="BO327" s="2" t="s">
        <v>84</v>
      </c>
    </row>
    <row r="328" spans="1:67" s="1" customFormat="1" ht="15" customHeight="1" x14ac:dyDescent="0.3">
      <c r="A328" s="20">
        <v>324</v>
      </c>
      <c r="B328" s="21">
        <v>46102</v>
      </c>
      <c r="C328" s="21">
        <v>46107</v>
      </c>
      <c r="D328" s="62" t="s">
        <v>1769</v>
      </c>
      <c r="E328" s="23">
        <v>46116</v>
      </c>
      <c r="F328" s="23" t="s">
        <v>7</v>
      </c>
      <c r="G328" s="24" t="s">
        <v>68</v>
      </c>
      <c r="H328" s="24" t="s">
        <v>69</v>
      </c>
      <c r="I328" s="24" t="s">
        <v>112</v>
      </c>
      <c r="J328" s="25" t="s">
        <v>487</v>
      </c>
      <c r="K328" s="45" t="str">
        <f t="shared" si="142"/>
        <v>WB39A9434</v>
      </c>
      <c r="L328" s="26">
        <v>46103</v>
      </c>
      <c r="M328" s="34" t="s">
        <v>1802</v>
      </c>
      <c r="N328" s="27" t="s">
        <v>1803</v>
      </c>
      <c r="O328" s="28">
        <v>0</v>
      </c>
      <c r="P328" s="27" t="s">
        <v>1804</v>
      </c>
      <c r="Q328" s="29">
        <v>2525373765</v>
      </c>
      <c r="R328" s="30">
        <v>2110822525</v>
      </c>
      <c r="S328" s="63" t="s">
        <v>73</v>
      </c>
      <c r="T328" s="24" t="s">
        <v>91</v>
      </c>
      <c r="U328" s="24" t="s">
        <v>75</v>
      </c>
      <c r="V328" s="32" t="s">
        <v>1468</v>
      </c>
      <c r="W328" s="32" t="s">
        <v>528</v>
      </c>
      <c r="X328" s="32" t="s">
        <v>1469</v>
      </c>
      <c r="Y328" s="24">
        <v>542</v>
      </c>
      <c r="Z328" s="24">
        <v>25</v>
      </c>
      <c r="AA328" s="24">
        <f t="shared" si="143"/>
        <v>514.9</v>
      </c>
      <c r="AB328" s="24">
        <f t="shared" si="136"/>
        <v>13550</v>
      </c>
      <c r="AC328" s="24">
        <f t="shared" si="137"/>
        <v>12872.5</v>
      </c>
      <c r="AD328" s="24">
        <f t="shared" si="138"/>
        <v>12872.5</v>
      </c>
      <c r="AE328" s="24">
        <f t="shared" si="139"/>
        <v>677.5</v>
      </c>
      <c r="AF328" s="24">
        <f t="shared" si="135"/>
        <v>128.72499999999999</v>
      </c>
      <c r="AG328" s="33">
        <v>3200</v>
      </c>
      <c r="AH328" s="24"/>
      <c r="AI328" s="24"/>
      <c r="AJ328" s="24"/>
      <c r="AK328" s="24"/>
      <c r="AL328" s="24"/>
      <c r="AM328" s="24" t="s">
        <v>79</v>
      </c>
      <c r="AN328" s="34" t="s">
        <v>1805</v>
      </c>
      <c r="AO328" s="35" t="s">
        <v>1673</v>
      </c>
      <c r="AP328" s="24">
        <f>89*2</f>
        <v>178</v>
      </c>
      <c r="AQ328" s="36">
        <f t="shared" si="144"/>
        <v>54.769230769230766</v>
      </c>
      <c r="AR328" s="80">
        <v>80</v>
      </c>
      <c r="AS328" s="47">
        <f t="shared" si="145"/>
        <v>25.230769230769234</v>
      </c>
      <c r="AT328" s="31"/>
      <c r="AU328" s="47">
        <f t="shared" si="146"/>
        <v>25.230769230769234</v>
      </c>
      <c r="AV328" s="81">
        <v>91.99</v>
      </c>
      <c r="AW328" s="24">
        <f t="shared" si="140"/>
        <v>7359.2</v>
      </c>
      <c r="AX328" s="24">
        <f t="shared" si="131"/>
        <v>82.029131870266085</v>
      </c>
      <c r="AY328" s="24"/>
      <c r="AZ328" s="24"/>
      <c r="BA328" s="24"/>
      <c r="BB328" s="24">
        <f t="shared" si="147"/>
        <v>0</v>
      </c>
      <c r="BC328" s="24">
        <f t="shared" si="148"/>
        <v>2184.5749999999998</v>
      </c>
      <c r="BD328" s="24">
        <v>135</v>
      </c>
      <c r="BE328" s="24">
        <v>135</v>
      </c>
      <c r="BF328" s="24"/>
      <c r="BG328" s="24">
        <f>+AB328*9.5%</f>
        <v>1287.25</v>
      </c>
      <c r="BH328" s="24"/>
      <c r="BI328" s="24"/>
      <c r="BJ328" s="24">
        <f t="shared" si="149"/>
        <v>12.8725</v>
      </c>
      <c r="BK328" s="24">
        <f t="shared" si="150"/>
        <v>3728.9524999999999</v>
      </c>
      <c r="BL328" s="24" t="s">
        <v>494</v>
      </c>
      <c r="BM328" s="42">
        <f t="shared" si="141"/>
        <v>2</v>
      </c>
      <c r="BN328" s="24" t="s">
        <v>83</v>
      </c>
      <c r="BO328" s="2" t="s">
        <v>148</v>
      </c>
    </row>
    <row r="329" spans="1:67" s="1" customFormat="1" ht="15" customHeight="1" x14ac:dyDescent="0.3">
      <c r="A329" s="20">
        <v>325</v>
      </c>
      <c r="B329" s="21">
        <v>46102</v>
      </c>
      <c r="C329" s="21">
        <v>46107</v>
      </c>
      <c r="D329" s="50" t="s">
        <v>185</v>
      </c>
      <c r="E329" s="23">
        <v>46108</v>
      </c>
      <c r="F329" s="23" t="s">
        <v>7</v>
      </c>
      <c r="G329" s="24" t="s">
        <v>68</v>
      </c>
      <c r="H329" s="24" t="s">
        <v>69</v>
      </c>
      <c r="I329" s="24" t="s">
        <v>800</v>
      </c>
      <c r="J329" s="25" t="s">
        <v>801</v>
      </c>
      <c r="K329" s="45" t="str">
        <f t="shared" si="142"/>
        <v>WB41P4782</v>
      </c>
      <c r="L329" s="26">
        <v>46103</v>
      </c>
      <c r="M329" s="34"/>
      <c r="N329" s="27"/>
      <c r="O329" s="28">
        <v>0</v>
      </c>
      <c r="P329" s="27"/>
      <c r="Q329" s="29">
        <v>2525373767</v>
      </c>
      <c r="R329" s="30">
        <v>2110822526</v>
      </c>
      <c r="S329" s="31" t="s">
        <v>73</v>
      </c>
      <c r="T329" s="24" t="s">
        <v>188</v>
      </c>
      <c r="U329" s="24" t="s">
        <v>75</v>
      </c>
      <c r="V329" s="32" t="s">
        <v>647</v>
      </c>
      <c r="W329" s="32" t="s">
        <v>648</v>
      </c>
      <c r="X329" s="32" t="s">
        <v>648</v>
      </c>
      <c r="Y329" s="24">
        <v>797</v>
      </c>
      <c r="Z329" s="24">
        <v>13</v>
      </c>
      <c r="AA329" s="24">
        <f>+Y329/100*93</f>
        <v>741.20999999999992</v>
      </c>
      <c r="AB329" s="24">
        <f t="shared" si="136"/>
        <v>10361</v>
      </c>
      <c r="AC329" s="24">
        <f t="shared" si="137"/>
        <v>9842.9500000000007</v>
      </c>
      <c r="AD329" s="24">
        <f t="shared" si="138"/>
        <v>9635.73</v>
      </c>
      <c r="AE329" s="24">
        <f t="shared" si="139"/>
        <v>725.27000000000044</v>
      </c>
      <c r="AF329" s="24">
        <f t="shared" si="135"/>
        <v>96.357299999999995</v>
      </c>
      <c r="AG329" s="33">
        <v>1550</v>
      </c>
      <c r="AH329" s="24"/>
      <c r="AI329" s="24"/>
      <c r="AJ329" s="24"/>
      <c r="AK329" s="24"/>
      <c r="AL329" s="24"/>
      <c r="AM329" s="24" t="s">
        <v>79</v>
      </c>
      <c r="AN329" s="34" t="s">
        <v>1806</v>
      </c>
      <c r="AO329" s="35" t="s">
        <v>1673</v>
      </c>
      <c r="AP329" s="24">
        <f>168*2</f>
        <v>336</v>
      </c>
      <c r="AQ329" s="36">
        <f>+AP329/5</f>
        <v>67.2</v>
      </c>
      <c r="AR329" s="80">
        <v>60</v>
      </c>
      <c r="AS329" s="47">
        <f t="shared" si="145"/>
        <v>-7.2000000000000028</v>
      </c>
      <c r="AT329" s="31"/>
      <c r="AU329" s="47">
        <f t="shared" si="146"/>
        <v>-7.2000000000000028</v>
      </c>
      <c r="AV329" s="81">
        <v>91.99</v>
      </c>
      <c r="AW329" s="24">
        <f t="shared" si="140"/>
        <v>5519.4</v>
      </c>
      <c r="AX329" s="24">
        <f t="shared" si="131"/>
        <v>73.366522308117808</v>
      </c>
      <c r="AY329" s="24"/>
      <c r="AZ329" s="24"/>
      <c r="BA329" s="24"/>
      <c r="BB329" s="24">
        <f t="shared" si="147"/>
        <v>0</v>
      </c>
      <c r="BC329" s="24">
        <f t="shared" si="148"/>
        <v>2469.9727000000003</v>
      </c>
      <c r="BD329" s="24">
        <v>40</v>
      </c>
      <c r="BE329" s="24">
        <v>40</v>
      </c>
      <c r="BF329" s="24"/>
      <c r="BG329" s="24">
        <f>+AB329*9.5%</f>
        <v>984.29499999999996</v>
      </c>
      <c r="BH329" s="24"/>
      <c r="BI329" s="24"/>
      <c r="BJ329" s="24">
        <f t="shared" si="149"/>
        <v>9.8429500000000001</v>
      </c>
      <c r="BK329" s="24">
        <f t="shared" si="150"/>
        <v>3524.4247500000001</v>
      </c>
      <c r="BL329" s="24" t="s">
        <v>807</v>
      </c>
      <c r="BM329" s="42">
        <f t="shared" si="141"/>
        <v>2</v>
      </c>
      <c r="BN329" s="24" t="s">
        <v>83</v>
      </c>
      <c r="BO329" s="2" t="s">
        <v>84</v>
      </c>
    </row>
    <row r="330" spans="1:67" s="1" customFormat="1" ht="15" customHeight="1" x14ac:dyDescent="0.3">
      <c r="A330" s="20">
        <v>326</v>
      </c>
      <c r="B330" s="21">
        <v>46102</v>
      </c>
      <c r="C330" s="21">
        <v>46111</v>
      </c>
      <c r="D330" s="50" t="s">
        <v>611</v>
      </c>
      <c r="E330" s="23">
        <v>46111</v>
      </c>
      <c r="F330" s="23" t="s">
        <v>7</v>
      </c>
      <c r="G330" s="24" t="s">
        <v>68</v>
      </c>
      <c r="H330" s="24" t="s">
        <v>69</v>
      </c>
      <c r="I330" s="24" t="s">
        <v>131</v>
      </c>
      <c r="J330" s="25" t="s">
        <v>224</v>
      </c>
      <c r="K330" s="45" t="str">
        <f t="shared" si="142"/>
        <v>WB29A9266</v>
      </c>
      <c r="L330" s="26">
        <v>46106</v>
      </c>
      <c r="M330" s="34" t="s">
        <v>1807</v>
      </c>
      <c r="N330" s="27" t="s">
        <v>1808</v>
      </c>
      <c r="O330" s="28">
        <v>0</v>
      </c>
      <c r="P330" s="27" t="s">
        <v>1809</v>
      </c>
      <c r="Q330" s="29">
        <v>2525373808</v>
      </c>
      <c r="R330" s="30">
        <v>2110822630</v>
      </c>
      <c r="S330" s="31" t="s">
        <v>73</v>
      </c>
      <c r="T330" s="24" t="s">
        <v>91</v>
      </c>
      <c r="U330" s="24" t="s">
        <v>75</v>
      </c>
      <c r="V330" s="32" t="s">
        <v>438</v>
      </c>
      <c r="W330" s="32" t="s">
        <v>1749</v>
      </c>
      <c r="X330" s="32" t="s">
        <v>1749</v>
      </c>
      <c r="Y330" s="24">
        <v>1023</v>
      </c>
      <c r="Z330" s="24">
        <v>25</v>
      </c>
      <c r="AA330" s="24">
        <f t="shared" si="143"/>
        <v>971.85</v>
      </c>
      <c r="AB330" s="24">
        <f t="shared" si="136"/>
        <v>25575</v>
      </c>
      <c r="AC330" s="24">
        <f t="shared" si="137"/>
        <v>24296.25</v>
      </c>
      <c r="AD330" s="24">
        <f t="shared" si="138"/>
        <v>24296.25</v>
      </c>
      <c r="AE330" s="24">
        <f t="shared" si="139"/>
        <v>1278.75</v>
      </c>
      <c r="AF330" s="24">
        <v>0</v>
      </c>
      <c r="AG330" s="33">
        <v>5700</v>
      </c>
      <c r="AH330" s="24"/>
      <c r="AI330" s="24">
        <v>5000</v>
      </c>
      <c r="AJ330" s="24"/>
      <c r="AK330" s="24"/>
      <c r="AL330" s="24"/>
      <c r="AM330" s="24" t="s">
        <v>79</v>
      </c>
      <c r="AN330" s="34" t="s">
        <v>1810</v>
      </c>
      <c r="AO330" s="35" t="s">
        <v>1673</v>
      </c>
      <c r="AP330" s="24">
        <f>235*2</f>
        <v>470</v>
      </c>
      <c r="AQ330" s="36">
        <f t="shared" si="144"/>
        <v>144.61538461538461</v>
      </c>
      <c r="AR330" s="80">
        <v>140</v>
      </c>
      <c r="AS330" s="47">
        <f t="shared" si="145"/>
        <v>-4.6153846153846132</v>
      </c>
      <c r="AT330" s="31"/>
      <c r="AU330" s="47">
        <f t="shared" si="146"/>
        <v>-4.6153846153846132</v>
      </c>
      <c r="AV330" s="81">
        <v>91.99</v>
      </c>
      <c r="AW330" s="24">
        <f t="shared" si="140"/>
        <v>12878.599999999999</v>
      </c>
      <c r="AX330" s="24">
        <f t="shared" si="131"/>
        <v>76.466944487318003</v>
      </c>
      <c r="AY330" s="24"/>
      <c r="AZ330" s="24"/>
      <c r="BA330" s="24"/>
      <c r="BB330" s="24">
        <f t="shared" si="147"/>
        <v>0</v>
      </c>
      <c r="BC330" s="24">
        <f t="shared" si="148"/>
        <v>717.65000000000146</v>
      </c>
      <c r="BD330" s="24">
        <v>135</v>
      </c>
      <c r="BE330" s="24">
        <v>135</v>
      </c>
      <c r="BF330" s="24"/>
      <c r="BG330" s="24">
        <f>+AD330*9.5%</f>
        <v>2308.1437500000002</v>
      </c>
      <c r="BH330" s="24"/>
      <c r="BI330" s="24"/>
      <c r="BJ330" s="24">
        <f t="shared" si="149"/>
        <v>23.081437500000003</v>
      </c>
      <c r="BK330" s="24">
        <f t="shared" si="150"/>
        <v>3272.7123125000016</v>
      </c>
      <c r="BL330" s="24" t="s">
        <v>232</v>
      </c>
      <c r="BM330" s="42">
        <f t="shared" si="141"/>
        <v>5</v>
      </c>
      <c r="BN330" s="24" t="s">
        <v>1542</v>
      </c>
      <c r="BO330" s="2" t="s">
        <v>175</v>
      </c>
    </row>
    <row r="331" spans="1:67" s="1" customFormat="1" ht="15" customHeight="1" x14ac:dyDescent="0.3">
      <c r="A331" s="20">
        <v>327</v>
      </c>
      <c r="B331" s="21">
        <v>46102</v>
      </c>
      <c r="C331" s="21">
        <v>46107</v>
      </c>
      <c r="D331" s="50" t="s">
        <v>1694</v>
      </c>
      <c r="E331" s="23">
        <v>46108</v>
      </c>
      <c r="F331" s="23" t="s">
        <v>7</v>
      </c>
      <c r="G331" s="24" t="s">
        <v>68</v>
      </c>
      <c r="H331" s="24" t="s">
        <v>69</v>
      </c>
      <c r="I331" s="24" t="s">
        <v>381</v>
      </c>
      <c r="J331" s="25" t="s">
        <v>382</v>
      </c>
      <c r="K331" s="45" t="str">
        <f t="shared" si="142"/>
        <v>WB41K2967</v>
      </c>
      <c r="L331" s="26">
        <v>46105</v>
      </c>
      <c r="M331" s="57" t="s">
        <v>1811</v>
      </c>
      <c r="N331" s="57" t="s">
        <v>1812</v>
      </c>
      <c r="O331" s="28">
        <v>0</v>
      </c>
      <c r="P331" s="27" t="s">
        <v>1813</v>
      </c>
      <c r="Q331" s="29">
        <v>2590203356</v>
      </c>
      <c r="R331" s="30">
        <v>2160380989</v>
      </c>
      <c r="S331" s="31" t="s">
        <v>73</v>
      </c>
      <c r="T331" s="24" t="s">
        <v>241</v>
      </c>
      <c r="U331" s="24" t="s">
        <v>347</v>
      </c>
      <c r="V331" s="32" t="s">
        <v>386</v>
      </c>
      <c r="W331" s="32" t="s">
        <v>349</v>
      </c>
      <c r="X331" s="32" t="s">
        <v>349</v>
      </c>
      <c r="Y331" s="24">
        <v>1002</v>
      </c>
      <c r="Z331" s="24">
        <v>30</v>
      </c>
      <c r="AA331" s="24">
        <f t="shared" si="143"/>
        <v>951.9</v>
      </c>
      <c r="AB331" s="24">
        <f t="shared" si="136"/>
        <v>30060</v>
      </c>
      <c r="AC331" s="24">
        <f t="shared" si="137"/>
        <v>28557.000000000004</v>
      </c>
      <c r="AD331" s="24">
        <f t="shared" si="138"/>
        <v>28557</v>
      </c>
      <c r="AE331" s="24">
        <f t="shared" si="139"/>
        <v>1503</v>
      </c>
      <c r="AF331" s="24">
        <f t="shared" si="135"/>
        <v>285.57</v>
      </c>
      <c r="AG331" s="33">
        <v>3500</v>
      </c>
      <c r="AH331" s="24"/>
      <c r="AI331" s="24"/>
      <c r="AJ331" s="24"/>
      <c r="AK331" s="24"/>
      <c r="AL331" s="24"/>
      <c r="AM331" s="24" t="s">
        <v>79</v>
      </c>
      <c r="AN331" s="34" t="s">
        <v>1814</v>
      </c>
      <c r="AO331" s="35" t="s">
        <v>1673</v>
      </c>
      <c r="AP331" s="24">
        <f>269*2</f>
        <v>538</v>
      </c>
      <c r="AQ331" s="36">
        <f t="shared" si="144"/>
        <v>165.53846153846155</v>
      </c>
      <c r="AR331" s="80">
        <v>178</v>
      </c>
      <c r="AS331" s="47">
        <f t="shared" si="145"/>
        <v>12.461538461538453</v>
      </c>
      <c r="AT331" s="31"/>
      <c r="AU331" s="47">
        <f t="shared" si="146"/>
        <v>12.461538461538453</v>
      </c>
      <c r="AV331" s="81">
        <v>91.99</v>
      </c>
      <c r="AW331" s="24">
        <f t="shared" si="140"/>
        <v>16374.22</v>
      </c>
      <c r="AX331" s="24">
        <f t="shared" si="131"/>
        <v>69.59491543229332</v>
      </c>
      <c r="AY331" s="24"/>
      <c r="AZ331" s="24"/>
      <c r="BA331" s="24"/>
      <c r="BB331" s="24">
        <f t="shared" si="147"/>
        <v>0</v>
      </c>
      <c r="BC331" s="24">
        <f t="shared" si="148"/>
        <v>8397.2100000000009</v>
      </c>
      <c r="BD331" s="24"/>
      <c r="BE331" s="24"/>
      <c r="BF331" s="24"/>
      <c r="BG331" s="24">
        <f>+AB331*9.5%</f>
        <v>2855.7</v>
      </c>
      <c r="BH331" s="24"/>
      <c r="BI331" s="24"/>
      <c r="BJ331" s="24">
        <f t="shared" si="149"/>
        <v>28.556999999999999</v>
      </c>
      <c r="BK331" s="24">
        <f t="shared" si="150"/>
        <v>11224.352999999999</v>
      </c>
      <c r="BL331" s="24" t="s">
        <v>261</v>
      </c>
      <c r="BM331" s="42">
        <f t="shared" si="141"/>
        <v>4</v>
      </c>
      <c r="BN331" s="24" t="s">
        <v>174</v>
      </c>
      <c r="BO331" s="2" t="s">
        <v>148</v>
      </c>
    </row>
    <row r="332" spans="1:67" s="1" customFormat="1" ht="15" customHeight="1" x14ac:dyDescent="0.3">
      <c r="A332" s="20">
        <v>328</v>
      </c>
      <c r="B332" s="21">
        <v>46102</v>
      </c>
      <c r="C332" s="21">
        <v>46107</v>
      </c>
      <c r="D332" s="50" t="s">
        <v>1815</v>
      </c>
      <c r="E332" s="23">
        <v>46108</v>
      </c>
      <c r="F332" s="23" t="s">
        <v>7</v>
      </c>
      <c r="G332" s="24" t="s">
        <v>68</v>
      </c>
      <c r="H332" s="24" t="s">
        <v>69</v>
      </c>
      <c r="I332" s="24" t="s">
        <v>236</v>
      </c>
      <c r="J332" s="25" t="s">
        <v>681</v>
      </c>
      <c r="K332" s="45" t="str">
        <f t="shared" si="142"/>
        <v>WB41J9696</v>
      </c>
      <c r="L332" s="26">
        <v>46103</v>
      </c>
      <c r="M332" s="34" t="s">
        <v>1816</v>
      </c>
      <c r="N332" s="27" t="s">
        <v>1817</v>
      </c>
      <c r="O332" s="28">
        <v>0</v>
      </c>
      <c r="P332" s="27" t="s">
        <v>1818</v>
      </c>
      <c r="Q332" s="29">
        <v>2525373849</v>
      </c>
      <c r="R332" s="30">
        <v>2110822659</v>
      </c>
      <c r="S332" s="63" t="s">
        <v>73</v>
      </c>
      <c r="T332" s="24" t="s">
        <v>241</v>
      </c>
      <c r="U332" s="24" t="s">
        <v>75</v>
      </c>
      <c r="V332" s="32" t="s">
        <v>491</v>
      </c>
      <c r="W332" s="32" t="s">
        <v>838</v>
      </c>
      <c r="X332" s="32" t="s">
        <v>1819</v>
      </c>
      <c r="Y332" s="24">
        <v>1047</v>
      </c>
      <c r="Z332" s="24">
        <v>25</v>
      </c>
      <c r="AA332" s="24">
        <f t="shared" si="143"/>
        <v>994.65000000000009</v>
      </c>
      <c r="AB332" s="24">
        <f t="shared" si="136"/>
        <v>26175</v>
      </c>
      <c r="AC332" s="24">
        <f t="shared" si="137"/>
        <v>24866.25</v>
      </c>
      <c r="AD332" s="24">
        <f t="shared" si="138"/>
        <v>24866.250000000004</v>
      </c>
      <c r="AE332" s="24">
        <f t="shared" si="139"/>
        <v>1308.7499999999964</v>
      </c>
      <c r="AF332" s="24">
        <v>0</v>
      </c>
      <c r="AG332" s="33">
        <v>4000</v>
      </c>
      <c r="AH332" s="24"/>
      <c r="AI332" s="24"/>
      <c r="AJ332" s="24"/>
      <c r="AK332" s="24"/>
      <c r="AL332" s="24"/>
      <c r="AM332" s="24" t="s">
        <v>79</v>
      </c>
      <c r="AN332" s="34" t="s">
        <v>1820</v>
      </c>
      <c r="AO332" s="35" t="s">
        <v>1673</v>
      </c>
      <c r="AP332" s="24">
        <f>240*2</f>
        <v>480</v>
      </c>
      <c r="AQ332" s="36">
        <f t="shared" si="144"/>
        <v>147.69230769230768</v>
      </c>
      <c r="AR332" s="80">
        <v>165</v>
      </c>
      <c r="AS332" s="47">
        <f t="shared" si="145"/>
        <v>17.307692307692321</v>
      </c>
      <c r="AT332" s="31"/>
      <c r="AU332" s="47">
        <f t="shared" si="146"/>
        <v>17.307692307692321</v>
      </c>
      <c r="AV332" s="81">
        <v>91.99</v>
      </c>
      <c r="AW332" s="24">
        <f t="shared" si="140"/>
        <v>15178.349999999999</v>
      </c>
      <c r="AX332" s="24">
        <f t="shared" si="131"/>
        <v>77.126024229628499</v>
      </c>
      <c r="AY332" s="24"/>
      <c r="AZ332" s="24"/>
      <c r="BA332" s="24"/>
      <c r="BB332" s="24">
        <f t="shared" si="147"/>
        <v>0</v>
      </c>
      <c r="BC332" s="24">
        <f t="shared" si="148"/>
        <v>5687.9000000000051</v>
      </c>
      <c r="BD332" s="24"/>
      <c r="BE332" s="24"/>
      <c r="BF332" s="24"/>
      <c r="BG332" s="24">
        <f>+AB332*9.5%</f>
        <v>2486.625</v>
      </c>
      <c r="BH332" s="24"/>
      <c r="BI332" s="24"/>
      <c r="BJ332" s="24">
        <f t="shared" si="149"/>
        <v>24.866250000000001</v>
      </c>
      <c r="BK332" s="24">
        <f t="shared" si="150"/>
        <v>8149.6587500000051</v>
      </c>
      <c r="BL332" s="24" t="s">
        <v>687</v>
      </c>
      <c r="BM332" s="42">
        <f t="shared" si="141"/>
        <v>2</v>
      </c>
      <c r="BN332" s="24" t="s">
        <v>83</v>
      </c>
      <c r="BO332" s="2" t="s">
        <v>84</v>
      </c>
    </row>
    <row r="333" spans="1:67" s="1" customFormat="1" ht="15" customHeight="1" x14ac:dyDescent="0.3">
      <c r="A333" s="20">
        <v>329</v>
      </c>
      <c r="B333" s="21">
        <v>46102</v>
      </c>
      <c r="C333" s="21">
        <v>46107</v>
      </c>
      <c r="D333" s="50" t="s">
        <v>1815</v>
      </c>
      <c r="E333" s="23">
        <v>46108</v>
      </c>
      <c r="F333" s="23" t="s">
        <v>7</v>
      </c>
      <c r="G333" s="24" t="s">
        <v>68</v>
      </c>
      <c r="H333" s="24" t="s">
        <v>69</v>
      </c>
      <c r="I333" s="24" t="s">
        <v>236</v>
      </c>
      <c r="J333" s="25" t="s">
        <v>681</v>
      </c>
      <c r="K333" s="45" t="str">
        <f t="shared" si="142"/>
        <v>WB41J9696</v>
      </c>
      <c r="L333" s="26">
        <v>46103</v>
      </c>
      <c r="M333" s="34" t="s">
        <v>1821</v>
      </c>
      <c r="N333" s="27" t="s">
        <v>1822</v>
      </c>
      <c r="O333" s="28">
        <v>0</v>
      </c>
      <c r="P333" s="27" t="s">
        <v>1823</v>
      </c>
      <c r="Q333" s="29">
        <v>2525373850</v>
      </c>
      <c r="R333" s="30">
        <v>2110822690</v>
      </c>
      <c r="S333" s="63" t="s">
        <v>73</v>
      </c>
      <c r="T333" s="24" t="s">
        <v>241</v>
      </c>
      <c r="U333" s="24" t="s">
        <v>75</v>
      </c>
      <c r="V333" s="32" t="s">
        <v>491</v>
      </c>
      <c r="W333" s="32" t="s">
        <v>838</v>
      </c>
      <c r="X333" s="32" t="s">
        <v>753</v>
      </c>
      <c r="Y333" s="24">
        <v>1047</v>
      </c>
      <c r="Z333" s="24">
        <v>5</v>
      </c>
      <c r="AA333" s="24">
        <f t="shared" si="143"/>
        <v>994.65000000000009</v>
      </c>
      <c r="AB333" s="24">
        <f t="shared" si="136"/>
        <v>5235</v>
      </c>
      <c r="AC333" s="24">
        <f t="shared" si="137"/>
        <v>4973.25</v>
      </c>
      <c r="AD333" s="24">
        <f t="shared" si="138"/>
        <v>4973.25</v>
      </c>
      <c r="AE333" s="24">
        <f t="shared" si="139"/>
        <v>261.75</v>
      </c>
      <c r="AF333" s="24">
        <v>0</v>
      </c>
      <c r="AG333" s="31"/>
      <c r="AH333" s="24"/>
      <c r="AI333" s="24"/>
      <c r="AJ333" s="24"/>
      <c r="AK333" s="24"/>
      <c r="AL333" s="24"/>
      <c r="AM333" s="24">
        <v>0</v>
      </c>
      <c r="AN333" s="34"/>
      <c r="AO333" s="35"/>
      <c r="AP333" s="24"/>
      <c r="AQ333" s="36">
        <f t="shared" si="144"/>
        <v>0</v>
      </c>
      <c r="AR333" s="16"/>
      <c r="AS333" s="47">
        <f t="shared" si="145"/>
        <v>0</v>
      </c>
      <c r="AT333" s="31"/>
      <c r="AU333" s="47">
        <f t="shared" si="146"/>
        <v>0</v>
      </c>
      <c r="AV333" s="48">
        <v>91.99</v>
      </c>
      <c r="AW333" s="24">
        <f t="shared" si="140"/>
        <v>0</v>
      </c>
      <c r="AX333" s="24">
        <f t="shared" si="131"/>
        <v>0</v>
      </c>
      <c r="AY333" s="24"/>
      <c r="AZ333" s="24"/>
      <c r="BA333" s="24"/>
      <c r="BB333" s="24">
        <f t="shared" si="147"/>
        <v>0</v>
      </c>
      <c r="BC333" s="24">
        <f t="shared" si="148"/>
        <v>4973.25</v>
      </c>
      <c r="BD333" s="24"/>
      <c r="BE333" s="24"/>
      <c r="BF333" s="24"/>
      <c r="BG333" s="24">
        <f>+AB333*9.5%</f>
        <v>497.32499999999999</v>
      </c>
      <c r="BH333" s="24"/>
      <c r="BI333" s="24"/>
      <c r="BJ333" s="24">
        <f t="shared" si="149"/>
        <v>4.9732500000000002</v>
      </c>
      <c r="BK333" s="24">
        <f t="shared" si="150"/>
        <v>5465.6017499999998</v>
      </c>
      <c r="BL333" s="24" t="s">
        <v>687</v>
      </c>
      <c r="BM333" s="42">
        <f t="shared" si="141"/>
        <v>2</v>
      </c>
      <c r="BN333" s="24" t="s">
        <v>83</v>
      </c>
      <c r="BO333" s="2" t="s">
        <v>84</v>
      </c>
    </row>
    <row r="334" spans="1:67" s="1" customFormat="1" ht="15" customHeight="1" x14ac:dyDescent="0.3">
      <c r="A334" s="20">
        <v>330</v>
      </c>
      <c r="B334" s="21">
        <v>46102</v>
      </c>
      <c r="C334" s="21">
        <v>46107</v>
      </c>
      <c r="D334" s="50" t="s">
        <v>1662</v>
      </c>
      <c r="E334" s="23">
        <v>46120</v>
      </c>
      <c r="F334" s="23" t="s">
        <v>7</v>
      </c>
      <c r="G334" s="24" t="s">
        <v>68</v>
      </c>
      <c r="H334" s="24" t="s">
        <v>69</v>
      </c>
      <c r="I334" s="24" t="s">
        <v>513</v>
      </c>
      <c r="J334" s="25" t="s">
        <v>514</v>
      </c>
      <c r="K334" s="45" t="str">
        <f t="shared" si="142"/>
        <v>WB67B3669</v>
      </c>
      <c r="L334" s="26">
        <v>46103</v>
      </c>
      <c r="M334" s="34" t="s">
        <v>1824</v>
      </c>
      <c r="N334" s="27" t="s">
        <v>1825</v>
      </c>
      <c r="O334" s="28">
        <v>0</v>
      </c>
      <c r="P334" s="27" t="s">
        <v>1826</v>
      </c>
      <c r="Q334" s="29">
        <v>2525373851</v>
      </c>
      <c r="R334" s="30">
        <v>2110822691</v>
      </c>
      <c r="S334" s="63" t="s">
        <v>73</v>
      </c>
      <c r="T334" s="24" t="s">
        <v>241</v>
      </c>
      <c r="U334" s="24" t="s">
        <v>75</v>
      </c>
      <c r="V334" s="32" t="s">
        <v>1827</v>
      </c>
      <c r="W334" s="32" t="s">
        <v>1828</v>
      </c>
      <c r="X334" s="32" t="s">
        <v>1829</v>
      </c>
      <c r="Y334" s="24">
        <v>631</v>
      </c>
      <c r="Z334" s="24">
        <v>30</v>
      </c>
      <c r="AA334" s="24">
        <f t="shared" si="143"/>
        <v>599.44999999999993</v>
      </c>
      <c r="AB334" s="61">
        <f t="shared" si="136"/>
        <v>18930</v>
      </c>
      <c r="AC334" s="24">
        <f t="shared" si="137"/>
        <v>17983.5</v>
      </c>
      <c r="AD334" s="24">
        <f t="shared" si="138"/>
        <v>17983.499999999996</v>
      </c>
      <c r="AE334" s="24">
        <f t="shared" si="139"/>
        <v>946.50000000000364</v>
      </c>
      <c r="AF334" s="24">
        <v>0</v>
      </c>
      <c r="AG334" s="33">
        <v>3800</v>
      </c>
      <c r="AH334" s="24"/>
      <c r="AI334" s="24"/>
      <c r="AJ334" s="24"/>
      <c r="AK334" s="24"/>
      <c r="AL334" s="24"/>
      <c r="AM334" s="24" t="s">
        <v>79</v>
      </c>
      <c r="AN334" s="34" t="s">
        <v>1830</v>
      </c>
      <c r="AO334" s="35" t="s">
        <v>1673</v>
      </c>
      <c r="AP334" s="24">
        <f>130*2</f>
        <v>260</v>
      </c>
      <c r="AQ334" s="36">
        <f t="shared" si="144"/>
        <v>80</v>
      </c>
      <c r="AR334" s="80">
        <v>186.01</v>
      </c>
      <c r="AS334" s="47">
        <f t="shared" si="145"/>
        <v>106.00999999999999</v>
      </c>
      <c r="AT334" s="31"/>
      <c r="AU334" s="47">
        <f t="shared" si="146"/>
        <v>106.00999999999999</v>
      </c>
      <c r="AV334" s="81">
        <v>91.99</v>
      </c>
      <c r="AW334" s="24">
        <f t="shared" si="140"/>
        <v>17111.059899999997</v>
      </c>
      <c r="AX334" s="24">
        <f t="shared" si="131"/>
        <v>116.27914421553092</v>
      </c>
      <c r="AY334" s="24"/>
      <c r="AZ334" s="24"/>
      <c r="BA334" s="24"/>
      <c r="BB334" s="24">
        <f t="shared" si="147"/>
        <v>0</v>
      </c>
      <c r="BC334" s="24">
        <f t="shared" si="148"/>
        <v>-2927.5599000000002</v>
      </c>
      <c r="BD334" s="24"/>
      <c r="BE334" s="24"/>
      <c r="BF334" s="24"/>
      <c r="BG334" s="24">
        <f>+AB334*9.5%</f>
        <v>1798.35</v>
      </c>
      <c r="BH334" s="24"/>
      <c r="BI334" s="24"/>
      <c r="BJ334" s="24">
        <f t="shared" si="149"/>
        <v>17.983499999999999</v>
      </c>
      <c r="BK334" s="24">
        <f t="shared" si="150"/>
        <v>-1147.1934000000003</v>
      </c>
      <c r="BL334" s="24" t="s">
        <v>173</v>
      </c>
      <c r="BM334" s="42">
        <f t="shared" si="141"/>
        <v>2</v>
      </c>
      <c r="BN334" s="24" t="s">
        <v>83</v>
      </c>
      <c r="BO334" s="2" t="s">
        <v>129</v>
      </c>
    </row>
    <row r="335" spans="1:67" s="1" customFormat="1" ht="15" customHeight="1" x14ac:dyDescent="0.3">
      <c r="A335" s="20">
        <v>331</v>
      </c>
      <c r="B335" s="21">
        <v>46102</v>
      </c>
      <c r="C335" s="21">
        <v>46107</v>
      </c>
      <c r="D335" s="50" t="s">
        <v>1831</v>
      </c>
      <c r="E335" s="23">
        <v>46108</v>
      </c>
      <c r="F335" s="23" t="s">
        <v>7</v>
      </c>
      <c r="G335" s="24" t="s">
        <v>68</v>
      </c>
      <c r="H335" s="24" t="s">
        <v>69</v>
      </c>
      <c r="I335" s="24" t="s">
        <v>70</v>
      </c>
      <c r="J335" s="25" t="s">
        <v>842</v>
      </c>
      <c r="K335" s="45" t="str">
        <f t="shared" si="142"/>
        <v>WB39B8924</v>
      </c>
      <c r="L335" s="26">
        <v>46105</v>
      </c>
      <c r="M335" s="34" t="s">
        <v>1832</v>
      </c>
      <c r="N335" s="27" t="s">
        <v>1833</v>
      </c>
      <c r="O335" s="28">
        <v>0</v>
      </c>
      <c r="P335" s="27" t="s">
        <v>1834</v>
      </c>
      <c r="Q335" s="29">
        <v>2525373874</v>
      </c>
      <c r="R335" s="30">
        <v>2110822699</v>
      </c>
      <c r="S335" s="63" t="s">
        <v>73</v>
      </c>
      <c r="T335" s="24" t="s">
        <v>91</v>
      </c>
      <c r="U335" s="24" t="s">
        <v>75</v>
      </c>
      <c r="V335" s="32" t="s">
        <v>616</v>
      </c>
      <c r="W335" s="32" t="s">
        <v>574</v>
      </c>
      <c r="X335" s="32" t="s">
        <v>1835</v>
      </c>
      <c r="Y335" s="24">
        <v>934</v>
      </c>
      <c r="Z335" s="24">
        <v>25</v>
      </c>
      <c r="AA335" s="24">
        <f t="shared" si="143"/>
        <v>887.3</v>
      </c>
      <c r="AB335" s="24">
        <f t="shared" si="136"/>
        <v>23350</v>
      </c>
      <c r="AC335" s="24">
        <f t="shared" si="137"/>
        <v>22182.5</v>
      </c>
      <c r="AD335" s="24">
        <f t="shared" si="138"/>
        <v>22182.5</v>
      </c>
      <c r="AE335" s="24">
        <f t="shared" si="139"/>
        <v>1167.5</v>
      </c>
      <c r="AF335" s="24">
        <f t="shared" si="135"/>
        <v>221.82500000000002</v>
      </c>
      <c r="AG335" s="33">
        <v>3600</v>
      </c>
      <c r="AH335" s="24"/>
      <c r="AI335" s="24"/>
      <c r="AJ335" s="24"/>
      <c r="AK335" s="24"/>
      <c r="AL335" s="24"/>
      <c r="AM335" s="24" t="s">
        <v>79</v>
      </c>
      <c r="AN335" s="34" t="s">
        <v>1836</v>
      </c>
      <c r="AO335" s="35" t="s">
        <v>1673</v>
      </c>
      <c r="AP335" s="24">
        <f>225*2</f>
        <v>450</v>
      </c>
      <c r="AQ335" s="36">
        <f t="shared" si="144"/>
        <v>138.46153846153845</v>
      </c>
      <c r="AR335" s="80">
        <v>145</v>
      </c>
      <c r="AS335" s="47">
        <f t="shared" si="145"/>
        <v>6.5384615384615472</v>
      </c>
      <c r="AT335" s="31"/>
      <c r="AU335" s="47">
        <f t="shared" si="146"/>
        <v>6.5384615384615472</v>
      </c>
      <c r="AV335" s="81">
        <v>91.99</v>
      </c>
      <c r="AW335" s="24">
        <f t="shared" si="140"/>
        <v>13338.55</v>
      </c>
      <c r="AX335" s="24">
        <f t="shared" si="131"/>
        <v>76.359968443592919</v>
      </c>
      <c r="AY335" s="24"/>
      <c r="AZ335" s="24"/>
      <c r="BA335" s="24"/>
      <c r="BB335" s="24">
        <f t="shared" si="147"/>
        <v>0</v>
      </c>
      <c r="BC335" s="24">
        <f t="shared" si="148"/>
        <v>5022.125</v>
      </c>
      <c r="BD335" s="24"/>
      <c r="BE335" s="24"/>
      <c r="BF335" s="24"/>
      <c r="BG335" s="24">
        <f>+AD335*9.5%</f>
        <v>2107.3375000000001</v>
      </c>
      <c r="BH335" s="24"/>
      <c r="BI335" s="24"/>
      <c r="BJ335" s="24">
        <f t="shared" si="149"/>
        <v>21.073375000000002</v>
      </c>
      <c r="BK335" s="24">
        <f t="shared" si="150"/>
        <v>7108.3891249999997</v>
      </c>
      <c r="BL335" s="24" t="s">
        <v>638</v>
      </c>
      <c r="BM335" s="42">
        <f t="shared" si="141"/>
        <v>4</v>
      </c>
      <c r="BN335" s="24" t="s">
        <v>174</v>
      </c>
      <c r="BO335" s="2" t="s">
        <v>84</v>
      </c>
    </row>
    <row r="336" spans="1:67" s="1" customFormat="1" ht="15" customHeight="1" x14ac:dyDescent="0.3">
      <c r="A336" s="20">
        <v>332</v>
      </c>
      <c r="B336" s="21">
        <v>46102</v>
      </c>
      <c r="C336" s="21">
        <v>46111</v>
      </c>
      <c r="D336" s="50" t="s">
        <v>1837</v>
      </c>
      <c r="E336" s="23">
        <v>46111</v>
      </c>
      <c r="F336" s="23" t="s">
        <v>7</v>
      </c>
      <c r="G336" s="24" t="s">
        <v>68</v>
      </c>
      <c r="H336" s="24" t="s">
        <v>69</v>
      </c>
      <c r="I336" s="24" t="s">
        <v>166</v>
      </c>
      <c r="J336" s="25" t="s">
        <v>924</v>
      </c>
      <c r="K336" s="45" t="str">
        <f t="shared" si="142"/>
        <v>WB41H1234</v>
      </c>
      <c r="L336" s="26">
        <v>46104</v>
      </c>
      <c r="M336" s="34" t="s">
        <v>1838</v>
      </c>
      <c r="N336" s="27" t="s">
        <v>1839</v>
      </c>
      <c r="O336" s="28">
        <v>0</v>
      </c>
      <c r="P336" s="27" t="s">
        <v>1840</v>
      </c>
      <c r="Q336" s="29">
        <v>2525373909</v>
      </c>
      <c r="R336" s="30">
        <v>2110822725</v>
      </c>
      <c r="S336" s="63" t="s">
        <v>73</v>
      </c>
      <c r="T336" s="24" t="s">
        <v>91</v>
      </c>
      <c r="U336" s="24" t="s">
        <v>75</v>
      </c>
      <c r="V336" s="32" t="s">
        <v>1841</v>
      </c>
      <c r="W336" s="32" t="s">
        <v>909</v>
      </c>
      <c r="X336" s="32" t="s">
        <v>909</v>
      </c>
      <c r="Y336" s="24">
        <v>1047</v>
      </c>
      <c r="Z336" s="24">
        <v>25</v>
      </c>
      <c r="AA336" s="24">
        <f t="shared" si="143"/>
        <v>994.65000000000009</v>
      </c>
      <c r="AB336" s="24">
        <f t="shared" si="136"/>
        <v>26175</v>
      </c>
      <c r="AC336" s="24">
        <f t="shared" si="137"/>
        <v>24866.25</v>
      </c>
      <c r="AD336" s="24">
        <f t="shared" si="138"/>
        <v>24866.250000000004</v>
      </c>
      <c r="AE336" s="24">
        <f t="shared" si="139"/>
        <v>1308.7499999999964</v>
      </c>
      <c r="AF336" s="24">
        <v>0</v>
      </c>
      <c r="AG336" s="33">
        <v>3500</v>
      </c>
      <c r="AH336" s="24"/>
      <c r="AI336" s="24"/>
      <c r="AJ336" s="24"/>
      <c r="AK336" s="24"/>
      <c r="AL336" s="24"/>
      <c r="AM336" s="24" t="s">
        <v>79</v>
      </c>
      <c r="AN336" s="34" t="s">
        <v>1842</v>
      </c>
      <c r="AO336" s="35" t="s">
        <v>1673</v>
      </c>
      <c r="AP336" s="24">
        <f>251*2</f>
        <v>502</v>
      </c>
      <c r="AQ336" s="36">
        <f t="shared" si="144"/>
        <v>154.46153846153845</v>
      </c>
      <c r="AR336" s="80">
        <v>170</v>
      </c>
      <c r="AS336" s="47">
        <f t="shared" si="145"/>
        <v>15.538461538461547</v>
      </c>
      <c r="AT336" s="31"/>
      <c r="AU336" s="47">
        <f t="shared" si="146"/>
        <v>15.538461538461547</v>
      </c>
      <c r="AV336" s="81">
        <v>91.99</v>
      </c>
      <c r="AW336" s="24">
        <f t="shared" si="140"/>
        <v>15638.3</v>
      </c>
      <c r="AX336" s="24">
        <f t="shared" si="131"/>
        <v>76.96496254964056</v>
      </c>
      <c r="AY336" s="24"/>
      <c r="AZ336" s="24"/>
      <c r="BA336" s="24"/>
      <c r="BB336" s="24">
        <f t="shared" si="147"/>
        <v>0</v>
      </c>
      <c r="BC336" s="24">
        <f t="shared" si="148"/>
        <v>5727.9500000000044</v>
      </c>
      <c r="BD336" s="24"/>
      <c r="BE336" s="24"/>
      <c r="BF336" s="24"/>
      <c r="BG336" s="24">
        <f>+AB336*9.5%</f>
        <v>2486.625</v>
      </c>
      <c r="BH336" s="24"/>
      <c r="BI336" s="24"/>
      <c r="BJ336" s="24">
        <f t="shared" si="149"/>
        <v>24.866250000000001</v>
      </c>
      <c r="BK336" s="24">
        <f t="shared" si="150"/>
        <v>8189.7087500000043</v>
      </c>
      <c r="BL336" s="24" t="s">
        <v>687</v>
      </c>
      <c r="BM336" s="42">
        <f t="shared" si="141"/>
        <v>3</v>
      </c>
      <c r="BN336" s="24" t="s">
        <v>139</v>
      </c>
      <c r="BO336" s="2" t="s">
        <v>148</v>
      </c>
    </row>
    <row r="337" spans="1:67" s="1" customFormat="1" ht="15" customHeight="1" x14ac:dyDescent="0.3">
      <c r="A337" s="20">
        <v>333</v>
      </c>
      <c r="B337" s="21">
        <v>46103</v>
      </c>
      <c r="C337" s="21">
        <v>46107</v>
      </c>
      <c r="D337" s="50" t="s">
        <v>1355</v>
      </c>
      <c r="E337" s="23">
        <v>46108</v>
      </c>
      <c r="F337" s="23" t="s">
        <v>7</v>
      </c>
      <c r="G337" s="24" t="s">
        <v>68</v>
      </c>
      <c r="H337" s="24" t="s">
        <v>69</v>
      </c>
      <c r="I337" s="24" t="s">
        <v>70</v>
      </c>
      <c r="J337" s="25" t="s">
        <v>612</v>
      </c>
      <c r="K337" s="45" t="str">
        <f t="shared" si="142"/>
        <v>WB39B2382</v>
      </c>
      <c r="L337" s="26">
        <v>46104</v>
      </c>
      <c r="M337" s="34" t="s">
        <v>1843</v>
      </c>
      <c r="N337" s="27" t="s">
        <v>1844</v>
      </c>
      <c r="O337" s="28">
        <v>0</v>
      </c>
      <c r="P337" s="27" t="s">
        <v>1845</v>
      </c>
      <c r="Q337" s="29">
        <v>2525373962</v>
      </c>
      <c r="R337" s="30">
        <v>2110823026</v>
      </c>
      <c r="S337" s="31" t="s">
        <v>73</v>
      </c>
      <c r="T337" s="24" t="s">
        <v>91</v>
      </c>
      <c r="U337" s="24" t="s">
        <v>75</v>
      </c>
      <c r="V337" s="32" t="s">
        <v>179</v>
      </c>
      <c r="W337" s="32" t="s">
        <v>180</v>
      </c>
      <c r="X337" s="32" t="s">
        <v>180</v>
      </c>
      <c r="Y337" s="24">
        <v>1047</v>
      </c>
      <c r="Z337" s="24">
        <v>25</v>
      </c>
      <c r="AA337" s="24">
        <f t="shared" si="143"/>
        <v>994.65000000000009</v>
      </c>
      <c r="AB337" s="24">
        <f t="shared" si="136"/>
        <v>26175</v>
      </c>
      <c r="AC337" s="24">
        <f t="shared" si="137"/>
        <v>24866.25</v>
      </c>
      <c r="AD337" s="24">
        <f t="shared" si="138"/>
        <v>24866.250000000004</v>
      </c>
      <c r="AE337" s="24">
        <f t="shared" si="139"/>
        <v>1308.7499999999964</v>
      </c>
      <c r="AF337" s="24">
        <f t="shared" si="135"/>
        <v>248.66250000000005</v>
      </c>
      <c r="AG337" s="33">
        <v>4700</v>
      </c>
      <c r="AH337" s="24"/>
      <c r="AI337" s="24"/>
      <c r="AJ337" s="24"/>
      <c r="AK337" s="24"/>
      <c r="AL337" s="24"/>
      <c r="AM337" s="24">
        <v>0</v>
      </c>
      <c r="AN337" s="34"/>
      <c r="AO337" s="35"/>
      <c r="AP337" s="24">
        <f>250*2</f>
        <v>500</v>
      </c>
      <c r="AQ337" s="36">
        <f t="shared" si="144"/>
        <v>153.84615384615384</v>
      </c>
      <c r="AR337" s="16"/>
      <c r="AS337" s="47">
        <f t="shared" si="145"/>
        <v>-153.84615384615384</v>
      </c>
      <c r="AT337" s="31"/>
      <c r="AU337" s="47">
        <f t="shared" si="146"/>
        <v>-153.84615384615384</v>
      </c>
      <c r="AV337" s="48">
        <v>91.99</v>
      </c>
      <c r="AW337" s="24">
        <f t="shared" si="140"/>
        <v>0</v>
      </c>
      <c r="AX337" s="24">
        <f t="shared" si="131"/>
        <v>18.901120997335745</v>
      </c>
      <c r="AY337" s="24"/>
      <c r="AZ337" s="24"/>
      <c r="BA337" s="24"/>
      <c r="BB337" s="24">
        <f t="shared" si="147"/>
        <v>0</v>
      </c>
      <c r="BC337" s="24">
        <f t="shared" si="148"/>
        <v>19917.587500000005</v>
      </c>
      <c r="BD337" s="24"/>
      <c r="BE337" s="24"/>
      <c r="BF337" s="24"/>
      <c r="BG337" s="24">
        <f>+AD337*9.5%</f>
        <v>2362.2937500000003</v>
      </c>
      <c r="BH337" s="24"/>
      <c r="BI337" s="24"/>
      <c r="BJ337" s="24">
        <f t="shared" si="149"/>
        <v>23.622937500000003</v>
      </c>
      <c r="BK337" s="24">
        <f t="shared" si="150"/>
        <v>22256.258312500006</v>
      </c>
      <c r="BL337" s="24" t="s">
        <v>618</v>
      </c>
      <c r="BM337" s="42">
        <f t="shared" si="141"/>
        <v>2</v>
      </c>
      <c r="BN337" s="24" t="s">
        <v>83</v>
      </c>
      <c r="BO337" s="2" t="s">
        <v>129</v>
      </c>
    </row>
    <row r="338" spans="1:67" s="1" customFormat="1" ht="15" customHeight="1" x14ac:dyDescent="0.3">
      <c r="A338" s="20">
        <v>334</v>
      </c>
      <c r="B338" s="21">
        <v>46103</v>
      </c>
      <c r="C338" s="21">
        <v>46107</v>
      </c>
      <c r="D338" s="50" t="s">
        <v>185</v>
      </c>
      <c r="E338" s="23">
        <v>46108</v>
      </c>
      <c r="F338" s="23" t="s">
        <v>7</v>
      </c>
      <c r="G338" s="24" t="s">
        <v>68</v>
      </c>
      <c r="H338" s="24" t="s">
        <v>69</v>
      </c>
      <c r="I338" s="24" t="s">
        <v>70</v>
      </c>
      <c r="J338" s="25" t="s">
        <v>650</v>
      </c>
      <c r="K338" s="45" t="str">
        <f t="shared" si="142"/>
        <v>WB39B0926</v>
      </c>
      <c r="L338" s="26">
        <v>46104</v>
      </c>
      <c r="M338" s="34" t="s">
        <v>1846</v>
      </c>
      <c r="N338" s="27" t="s">
        <v>1847</v>
      </c>
      <c r="O338" s="28">
        <v>0</v>
      </c>
      <c r="P338" s="27" t="s">
        <v>1848</v>
      </c>
      <c r="Q338" s="29">
        <v>2525373964</v>
      </c>
      <c r="R338" s="30">
        <v>2110823027</v>
      </c>
      <c r="S338" s="31" t="s">
        <v>73</v>
      </c>
      <c r="T338" s="24" t="s">
        <v>91</v>
      </c>
      <c r="U338" s="24" t="s">
        <v>75</v>
      </c>
      <c r="V338" s="32" t="s">
        <v>1849</v>
      </c>
      <c r="W338" s="32" t="s">
        <v>1850</v>
      </c>
      <c r="X338" s="32" t="s">
        <v>1850</v>
      </c>
      <c r="Y338" s="24">
        <v>968</v>
      </c>
      <c r="Z338" s="24">
        <v>25</v>
      </c>
      <c r="AA338" s="24">
        <f t="shared" si="143"/>
        <v>919.6</v>
      </c>
      <c r="AB338" s="24">
        <f t="shared" si="136"/>
        <v>24200</v>
      </c>
      <c r="AC338" s="24">
        <f t="shared" si="137"/>
        <v>22990</v>
      </c>
      <c r="AD338" s="24">
        <f t="shared" si="138"/>
        <v>22990</v>
      </c>
      <c r="AE338" s="24">
        <f t="shared" si="139"/>
        <v>1210</v>
      </c>
      <c r="AF338" s="24">
        <v>0</v>
      </c>
      <c r="AG338" s="33">
        <v>6200</v>
      </c>
      <c r="AH338" s="24">
        <v>2000</v>
      </c>
      <c r="AI338" s="24"/>
      <c r="AJ338" s="24"/>
      <c r="AK338" s="24"/>
      <c r="AL338" s="24"/>
      <c r="AM338" s="24" t="s">
        <v>79</v>
      </c>
      <c r="AN338" s="34" t="s">
        <v>1851</v>
      </c>
      <c r="AO338" s="35" t="s">
        <v>1673</v>
      </c>
      <c r="AP338" s="24">
        <f>199*2</f>
        <v>398</v>
      </c>
      <c r="AQ338" s="36">
        <f t="shared" si="144"/>
        <v>122.46153846153847</v>
      </c>
      <c r="AR338" s="80">
        <v>115</v>
      </c>
      <c r="AS338" s="47">
        <f t="shared" si="145"/>
        <v>-7.461538461538467</v>
      </c>
      <c r="AT338" s="31"/>
      <c r="AU338" s="47">
        <f t="shared" si="146"/>
        <v>-7.461538461538467</v>
      </c>
      <c r="AV338" s="81">
        <v>91.99</v>
      </c>
      <c r="AW338" s="24">
        <f t="shared" si="140"/>
        <v>10578.849999999999</v>
      </c>
      <c r="AX338" s="24">
        <f t="shared" si="131"/>
        <v>72.983253588516732</v>
      </c>
      <c r="AY338" s="24"/>
      <c r="AZ338" s="24"/>
      <c r="BA338" s="24"/>
      <c r="BB338" s="24">
        <f t="shared" si="147"/>
        <v>0</v>
      </c>
      <c r="BC338" s="24">
        <f t="shared" si="148"/>
        <v>4211.1500000000015</v>
      </c>
      <c r="BD338" s="24"/>
      <c r="BE338" s="24"/>
      <c r="BF338" s="24"/>
      <c r="BG338" s="24">
        <f>+AB338*9.5%</f>
        <v>2299</v>
      </c>
      <c r="BH338" s="24"/>
      <c r="BI338" s="24"/>
      <c r="BJ338" s="24">
        <f t="shared" si="149"/>
        <v>22.990000000000002</v>
      </c>
      <c r="BK338" s="24">
        <f t="shared" si="150"/>
        <v>6487.1600000000017</v>
      </c>
      <c r="BL338" s="24" t="s">
        <v>657</v>
      </c>
      <c r="BM338" s="42">
        <f t="shared" si="141"/>
        <v>2</v>
      </c>
      <c r="BN338" s="24" t="s">
        <v>83</v>
      </c>
      <c r="BO338" s="2" t="s">
        <v>175</v>
      </c>
    </row>
    <row r="339" spans="1:67" s="1" customFormat="1" ht="15" customHeight="1" x14ac:dyDescent="0.3">
      <c r="A339" s="20">
        <v>335</v>
      </c>
      <c r="B339" s="21">
        <v>46103</v>
      </c>
      <c r="C339" s="21">
        <v>46107</v>
      </c>
      <c r="D339" s="50" t="s">
        <v>1355</v>
      </c>
      <c r="E339" s="23">
        <v>46108</v>
      </c>
      <c r="F339" s="23" t="s">
        <v>7</v>
      </c>
      <c r="G339" s="24" t="s">
        <v>68</v>
      </c>
      <c r="H339" s="24" t="s">
        <v>69</v>
      </c>
      <c r="I339" s="24" t="s">
        <v>263</v>
      </c>
      <c r="J339" s="25" t="s">
        <v>264</v>
      </c>
      <c r="K339" s="45" t="str">
        <f t="shared" si="142"/>
        <v>WB41G1024</v>
      </c>
      <c r="L339" s="26">
        <v>46104</v>
      </c>
      <c r="M339" s="34" t="s">
        <v>1852</v>
      </c>
      <c r="N339" s="27" t="s">
        <v>1853</v>
      </c>
      <c r="O339" s="28">
        <v>0</v>
      </c>
      <c r="P339" s="27" t="s">
        <v>1854</v>
      </c>
      <c r="Q339" s="29">
        <v>2525373975</v>
      </c>
      <c r="R339" s="30">
        <v>2110823052</v>
      </c>
      <c r="S339" s="31" t="s">
        <v>73</v>
      </c>
      <c r="T339" s="24" t="s">
        <v>91</v>
      </c>
      <c r="U339" s="24" t="s">
        <v>75</v>
      </c>
      <c r="V339" s="32" t="s">
        <v>179</v>
      </c>
      <c r="W339" s="32" t="s">
        <v>180</v>
      </c>
      <c r="X339" s="32" t="s">
        <v>180</v>
      </c>
      <c r="Y339" s="24">
        <v>1047</v>
      </c>
      <c r="Z339" s="24">
        <v>25</v>
      </c>
      <c r="AA339" s="24">
        <f t="shared" si="143"/>
        <v>994.65000000000009</v>
      </c>
      <c r="AB339" s="24">
        <f t="shared" si="136"/>
        <v>26175</v>
      </c>
      <c r="AC339" s="24">
        <f t="shared" si="137"/>
        <v>24866.25</v>
      </c>
      <c r="AD339" s="24">
        <f t="shared" si="138"/>
        <v>24866.250000000004</v>
      </c>
      <c r="AE339" s="24">
        <f t="shared" si="139"/>
        <v>1308.7499999999964</v>
      </c>
      <c r="AF339" s="24">
        <v>0</v>
      </c>
      <c r="AG339" s="33">
        <v>3500</v>
      </c>
      <c r="AH339" s="24"/>
      <c r="AI339" s="24"/>
      <c r="AJ339" s="24"/>
      <c r="AK339" s="24"/>
      <c r="AL339" s="24"/>
      <c r="AM339" s="24" t="s">
        <v>79</v>
      </c>
      <c r="AN339" s="34" t="s">
        <v>1855</v>
      </c>
      <c r="AO339" s="35" t="s">
        <v>1673</v>
      </c>
      <c r="AP339" s="24">
        <f>250*2</f>
        <v>500</v>
      </c>
      <c r="AQ339" s="36">
        <f t="shared" si="144"/>
        <v>153.84615384615384</v>
      </c>
      <c r="AR339" s="80">
        <v>165</v>
      </c>
      <c r="AS339" s="47">
        <f t="shared" si="145"/>
        <v>11.15384615384616</v>
      </c>
      <c r="AT339" s="31"/>
      <c r="AU339" s="47">
        <f t="shared" si="146"/>
        <v>11.15384615384616</v>
      </c>
      <c r="AV339" s="81">
        <v>91.99</v>
      </c>
      <c r="AW339" s="24">
        <f t="shared" si="140"/>
        <v>15178.349999999999</v>
      </c>
      <c r="AX339" s="24">
        <f t="shared" si="131"/>
        <v>75.115266676720438</v>
      </c>
      <c r="AY339" s="24"/>
      <c r="AZ339" s="24"/>
      <c r="BA339" s="24"/>
      <c r="BB339" s="24">
        <f t="shared" si="147"/>
        <v>0</v>
      </c>
      <c r="BC339" s="24">
        <f t="shared" si="148"/>
        <v>6187.9000000000051</v>
      </c>
      <c r="BD339" s="24"/>
      <c r="BE339" s="24"/>
      <c r="BF339" s="24"/>
      <c r="BG339" s="24">
        <f>+AB339*9.5%</f>
        <v>2486.625</v>
      </c>
      <c r="BH339" s="24"/>
      <c r="BI339" s="24"/>
      <c r="BJ339" s="24">
        <f t="shared" si="149"/>
        <v>24.866250000000001</v>
      </c>
      <c r="BK339" s="24">
        <f t="shared" si="150"/>
        <v>8649.658750000006</v>
      </c>
      <c r="BL339" s="24" t="s">
        <v>96</v>
      </c>
      <c r="BM339" s="42">
        <f t="shared" si="141"/>
        <v>2</v>
      </c>
      <c r="BN339" s="24" t="s">
        <v>83</v>
      </c>
      <c r="BO339" s="2" t="s">
        <v>129</v>
      </c>
    </row>
    <row r="340" spans="1:67" s="1" customFormat="1" ht="15" customHeight="1" x14ac:dyDescent="0.3">
      <c r="A340" s="20">
        <v>336</v>
      </c>
      <c r="B340" s="21">
        <v>46103</v>
      </c>
      <c r="C340" s="21">
        <v>46112</v>
      </c>
      <c r="D340" s="62" t="s">
        <v>1769</v>
      </c>
      <c r="E340" s="23">
        <v>46116</v>
      </c>
      <c r="F340" s="23" t="s">
        <v>7</v>
      </c>
      <c r="G340" s="24" t="s">
        <v>68</v>
      </c>
      <c r="H340" s="24" t="s">
        <v>69</v>
      </c>
      <c r="I340" s="24" t="s">
        <v>70</v>
      </c>
      <c r="J340" s="25" t="s">
        <v>630</v>
      </c>
      <c r="K340" s="45" t="str">
        <f t="shared" si="142"/>
        <v>WB39B8879</v>
      </c>
      <c r="L340" s="26">
        <v>46104</v>
      </c>
      <c r="M340" s="34" t="s">
        <v>1856</v>
      </c>
      <c r="N340" s="27" t="s">
        <v>1857</v>
      </c>
      <c r="O340" s="28">
        <v>0</v>
      </c>
      <c r="P340" s="27" t="s">
        <v>1858</v>
      </c>
      <c r="Q340" s="29">
        <v>2525373981</v>
      </c>
      <c r="R340" s="30">
        <v>2110823056</v>
      </c>
      <c r="S340" s="31" t="s">
        <v>73</v>
      </c>
      <c r="T340" s="24" t="s">
        <v>91</v>
      </c>
      <c r="U340" s="24" t="s">
        <v>75</v>
      </c>
      <c r="V340" s="32" t="s">
        <v>573</v>
      </c>
      <c r="W340" s="32" t="s">
        <v>574</v>
      </c>
      <c r="X340" s="32"/>
      <c r="Y340" s="24">
        <v>1150</v>
      </c>
      <c r="Z340" s="24">
        <v>25</v>
      </c>
      <c r="AA340" s="24">
        <f t="shared" si="143"/>
        <v>1092.5</v>
      </c>
      <c r="AB340" s="24">
        <f t="shared" si="136"/>
        <v>28750</v>
      </c>
      <c r="AC340" s="24">
        <f t="shared" si="137"/>
        <v>27312.5</v>
      </c>
      <c r="AD340" s="24">
        <f t="shared" si="138"/>
        <v>27312.5</v>
      </c>
      <c r="AE340" s="24">
        <f t="shared" si="139"/>
        <v>1437.5</v>
      </c>
      <c r="AF340" s="24">
        <f t="shared" si="135"/>
        <v>273.125</v>
      </c>
      <c r="AG340" s="33">
        <v>3600</v>
      </c>
      <c r="AH340" s="24"/>
      <c r="AI340" s="24"/>
      <c r="AJ340" s="24"/>
      <c r="AK340" s="24"/>
      <c r="AL340" s="24"/>
      <c r="AM340" s="24" t="s">
        <v>79</v>
      </c>
      <c r="AN340" s="34" t="s">
        <v>1859</v>
      </c>
      <c r="AO340" s="35" t="s">
        <v>1673</v>
      </c>
      <c r="AP340" s="24">
        <f>249*2</f>
        <v>498</v>
      </c>
      <c r="AQ340" s="36">
        <f t="shared" si="144"/>
        <v>153.23076923076923</v>
      </c>
      <c r="AR340" s="80">
        <v>175</v>
      </c>
      <c r="AS340" s="47">
        <f t="shared" si="145"/>
        <v>21.769230769230774</v>
      </c>
      <c r="AT340" s="31"/>
      <c r="AU340" s="47">
        <f t="shared" si="146"/>
        <v>21.769230769230774</v>
      </c>
      <c r="AV340" s="81">
        <v>91.99</v>
      </c>
      <c r="AW340" s="24">
        <f t="shared" si="140"/>
        <v>16098.25</v>
      </c>
      <c r="AX340" s="24">
        <f t="shared" si="131"/>
        <v>72.121739130434776</v>
      </c>
      <c r="AY340" s="24"/>
      <c r="AZ340" s="24"/>
      <c r="BA340" s="24"/>
      <c r="BB340" s="24">
        <f t="shared" si="147"/>
        <v>0</v>
      </c>
      <c r="BC340" s="24">
        <f t="shared" si="148"/>
        <v>7341.125</v>
      </c>
      <c r="BD340" s="24"/>
      <c r="BE340" s="24"/>
      <c r="BF340" s="24"/>
      <c r="BG340" s="24">
        <f>+AD340*9.5%</f>
        <v>2594.6875</v>
      </c>
      <c r="BH340" s="24"/>
      <c r="BI340" s="24"/>
      <c r="BJ340" s="24">
        <f t="shared" si="149"/>
        <v>25.946875000000002</v>
      </c>
      <c r="BK340" s="24">
        <f t="shared" si="150"/>
        <v>9909.8656250000004</v>
      </c>
      <c r="BL340" s="24" t="s">
        <v>638</v>
      </c>
      <c r="BM340" s="42">
        <f t="shared" si="141"/>
        <v>2</v>
      </c>
      <c r="BN340" s="24" t="s">
        <v>83</v>
      </c>
      <c r="BO340" s="2" t="s">
        <v>129</v>
      </c>
    </row>
    <row r="341" spans="1:67" s="1" customFormat="1" ht="15" customHeight="1" x14ac:dyDescent="0.3">
      <c r="A341" s="20">
        <v>337</v>
      </c>
      <c r="B341" s="21">
        <v>46103</v>
      </c>
      <c r="C341" s="21">
        <v>46107</v>
      </c>
      <c r="D341" s="50" t="s">
        <v>1815</v>
      </c>
      <c r="E341" s="23">
        <v>46108</v>
      </c>
      <c r="F341" s="23" t="s">
        <v>7</v>
      </c>
      <c r="G341" s="24" t="s">
        <v>68</v>
      </c>
      <c r="H341" s="24" t="s">
        <v>69</v>
      </c>
      <c r="I341" s="24">
        <v>81</v>
      </c>
      <c r="J341" s="25" t="s">
        <v>186</v>
      </c>
      <c r="K341" s="45" t="str">
        <f t="shared" si="142"/>
        <v>WB813467</v>
      </c>
      <c r="L341" s="26">
        <v>46104</v>
      </c>
      <c r="M341" s="34" t="s">
        <v>1860</v>
      </c>
      <c r="N341" s="27" t="s">
        <v>1861</v>
      </c>
      <c r="O341" s="28">
        <v>0</v>
      </c>
      <c r="P341" s="27" t="s">
        <v>1862</v>
      </c>
      <c r="Q341" s="29">
        <v>2525374008</v>
      </c>
      <c r="R341" s="30">
        <v>2110823083</v>
      </c>
      <c r="S341" s="31" t="s">
        <v>73</v>
      </c>
      <c r="T341" s="24" t="s">
        <v>188</v>
      </c>
      <c r="U341" s="24" t="s">
        <v>75</v>
      </c>
      <c r="V341" s="32" t="s">
        <v>1863</v>
      </c>
      <c r="W341" s="32" t="s">
        <v>1864</v>
      </c>
      <c r="X341" s="32" t="s">
        <v>1864</v>
      </c>
      <c r="Y341" s="24">
        <v>742</v>
      </c>
      <c r="Z341" s="24">
        <v>13</v>
      </c>
      <c r="AA341" s="24">
        <f t="shared" si="143"/>
        <v>704.9</v>
      </c>
      <c r="AB341" s="24">
        <f t="shared" si="136"/>
        <v>9646</v>
      </c>
      <c r="AC341" s="24">
        <f t="shared" si="137"/>
        <v>9163.6999999999989</v>
      </c>
      <c r="AD341" s="24">
        <f t="shared" si="138"/>
        <v>9163.6999999999989</v>
      </c>
      <c r="AE341" s="24">
        <f t="shared" si="139"/>
        <v>482.30000000000109</v>
      </c>
      <c r="AF341" s="24">
        <f t="shared" si="135"/>
        <v>91.636999999999986</v>
      </c>
      <c r="AG341" s="33">
        <v>1450</v>
      </c>
      <c r="AH341" s="24"/>
      <c r="AI341" s="24"/>
      <c r="AJ341" s="24"/>
      <c r="AK341" s="24"/>
      <c r="AL341" s="24"/>
      <c r="AM341" s="24" t="s">
        <v>79</v>
      </c>
      <c r="AN341" s="34" t="s">
        <v>1865</v>
      </c>
      <c r="AO341" s="35" t="s">
        <v>1673</v>
      </c>
      <c r="AP341" s="24">
        <f>153*2</f>
        <v>306</v>
      </c>
      <c r="AQ341" s="36">
        <f t="shared" si="144"/>
        <v>94.15384615384616</v>
      </c>
      <c r="AR341" s="80">
        <v>27</v>
      </c>
      <c r="AS341" s="47">
        <f t="shared" si="145"/>
        <v>-67.15384615384616</v>
      </c>
      <c r="AT341" s="31"/>
      <c r="AU341" s="47">
        <f t="shared" si="146"/>
        <v>-67.15384615384616</v>
      </c>
      <c r="AV341" s="81">
        <v>91.99</v>
      </c>
      <c r="AW341" s="24">
        <f t="shared" si="140"/>
        <v>2483.73</v>
      </c>
      <c r="AX341" s="24">
        <f t="shared" si="131"/>
        <v>42.927311020657598</v>
      </c>
      <c r="AY341" s="24"/>
      <c r="AZ341" s="24"/>
      <c r="BA341" s="24"/>
      <c r="BB341" s="24">
        <f t="shared" si="147"/>
        <v>0</v>
      </c>
      <c r="BC341" s="24">
        <f t="shared" si="148"/>
        <v>5138.3329999999987</v>
      </c>
      <c r="BD341" s="24"/>
      <c r="BE341" s="24"/>
      <c r="BF341" s="24"/>
      <c r="BG341" s="24">
        <f t="shared" ref="BG341:BG348" si="151">+AB341*9.5%</f>
        <v>916.37</v>
      </c>
      <c r="BH341" s="24"/>
      <c r="BI341" s="24"/>
      <c r="BJ341" s="24">
        <f t="shared" si="149"/>
        <v>9.1637000000000004</v>
      </c>
      <c r="BK341" s="24">
        <f t="shared" si="150"/>
        <v>6045.5392999999985</v>
      </c>
      <c r="BL341" s="24" t="s">
        <v>192</v>
      </c>
      <c r="BM341" s="42">
        <f t="shared" si="141"/>
        <v>2</v>
      </c>
      <c r="BN341" s="24" t="s">
        <v>83</v>
      </c>
      <c r="BO341" s="2" t="s">
        <v>424</v>
      </c>
    </row>
    <row r="342" spans="1:67" s="1" customFormat="1" ht="15" customHeight="1" x14ac:dyDescent="0.3">
      <c r="A342" s="20">
        <v>338</v>
      </c>
      <c r="B342" s="21">
        <v>46103</v>
      </c>
      <c r="C342" s="21">
        <v>46107</v>
      </c>
      <c r="D342" s="50" t="s">
        <v>1831</v>
      </c>
      <c r="E342" s="23">
        <v>46108</v>
      </c>
      <c r="F342" s="23" t="s">
        <v>7</v>
      </c>
      <c r="G342" s="24" t="s">
        <v>68</v>
      </c>
      <c r="H342" s="24" t="s">
        <v>69</v>
      </c>
      <c r="I342" s="24" t="s">
        <v>236</v>
      </c>
      <c r="J342" s="25" t="s">
        <v>237</v>
      </c>
      <c r="K342" s="45" t="str">
        <f t="shared" si="142"/>
        <v>WB41J9798</v>
      </c>
      <c r="L342" s="26">
        <v>46104</v>
      </c>
      <c r="M342" s="34" t="s">
        <v>1866</v>
      </c>
      <c r="N342" s="27" t="s">
        <v>1867</v>
      </c>
      <c r="O342" s="28">
        <v>0</v>
      </c>
      <c r="P342" s="27" t="s">
        <v>1868</v>
      </c>
      <c r="Q342" s="29">
        <v>2525374034</v>
      </c>
      <c r="R342" s="30">
        <v>2110823135</v>
      </c>
      <c r="S342" s="63" t="s">
        <v>73</v>
      </c>
      <c r="T342" s="24" t="s">
        <v>241</v>
      </c>
      <c r="U342" s="24" t="s">
        <v>75</v>
      </c>
      <c r="V342" s="32" t="s">
        <v>491</v>
      </c>
      <c r="W342" s="32" t="s">
        <v>838</v>
      </c>
      <c r="X342" s="32" t="s">
        <v>1869</v>
      </c>
      <c r="Y342" s="24">
        <v>1047</v>
      </c>
      <c r="Z342" s="24">
        <v>25</v>
      </c>
      <c r="AA342" s="24">
        <f t="shared" si="143"/>
        <v>994.65000000000009</v>
      </c>
      <c r="AB342" s="24">
        <f t="shared" si="136"/>
        <v>26175</v>
      </c>
      <c r="AC342" s="24">
        <f t="shared" si="137"/>
        <v>24866.25</v>
      </c>
      <c r="AD342" s="24">
        <f t="shared" si="138"/>
        <v>24866.250000000004</v>
      </c>
      <c r="AE342" s="24">
        <f t="shared" si="139"/>
        <v>1308.7499999999964</v>
      </c>
      <c r="AF342" s="24">
        <v>0</v>
      </c>
      <c r="AG342" s="33">
        <v>4000</v>
      </c>
      <c r="AH342" s="24"/>
      <c r="AI342" s="24"/>
      <c r="AJ342" s="24"/>
      <c r="AK342" s="24"/>
      <c r="AL342" s="24"/>
      <c r="AM342" s="24" t="s">
        <v>79</v>
      </c>
      <c r="AN342" s="34" t="s">
        <v>1870</v>
      </c>
      <c r="AO342" s="35" t="s">
        <v>1673</v>
      </c>
      <c r="AP342" s="24">
        <f>240*2</f>
        <v>480</v>
      </c>
      <c r="AQ342" s="36">
        <f t="shared" si="144"/>
        <v>147.69230769230768</v>
      </c>
      <c r="AR342" s="80">
        <v>170</v>
      </c>
      <c r="AS342" s="47">
        <f t="shared" si="145"/>
        <v>22.307692307692321</v>
      </c>
      <c r="AT342" s="31"/>
      <c r="AU342" s="47">
        <f t="shared" si="146"/>
        <v>22.307692307692321</v>
      </c>
      <c r="AV342" s="81">
        <v>91.99</v>
      </c>
      <c r="AW342" s="24">
        <f t="shared" si="140"/>
        <v>15638.3</v>
      </c>
      <c r="AX342" s="24">
        <f t="shared" si="131"/>
        <v>78.975720102548621</v>
      </c>
      <c r="AY342" s="24"/>
      <c r="AZ342" s="24"/>
      <c r="BA342" s="24"/>
      <c r="BB342" s="24">
        <f t="shared" si="147"/>
        <v>0</v>
      </c>
      <c r="BC342" s="24">
        <f t="shared" si="148"/>
        <v>5227.9500000000044</v>
      </c>
      <c r="BD342" s="24"/>
      <c r="BE342" s="24"/>
      <c r="BF342" s="24"/>
      <c r="BG342" s="24">
        <f t="shared" si="151"/>
        <v>2486.625</v>
      </c>
      <c r="BH342" s="24"/>
      <c r="BI342" s="24"/>
      <c r="BJ342" s="24">
        <f t="shared" si="149"/>
        <v>24.866250000000001</v>
      </c>
      <c r="BK342" s="24">
        <f t="shared" si="150"/>
        <v>7689.7087500000043</v>
      </c>
      <c r="BL342" s="24" t="s">
        <v>245</v>
      </c>
      <c r="BM342" s="42">
        <f t="shared" si="141"/>
        <v>2</v>
      </c>
      <c r="BN342" s="24" t="s">
        <v>83</v>
      </c>
      <c r="BO342" s="2" t="s">
        <v>175</v>
      </c>
    </row>
    <row r="343" spans="1:67" s="1" customFormat="1" ht="15" customHeight="1" x14ac:dyDescent="0.3">
      <c r="A343" s="20">
        <v>339</v>
      </c>
      <c r="B343" s="21">
        <v>46103</v>
      </c>
      <c r="C343" s="21">
        <v>46107</v>
      </c>
      <c r="D343" s="50" t="s">
        <v>1831</v>
      </c>
      <c r="E343" s="23">
        <v>46108</v>
      </c>
      <c r="F343" s="23" t="s">
        <v>7</v>
      </c>
      <c r="G343" s="24" t="s">
        <v>68</v>
      </c>
      <c r="H343" s="24" t="s">
        <v>69</v>
      </c>
      <c r="I343" s="24" t="s">
        <v>236</v>
      </c>
      <c r="J343" s="25" t="s">
        <v>237</v>
      </c>
      <c r="K343" s="45" t="str">
        <f t="shared" si="142"/>
        <v>WB41J9798</v>
      </c>
      <c r="L343" s="26">
        <v>46104</v>
      </c>
      <c r="M343" s="34" t="s">
        <v>1871</v>
      </c>
      <c r="N343" s="27" t="s">
        <v>1872</v>
      </c>
      <c r="O343" s="28">
        <v>0</v>
      </c>
      <c r="P343" s="27" t="s">
        <v>1873</v>
      </c>
      <c r="Q343" s="29">
        <v>2525374035</v>
      </c>
      <c r="R343" s="30">
        <v>2110823137</v>
      </c>
      <c r="S343" s="63" t="s">
        <v>73</v>
      </c>
      <c r="T343" s="24" t="s">
        <v>241</v>
      </c>
      <c r="U343" s="24" t="s">
        <v>75</v>
      </c>
      <c r="V343" s="32" t="s">
        <v>491</v>
      </c>
      <c r="W343" s="32" t="s">
        <v>838</v>
      </c>
      <c r="X343" s="32" t="s">
        <v>753</v>
      </c>
      <c r="Y343" s="24">
        <v>1047</v>
      </c>
      <c r="Z343" s="24">
        <v>5</v>
      </c>
      <c r="AA343" s="24">
        <f t="shared" si="143"/>
        <v>994.65000000000009</v>
      </c>
      <c r="AB343" s="24">
        <f t="shared" si="136"/>
        <v>5235</v>
      </c>
      <c r="AC343" s="24">
        <f t="shared" si="137"/>
        <v>4973.25</v>
      </c>
      <c r="AD343" s="24">
        <f t="shared" si="138"/>
        <v>4973.25</v>
      </c>
      <c r="AE343" s="24">
        <f t="shared" si="139"/>
        <v>261.75</v>
      </c>
      <c r="AF343" s="24">
        <v>0</v>
      </c>
      <c r="AG343" s="31"/>
      <c r="AH343" s="24">
        <v>300</v>
      </c>
      <c r="AI343" s="24"/>
      <c r="AJ343" s="24"/>
      <c r="AK343" s="24"/>
      <c r="AL343" s="24"/>
      <c r="AM343" s="24" t="s">
        <v>79</v>
      </c>
      <c r="AN343" s="34"/>
      <c r="AO343" s="35"/>
      <c r="AP343" s="24"/>
      <c r="AQ343" s="36">
        <f t="shared" si="144"/>
        <v>0</v>
      </c>
      <c r="AR343" s="16"/>
      <c r="AS343" s="47">
        <f t="shared" si="145"/>
        <v>0</v>
      </c>
      <c r="AT343" s="31"/>
      <c r="AU343" s="47">
        <f t="shared" si="146"/>
        <v>0</v>
      </c>
      <c r="AV343" s="48">
        <v>91.99</v>
      </c>
      <c r="AW343" s="24">
        <f t="shared" si="140"/>
        <v>0</v>
      </c>
      <c r="AX343" s="24">
        <f t="shared" ref="AX343:AX406" si="152">((AG343+AW343)/AD343)*100</f>
        <v>0</v>
      </c>
      <c r="AY343" s="24"/>
      <c r="AZ343" s="24"/>
      <c r="BA343" s="24"/>
      <c r="BB343" s="24">
        <f t="shared" si="147"/>
        <v>0</v>
      </c>
      <c r="BC343" s="24">
        <f t="shared" si="148"/>
        <v>4673.25</v>
      </c>
      <c r="BD343" s="24"/>
      <c r="BE343" s="24"/>
      <c r="BF343" s="24"/>
      <c r="BG343" s="24">
        <f t="shared" si="151"/>
        <v>497.32499999999999</v>
      </c>
      <c r="BH343" s="24"/>
      <c r="BI343" s="24"/>
      <c r="BJ343" s="24">
        <f t="shared" si="149"/>
        <v>4.9732500000000002</v>
      </c>
      <c r="BK343" s="24">
        <f t="shared" si="150"/>
        <v>5165.6017499999998</v>
      </c>
      <c r="BL343" s="24" t="s">
        <v>245</v>
      </c>
      <c r="BM343" s="42">
        <f t="shared" si="141"/>
        <v>2</v>
      </c>
      <c r="BN343" s="24" t="s">
        <v>83</v>
      </c>
      <c r="BO343" s="2" t="s">
        <v>175</v>
      </c>
    </row>
    <row r="344" spans="1:67" s="1" customFormat="1" ht="15" customHeight="1" x14ac:dyDescent="0.3">
      <c r="A344" s="20">
        <v>340</v>
      </c>
      <c r="B344" s="21">
        <v>46103</v>
      </c>
      <c r="C344" s="21">
        <v>46107</v>
      </c>
      <c r="D344" s="62" t="s">
        <v>1769</v>
      </c>
      <c r="E344" s="23">
        <v>46116</v>
      </c>
      <c r="F344" s="23" t="s">
        <v>7</v>
      </c>
      <c r="G344" s="24" t="s">
        <v>68</v>
      </c>
      <c r="H344" s="24" t="s">
        <v>69</v>
      </c>
      <c r="I344" s="24" t="s">
        <v>88</v>
      </c>
      <c r="J344" s="25" t="s">
        <v>89</v>
      </c>
      <c r="K344" s="45" t="str">
        <f t="shared" si="142"/>
        <v>WB67A9375</v>
      </c>
      <c r="L344" s="26">
        <v>46104</v>
      </c>
      <c r="M344" s="34" t="s">
        <v>1874</v>
      </c>
      <c r="N344" s="27" t="s">
        <v>1875</v>
      </c>
      <c r="O344" s="28">
        <v>0</v>
      </c>
      <c r="P344" s="27" t="s">
        <v>1876</v>
      </c>
      <c r="Q344" s="29">
        <v>2525374091</v>
      </c>
      <c r="R344" s="30">
        <v>2110823217</v>
      </c>
      <c r="S344" s="63" t="s">
        <v>73</v>
      </c>
      <c r="T344" s="24" t="s">
        <v>91</v>
      </c>
      <c r="U344" s="24" t="s">
        <v>75</v>
      </c>
      <c r="V344" s="32" t="s">
        <v>1077</v>
      </c>
      <c r="W344" s="32" t="s">
        <v>1078</v>
      </c>
      <c r="X344" s="32" t="s">
        <v>1877</v>
      </c>
      <c r="Y344" s="24">
        <v>1081</v>
      </c>
      <c r="Z344" s="24">
        <v>25</v>
      </c>
      <c r="AA344" s="24">
        <f t="shared" si="143"/>
        <v>1026.95</v>
      </c>
      <c r="AB344" s="24">
        <f t="shared" si="136"/>
        <v>27025</v>
      </c>
      <c r="AC344" s="24">
        <f t="shared" si="137"/>
        <v>25673.75</v>
      </c>
      <c r="AD344" s="24">
        <f t="shared" si="138"/>
        <v>25673.75</v>
      </c>
      <c r="AE344" s="24">
        <f t="shared" si="139"/>
        <v>1351.25</v>
      </c>
      <c r="AF344" s="24">
        <v>0</v>
      </c>
      <c r="AG344" s="33">
        <v>4000</v>
      </c>
      <c r="AH344" s="24"/>
      <c r="AI344" s="24"/>
      <c r="AJ344" s="24"/>
      <c r="AK344" s="24"/>
      <c r="AL344" s="24"/>
      <c r="AM344" s="24" t="s">
        <v>79</v>
      </c>
      <c r="AN344" s="34" t="s">
        <v>1878</v>
      </c>
      <c r="AO344" s="35" t="s">
        <v>1673</v>
      </c>
      <c r="AP344" s="24">
        <f>247*2</f>
        <v>494</v>
      </c>
      <c r="AQ344" s="36">
        <f t="shared" si="144"/>
        <v>152</v>
      </c>
      <c r="AR344" s="80">
        <v>160</v>
      </c>
      <c r="AS344" s="47">
        <f t="shared" si="145"/>
        <v>8</v>
      </c>
      <c r="AT344" s="31"/>
      <c r="AU344" s="47">
        <f t="shared" si="146"/>
        <v>8</v>
      </c>
      <c r="AV344" s="81">
        <v>91.99</v>
      </c>
      <c r="AW344" s="24">
        <f t="shared" si="140"/>
        <v>14718.4</v>
      </c>
      <c r="AX344" s="24">
        <f t="shared" si="152"/>
        <v>72.908710258532551</v>
      </c>
      <c r="AY344" s="24"/>
      <c r="AZ344" s="24"/>
      <c r="BA344" s="24"/>
      <c r="BB344" s="24">
        <f t="shared" si="147"/>
        <v>0</v>
      </c>
      <c r="BC344" s="24">
        <f t="shared" si="148"/>
        <v>6955.35</v>
      </c>
      <c r="BD344" s="24"/>
      <c r="BE344" s="24"/>
      <c r="BF344" s="24"/>
      <c r="BG344" s="24">
        <f t="shared" si="151"/>
        <v>2567.375</v>
      </c>
      <c r="BH344" s="24"/>
      <c r="BI344" s="24"/>
      <c r="BJ344" s="24">
        <f t="shared" si="149"/>
        <v>25.673750000000002</v>
      </c>
      <c r="BK344" s="24">
        <f t="shared" si="150"/>
        <v>9497.0512500000004</v>
      </c>
      <c r="BL344" s="24" t="s">
        <v>96</v>
      </c>
      <c r="BM344" s="42">
        <f t="shared" si="141"/>
        <v>2</v>
      </c>
      <c r="BN344" s="24" t="s">
        <v>83</v>
      </c>
      <c r="BO344" s="2" t="s">
        <v>175</v>
      </c>
    </row>
    <row r="345" spans="1:67" s="1" customFormat="1" ht="15" customHeight="1" x14ac:dyDescent="0.3">
      <c r="A345" s="20">
        <v>341</v>
      </c>
      <c r="B345" s="21">
        <v>46103</v>
      </c>
      <c r="C345" s="21">
        <v>46107</v>
      </c>
      <c r="D345" s="50" t="s">
        <v>1815</v>
      </c>
      <c r="E345" s="23">
        <v>46108</v>
      </c>
      <c r="F345" s="23" t="s">
        <v>7</v>
      </c>
      <c r="G345" s="24" t="s">
        <v>68</v>
      </c>
      <c r="H345" s="24" t="s">
        <v>69</v>
      </c>
      <c r="I345" s="24" t="s">
        <v>263</v>
      </c>
      <c r="J345" s="25" t="s">
        <v>316</v>
      </c>
      <c r="K345" s="45" t="str">
        <f t="shared" si="142"/>
        <v>WB41G6396</v>
      </c>
      <c r="L345" s="26">
        <v>46105</v>
      </c>
      <c r="M345" s="34" t="s">
        <v>1879</v>
      </c>
      <c r="N345" s="27" t="s">
        <v>1880</v>
      </c>
      <c r="O345" s="28">
        <v>0</v>
      </c>
      <c r="P345" s="27" t="s">
        <v>1881</v>
      </c>
      <c r="Q345" s="29">
        <v>2525374354</v>
      </c>
      <c r="R345" s="30">
        <v>2110823785</v>
      </c>
      <c r="S345" s="63" t="s">
        <v>73</v>
      </c>
      <c r="T345" s="24" t="s">
        <v>91</v>
      </c>
      <c r="U345" s="24" t="s">
        <v>75</v>
      </c>
      <c r="V345" s="32" t="s">
        <v>1077</v>
      </c>
      <c r="W345" s="32" t="s">
        <v>1243</v>
      </c>
      <c r="X345" s="32" t="s">
        <v>1882</v>
      </c>
      <c r="Y345" s="24">
        <v>1081</v>
      </c>
      <c r="Z345" s="24">
        <v>25</v>
      </c>
      <c r="AA345" s="24">
        <f t="shared" si="143"/>
        <v>1026.95</v>
      </c>
      <c r="AB345" s="24">
        <f t="shared" si="136"/>
        <v>27025</v>
      </c>
      <c r="AC345" s="24">
        <f t="shared" si="137"/>
        <v>25673.75</v>
      </c>
      <c r="AD345" s="24">
        <f t="shared" si="138"/>
        <v>25673.75</v>
      </c>
      <c r="AE345" s="24">
        <f t="shared" si="139"/>
        <v>1351.25</v>
      </c>
      <c r="AF345" s="24">
        <v>0</v>
      </c>
      <c r="AG345" s="33">
        <v>8000</v>
      </c>
      <c r="AH345" s="24"/>
      <c r="AI345" s="24"/>
      <c r="AJ345" s="24"/>
      <c r="AK345" s="24"/>
      <c r="AL345" s="24"/>
      <c r="AM345" s="24" t="s">
        <v>79</v>
      </c>
      <c r="AN345" s="34" t="s">
        <v>1883</v>
      </c>
      <c r="AO345" s="35" t="s">
        <v>1673</v>
      </c>
      <c r="AP345" s="24">
        <f>247*2</f>
        <v>494</v>
      </c>
      <c r="AQ345" s="36">
        <f t="shared" si="144"/>
        <v>152</v>
      </c>
      <c r="AR345" s="80">
        <v>150</v>
      </c>
      <c r="AS345" s="47">
        <f t="shared" si="145"/>
        <v>-2</v>
      </c>
      <c r="AT345" s="31"/>
      <c r="AU345" s="47">
        <f t="shared" si="146"/>
        <v>-2</v>
      </c>
      <c r="AV345" s="81">
        <v>91.99</v>
      </c>
      <c r="AW345" s="24">
        <f t="shared" si="140"/>
        <v>13798.5</v>
      </c>
      <c r="AX345" s="24">
        <f t="shared" si="152"/>
        <v>84.90578898680559</v>
      </c>
      <c r="AY345" s="24"/>
      <c r="AZ345" s="24"/>
      <c r="BA345" s="24"/>
      <c r="BB345" s="24">
        <f t="shared" si="147"/>
        <v>0</v>
      </c>
      <c r="BC345" s="24">
        <f t="shared" si="148"/>
        <v>3875.25</v>
      </c>
      <c r="BD345" s="24"/>
      <c r="BE345" s="24"/>
      <c r="BF345" s="24"/>
      <c r="BG345" s="24">
        <f t="shared" si="151"/>
        <v>2567.375</v>
      </c>
      <c r="BH345" s="24"/>
      <c r="BI345" s="24"/>
      <c r="BJ345" s="24">
        <f t="shared" si="149"/>
        <v>25.673750000000002</v>
      </c>
      <c r="BK345" s="24">
        <f t="shared" si="150"/>
        <v>6416.9512500000001</v>
      </c>
      <c r="BL345" s="24" t="s">
        <v>121</v>
      </c>
      <c r="BM345" s="42">
        <f t="shared" si="141"/>
        <v>3</v>
      </c>
      <c r="BN345" s="24" t="s">
        <v>139</v>
      </c>
      <c r="BO345" s="2" t="s">
        <v>129</v>
      </c>
    </row>
    <row r="346" spans="1:67" s="1" customFormat="1" ht="15" customHeight="1" x14ac:dyDescent="0.3">
      <c r="A346" s="20">
        <v>342</v>
      </c>
      <c r="B346" s="21">
        <v>46103</v>
      </c>
      <c r="C346" s="21">
        <v>46107</v>
      </c>
      <c r="D346" s="50" t="s">
        <v>193</v>
      </c>
      <c r="E346" s="23">
        <v>46139</v>
      </c>
      <c r="F346" s="23" t="s">
        <v>7</v>
      </c>
      <c r="G346" s="24" t="s">
        <v>68</v>
      </c>
      <c r="H346" s="24" t="s">
        <v>69</v>
      </c>
      <c r="I346" s="24" t="s">
        <v>800</v>
      </c>
      <c r="J346" s="25" t="s">
        <v>801</v>
      </c>
      <c r="K346" s="45" t="str">
        <f t="shared" si="142"/>
        <v>WB41P4782</v>
      </c>
      <c r="L346" s="26">
        <v>46104</v>
      </c>
      <c r="M346" s="34" t="s">
        <v>1884</v>
      </c>
      <c r="N346" s="27" t="s">
        <v>1885</v>
      </c>
      <c r="O346" s="28">
        <v>0</v>
      </c>
      <c r="P346" s="27" t="s">
        <v>1886</v>
      </c>
      <c r="Q346" s="29">
        <v>2525374534</v>
      </c>
      <c r="R346" s="30">
        <v>2110823893</v>
      </c>
      <c r="S346" s="31" t="s">
        <v>73</v>
      </c>
      <c r="T346" s="24" t="s">
        <v>188</v>
      </c>
      <c r="U346" s="24" t="s">
        <v>75</v>
      </c>
      <c r="V346" s="32" t="s">
        <v>1713</v>
      </c>
      <c r="W346" s="32" t="s">
        <v>415</v>
      </c>
      <c r="X346" s="32" t="s">
        <v>1887</v>
      </c>
      <c r="Y346" s="24">
        <v>675</v>
      </c>
      <c r="Z346" s="24">
        <v>13</v>
      </c>
      <c r="AA346" s="24">
        <f>+Y346/100*93</f>
        <v>627.75</v>
      </c>
      <c r="AB346" s="24">
        <f t="shared" si="136"/>
        <v>8775</v>
      </c>
      <c r="AC346" s="24">
        <f t="shared" si="137"/>
        <v>8336.25</v>
      </c>
      <c r="AD346" s="24">
        <f t="shared" si="138"/>
        <v>8160.75</v>
      </c>
      <c r="AE346" s="24">
        <f t="shared" si="139"/>
        <v>614.25</v>
      </c>
      <c r="AF346" s="24">
        <f t="shared" si="135"/>
        <v>81.607500000000002</v>
      </c>
      <c r="AG346" s="33">
        <v>1550</v>
      </c>
      <c r="AH346" s="24"/>
      <c r="AI346" s="24"/>
      <c r="AJ346" s="24"/>
      <c r="AK346" s="24"/>
      <c r="AL346" s="24"/>
      <c r="AM346" s="24" t="s">
        <v>79</v>
      </c>
      <c r="AN346" s="34" t="s">
        <v>1888</v>
      </c>
      <c r="AO346" s="35" t="s">
        <v>1673</v>
      </c>
      <c r="AP346" s="24">
        <f>138*2</f>
        <v>276</v>
      </c>
      <c r="AQ346" s="36">
        <f t="shared" si="144"/>
        <v>84.92307692307692</v>
      </c>
      <c r="AR346" s="80">
        <v>50</v>
      </c>
      <c r="AS346" s="47">
        <f t="shared" si="145"/>
        <v>-34.92307692307692</v>
      </c>
      <c r="AT346" s="31"/>
      <c r="AU346" s="47">
        <f t="shared" si="146"/>
        <v>-34.92307692307692</v>
      </c>
      <c r="AV346" s="81">
        <v>91.99</v>
      </c>
      <c r="AW346" s="24">
        <f t="shared" si="140"/>
        <v>4599.5</v>
      </c>
      <c r="AX346" s="24">
        <f t="shared" si="152"/>
        <v>75.354593634163521</v>
      </c>
      <c r="AY346" s="24">
        <v>120</v>
      </c>
      <c r="AZ346" s="24"/>
      <c r="BA346" s="24"/>
      <c r="BB346" s="24">
        <f t="shared" si="147"/>
        <v>0</v>
      </c>
      <c r="BC346" s="24">
        <f t="shared" si="148"/>
        <v>1809.6424999999999</v>
      </c>
      <c r="BD346" s="24">
        <v>40</v>
      </c>
      <c r="BE346" s="24">
        <v>40</v>
      </c>
      <c r="BF346" s="24"/>
      <c r="BG346" s="24">
        <f t="shared" si="151"/>
        <v>833.625</v>
      </c>
      <c r="BH346" s="24"/>
      <c r="BI346" s="24"/>
      <c r="BJ346" s="24">
        <f t="shared" si="149"/>
        <v>8.3362499999999997</v>
      </c>
      <c r="BK346" s="24">
        <f t="shared" si="150"/>
        <v>2714.9312500000001</v>
      </c>
      <c r="BL346" s="24" t="s">
        <v>807</v>
      </c>
      <c r="BM346" s="42">
        <f t="shared" si="141"/>
        <v>2</v>
      </c>
      <c r="BN346" s="24" t="s">
        <v>83</v>
      </c>
      <c r="BO346" s="2" t="s">
        <v>1889</v>
      </c>
    </row>
    <row r="347" spans="1:67" s="1" customFormat="1" ht="15" customHeight="1" x14ac:dyDescent="0.3">
      <c r="A347" s="20">
        <v>343</v>
      </c>
      <c r="B347" s="21">
        <v>46103</v>
      </c>
      <c r="C347" s="21">
        <v>46107</v>
      </c>
      <c r="D347" s="50" t="s">
        <v>774</v>
      </c>
      <c r="E347" s="23">
        <v>46108</v>
      </c>
      <c r="F347" s="23" t="s">
        <v>7</v>
      </c>
      <c r="G347" s="24" t="s">
        <v>68</v>
      </c>
      <c r="H347" s="24" t="s">
        <v>69</v>
      </c>
      <c r="I347" s="24" t="s">
        <v>141</v>
      </c>
      <c r="J347" s="25" t="s">
        <v>142</v>
      </c>
      <c r="K347" s="45" t="str">
        <f t="shared" si="142"/>
        <v>WB41F2315</v>
      </c>
      <c r="L347" s="26">
        <v>46103</v>
      </c>
      <c r="M347" s="34" t="s">
        <v>1890</v>
      </c>
      <c r="N347" s="27" t="s">
        <v>1891</v>
      </c>
      <c r="O347" s="28">
        <v>0</v>
      </c>
      <c r="P347" s="27" t="s">
        <v>1892</v>
      </c>
      <c r="Q347" s="29">
        <v>2525374536</v>
      </c>
      <c r="R347" s="30">
        <v>2110823895</v>
      </c>
      <c r="S347" s="63" t="s">
        <v>73</v>
      </c>
      <c r="T347" s="24" t="s">
        <v>91</v>
      </c>
      <c r="U347" s="24" t="s">
        <v>75</v>
      </c>
      <c r="V347" s="32" t="s">
        <v>622</v>
      </c>
      <c r="W347" s="32" t="s">
        <v>1508</v>
      </c>
      <c r="X347" s="32" t="s">
        <v>1893</v>
      </c>
      <c r="Y347" s="24">
        <v>961</v>
      </c>
      <c r="Z347" s="24">
        <v>13</v>
      </c>
      <c r="AA347" s="24">
        <f t="shared" si="143"/>
        <v>912.94999999999993</v>
      </c>
      <c r="AB347" s="24">
        <f t="shared" si="136"/>
        <v>12493</v>
      </c>
      <c r="AC347" s="24">
        <f t="shared" si="137"/>
        <v>11868.35</v>
      </c>
      <c r="AD347" s="24">
        <f t="shared" si="138"/>
        <v>11868.349999999999</v>
      </c>
      <c r="AE347" s="24">
        <f t="shared" si="139"/>
        <v>624.65000000000146</v>
      </c>
      <c r="AF347" s="24">
        <v>0</v>
      </c>
      <c r="AG347" s="33">
        <v>5900</v>
      </c>
      <c r="AH347" s="24"/>
      <c r="AI347" s="24"/>
      <c r="AJ347" s="24"/>
      <c r="AK347" s="24"/>
      <c r="AL347" s="24"/>
      <c r="AM347" s="24" t="s">
        <v>79</v>
      </c>
      <c r="AN347" s="34" t="s">
        <v>1894</v>
      </c>
      <c r="AO347" s="35" t="s">
        <v>1673</v>
      </c>
      <c r="AP347" s="24">
        <f>213*2</f>
        <v>426</v>
      </c>
      <c r="AQ347" s="36">
        <f t="shared" si="144"/>
        <v>131.07692307692307</v>
      </c>
      <c r="AR347" s="80">
        <v>135</v>
      </c>
      <c r="AS347" s="47">
        <f t="shared" si="145"/>
        <v>3.923076923076934</v>
      </c>
      <c r="AT347" s="31"/>
      <c r="AU347" s="47">
        <f t="shared" si="146"/>
        <v>3.923076923076934</v>
      </c>
      <c r="AV347" s="81">
        <v>91.99</v>
      </c>
      <c r="AW347" s="24">
        <f t="shared" si="140"/>
        <v>12418.65</v>
      </c>
      <c r="AX347" s="24">
        <f t="shared" si="152"/>
        <v>154.34875109008416</v>
      </c>
      <c r="AY347" s="24"/>
      <c r="AZ347" s="24"/>
      <c r="BA347" s="24"/>
      <c r="BB347" s="24">
        <f t="shared" si="147"/>
        <v>0</v>
      </c>
      <c r="BC347" s="24">
        <f t="shared" si="148"/>
        <v>-6450.3000000000011</v>
      </c>
      <c r="BD347" s="24">
        <v>135</v>
      </c>
      <c r="BE347" s="24">
        <v>135</v>
      </c>
      <c r="BF347" s="24"/>
      <c r="BG347" s="24">
        <f t="shared" si="151"/>
        <v>1186.835</v>
      </c>
      <c r="BH347" s="24"/>
      <c r="BI347" s="24"/>
      <c r="BJ347" s="24">
        <f t="shared" si="149"/>
        <v>11.868350000000001</v>
      </c>
      <c r="BK347" s="24">
        <f t="shared" si="150"/>
        <v>-5005.3333500000008</v>
      </c>
      <c r="BL347" s="24" t="s">
        <v>147</v>
      </c>
      <c r="BM347" s="42">
        <f t="shared" si="141"/>
        <v>1</v>
      </c>
      <c r="BN347" s="24" t="s">
        <v>610</v>
      </c>
      <c r="BO347" s="2" t="s">
        <v>424</v>
      </c>
    </row>
    <row r="348" spans="1:67" s="1" customFormat="1" ht="15" customHeight="1" x14ac:dyDescent="0.3">
      <c r="A348" s="20">
        <v>344</v>
      </c>
      <c r="B348" s="21">
        <v>46103</v>
      </c>
      <c r="C348" s="21">
        <v>46107</v>
      </c>
      <c r="D348" s="50" t="s">
        <v>774</v>
      </c>
      <c r="E348" s="23">
        <v>46108</v>
      </c>
      <c r="F348" s="23" t="s">
        <v>7</v>
      </c>
      <c r="G348" s="24" t="s">
        <v>68</v>
      </c>
      <c r="H348" s="24" t="s">
        <v>69</v>
      </c>
      <c r="I348" s="24" t="s">
        <v>141</v>
      </c>
      <c r="J348" s="25" t="s">
        <v>142</v>
      </c>
      <c r="K348" s="45" t="str">
        <f t="shared" si="142"/>
        <v>WB41F2315</v>
      </c>
      <c r="L348" s="26">
        <v>46103</v>
      </c>
      <c r="M348" s="34" t="s">
        <v>1895</v>
      </c>
      <c r="N348" s="27" t="s">
        <v>1896</v>
      </c>
      <c r="O348" s="28">
        <v>0</v>
      </c>
      <c r="P348" s="27" t="s">
        <v>1897</v>
      </c>
      <c r="Q348" s="29">
        <v>2525374539</v>
      </c>
      <c r="R348" s="30">
        <v>2110823896</v>
      </c>
      <c r="S348" s="63" t="s">
        <v>73</v>
      </c>
      <c r="T348" s="24" t="s">
        <v>91</v>
      </c>
      <c r="U348" s="24" t="s">
        <v>75</v>
      </c>
      <c r="V348" s="32" t="s">
        <v>622</v>
      </c>
      <c r="W348" s="32" t="s">
        <v>1508</v>
      </c>
      <c r="X348" s="32" t="s">
        <v>753</v>
      </c>
      <c r="Y348" s="24">
        <v>961</v>
      </c>
      <c r="Z348" s="24">
        <v>12</v>
      </c>
      <c r="AA348" s="24">
        <f t="shared" si="143"/>
        <v>912.94999999999993</v>
      </c>
      <c r="AB348" s="24">
        <f t="shared" si="136"/>
        <v>11532</v>
      </c>
      <c r="AC348" s="24">
        <f t="shared" si="137"/>
        <v>10955.4</v>
      </c>
      <c r="AD348" s="24">
        <f t="shared" si="138"/>
        <v>10955.4</v>
      </c>
      <c r="AE348" s="24">
        <f t="shared" si="139"/>
        <v>576.60000000000036</v>
      </c>
      <c r="AF348" s="24">
        <v>0</v>
      </c>
      <c r="AG348" s="31"/>
      <c r="AH348" s="24"/>
      <c r="AI348" s="24"/>
      <c r="AJ348" s="24"/>
      <c r="AK348" s="24"/>
      <c r="AL348" s="24"/>
      <c r="AM348" s="24" t="s">
        <v>79</v>
      </c>
      <c r="AN348" s="34"/>
      <c r="AO348" s="35"/>
      <c r="AP348" s="24"/>
      <c r="AQ348" s="36">
        <f t="shared" si="144"/>
        <v>0</v>
      </c>
      <c r="AR348" s="16"/>
      <c r="AS348" s="47">
        <f t="shared" si="145"/>
        <v>0</v>
      </c>
      <c r="AT348" s="31"/>
      <c r="AU348" s="47">
        <f t="shared" si="146"/>
        <v>0</v>
      </c>
      <c r="AV348" s="48">
        <v>91.99</v>
      </c>
      <c r="AW348" s="24">
        <f t="shared" si="140"/>
        <v>0</v>
      </c>
      <c r="AX348" s="24">
        <f t="shared" si="152"/>
        <v>0</v>
      </c>
      <c r="AY348" s="24"/>
      <c r="AZ348" s="24"/>
      <c r="BA348" s="24"/>
      <c r="BB348" s="24">
        <f t="shared" si="147"/>
        <v>0</v>
      </c>
      <c r="BC348" s="24">
        <f t="shared" si="148"/>
        <v>10955.4</v>
      </c>
      <c r="BD348" s="24"/>
      <c r="BE348" s="24"/>
      <c r="BF348" s="24"/>
      <c r="BG348" s="24">
        <f t="shared" si="151"/>
        <v>1095.54</v>
      </c>
      <c r="BH348" s="24"/>
      <c r="BI348" s="24"/>
      <c r="BJ348" s="24">
        <f t="shared" si="149"/>
        <v>10.955399999999999</v>
      </c>
      <c r="BK348" s="24">
        <f t="shared" si="150"/>
        <v>12039.984599999998</v>
      </c>
      <c r="BL348" s="24" t="s">
        <v>147</v>
      </c>
      <c r="BM348" s="42">
        <f t="shared" si="141"/>
        <v>1</v>
      </c>
      <c r="BN348" s="24" t="s">
        <v>610</v>
      </c>
      <c r="BO348" s="2" t="s">
        <v>424</v>
      </c>
    </row>
    <row r="349" spans="1:67" s="1" customFormat="1" ht="15" customHeight="1" x14ac:dyDescent="0.3">
      <c r="A349" s="20">
        <v>345</v>
      </c>
      <c r="B349" s="21">
        <v>46103</v>
      </c>
      <c r="C349" s="21">
        <v>46107</v>
      </c>
      <c r="D349" s="50" t="s">
        <v>410</v>
      </c>
      <c r="E349" s="23">
        <v>46123</v>
      </c>
      <c r="F349" s="23" t="s">
        <v>7</v>
      </c>
      <c r="G349" s="24" t="s">
        <v>68</v>
      </c>
      <c r="H349" s="24" t="s">
        <v>69</v>
      </c>
      <c r="I349" s="24" t="s">
        <v>70</v>
      </c>
      <c r="J349" s="25" t="s">
        <v>336</v>
      </c>
      <c r="K349" s="59" t="str">
        <f t="shared" si="142"/>
        <v>WB39B0801</v>
      </c>
      <c r="L349" s="26">
        <v>46104</v>
      </c>
      <c r="M349" s="34" t="s">
        <v>1898</v>
      </c>
      <c r="N349" s="27" t="s">
        <v>1899</v>
      </c>
      <c r="O349" s="28">
        <v>0</v>
      </c>
      <c r="P349" s="27" t="s">
        <v>1900</v>
      </c>
      <c r="Q349" s="29">
        <v>2525374522</v>
      </c>
      <c r="R349" s="30">
        <v>2110823873</v>
      </c>
      <c r="S349" s="60" t="s">
        <v>73</v>
      </c>
      <c r="T349" s="24" t="s">
        <v>74</v>
      </c>
      <c r="U349" s="24" t="s">
        <v>75</v>
      </c>
      <c r="V349" s="32" t="s">
        <v>414</v>
      </c>
      <c r="W349" s="32" t="s">
        <v>415</v>
      </c>
      <c r="X349" s="32" t="s">
        <v>1901</v>
      </c>
      <c r="Y349" s="24">
        <v>654</v>
      </c>
      <c r="Z349" s="24">
        <v>13</v>
      </c>
      <c r="AA349" s="24">
        <f t="shared" si="143"/>
        <v>621.29999999999995</v>
      </c>
      <c r="AB349" s="24">
        <f t="shared" si="136"/>
        <v>8502</v>
      </c>
      <c r="AC349" s="24">
        <f t="shared" si="137"/>
        <v>8076.9</v>
      </c>
      <c r="AD349" s="24">
        <f t="shared" si="138"/>
        <v>8076.9</v>
      </c>
      <c r="AE349" s="24">
        <f t="shared" si="139"/>
        <v>425.10000000000036</v>
      </c>
      <c r="AF349" s="24">
        <f t="shared" si="135"/>
        <v>80.768999999999991</v>
      </c>
      <c r="AG349" s="33">
        <v>3600</v>
      </c>
      <c r="AH349" s="24"/>
      <c r="AI349" s="24">
        <v>6000</v>
      </c>
      <c r="AJ349" s="24"/>
      <c r="AK349" s="24"/>
      <c r="AL349" s="24"/>
      <c r="AM349" s="24" t="s">
        <v>79</v>
      </c>
      <c r="AN349" s="34" t="s">
        <v>1902</v>
      </c>
      <c r="AO349" s="35" t="s">
        <v>1673</v>
      </c>
      <c r="AP349" s="24">
        <f>124*2</f>
        <v>248</v>
      </c>
      <c r="AQ349" s="36">
        <f t="shared" si="144"/>
        <v>76.307692307692307</v>
      </c>
      <c r="AR349" s="80">
        <v>65</v>
      </c>
      <c r="AS349" s="47">
        <f t="shared" si="145"/>
        <v>-11.307692307692307</v>
      </c>
      <c r="AT349" s="31"/>
      <c r="AU349" s="47">
        <f t="shared" si="146"/>
        <v>-11.307692307692307</v>
      </c>
      <c r="AV349" s="81">
        <v>91.99</v>
      </c>
      <c r="AW349" s="24">
        <f t="shared" si="140"/>
        <v>5979.3499999999995</v>
      </c>
      <c r="AX349" s="24">
        <f t="shared" si="152"/>
        <v>118.60181505280489</v>
      </c>
      <c r="AY349" s="24">
        <v>120</v>
      </c>
      <c r="AZ349" s="24"/>
      <c r="BA349" s="24"/>
      <c r="BB349" s="24">
        <f t="shared" si="147"/>
        <v>0</v>
      </c>
      <c r="BC349" s="24">
        <f t="shared" si="148"/>
        <v>-7703.2190000000001</v>
      </c>
      <c r="BD349" s="24">
        <v>110</v>
      </c>
      <c r="BE349" s="24">
        <v>110</v>
      </c>
      <c r="BF349" s="24"/>
      <c r="BG349" s="24">
        <f t="shared" ref="BG349:BG350" si="153">+AD349*8.5%</f>
        <v>686.53650000000005</v>
      </c>
      <c r="BH349" s="24">
        <f t="shared" ref="BH349:BH352" si="154">+AD349*8.5%</f>
        <v>686.53650000000005</v>
      </c>
      <c r="BI349" s="24"/>
      <c r="BJ349" s="24">
        <f t="shared" si="149"/>
        <v>13.730730000000001</v>
      </c>
      <c r="BK349" s="24">
        <f t="shared" si="150"/>
        <v>-6123.87673</v>
      </c>
      <c r="BL349" s="24" t="s">
        <v>82</v>
      </c>
      <c r="BM349" s="42">
        <f t="shared" si="141"/>
        <v>2</v>
      </c>
      <c r="BN349" s="24" t="s">
        <v>83</v>
      </c>
      <c r="BO349" s="2" t="s">
        <v>175</v>
      </c>
    </row>
    <row r="350" spans="1:67" s="1" customFormat="1" ht="15" customHeight="1" x14ac:dyDescent="0.3">
      <c r="A350" s="20">
        <v>346</v>
      </c>
      <c r="B350" s="21">
        <v>46103</v>
      </c>
      <c r="C350" s="21">
        <v>46107</v>
      </c>
      <c r="D350" s="50" t="s">
        <v>410</v>
      </c>
      <c r="E350" s="23">
        <v>46123</v>
      </c>
      <c r="F350" s="23" t="s">
        <v>7</v>
      </c>
      <c r="G350" s="24" t="s">
        <v>68</v>
      </c>
      <c r="H350" s="24" t="s">
        <v>69</v>
      </c>
      <c r="I350" s="24" t="s">
        <v>70</v>
      </c>
      <c r="J350" s="25" t="s">
        <v>336</v>
      </c>
      <c r="K350" s="59" t="str">
        <f t="shared" si="142"/>
        <v>WB39B0801</v>
      </c>
      <c r="L350" s="26">
        <v>46104</v>
      </c>
      <c r="M350" s="34" t="s">
        <v>1903</v>
      </c>
      <c r="N350" s="27" t="s">
        <v>1904</v>
      </c>
      <c r="O350" s="28">
        <v>0</v>
      </c>
      <c r="P350" s="27" t="s">
        <v>1905</v>
      </c>
      <c r="Q350" s="29">
        <v>2525374524</v>
      </c>
      <c r="R350" s="30">
        <v>2110823874</v>
      </c>
      <c r="S350" s="60" t="s">
        <v>73</v>
      </c>
      <c r="T350" s="24" t="s">
        <v>74</v>
      </c>
      <c r="U350" s="24" t="s">
        <v>75</v>
      </c>
      <c r="V350" s="32" t="s">
        <v>414</v>
      </c>
      <c r="W350" s="32" t="s">
        <v>415</v>
      </c>
      <c r="X350" s="32" t="s">
        <v>1906</v>
      </c>
      <c r="Y350" s="24">
        <v>654</v>
      </c>
      <c r="Z350" s="24">
        <v>6</v>
      </c>
      <c r="AA350" s="24">
        <f t="shared" si="143"/>
        <v>621.29999999999995</v>
      </c>
      <c r="AB350" s="24">
        <f t="shared" si="136"/>
        <v>3924</v>
      </c>
      <c r="AC350" s="24">
        <f t="shared" si="137"/>
        <v>3727.8</v>
      </c>
      <c r="AD350" s="24">
        <f t="shared" si="138"/>
        <v>3727.7999999999997</v>
      </c>
      <c r="AE350" s="24">
        <f t="shared" si="139"/>
        <v>196.20000000000027</v>
      </c>
      <c r="AF350" s="24">
        <f t="shared" si="135"/>
        <v>37.277999999999999</v>
      </c>
      <c r="AG350" s="31"/>
      <c r="AH350" s="24"/>
      <c r="AI350" s="24"/>
      <c r="AJ350" s="24"/>
      <c r="AK350" s="24"/>
      <c r="AL350" s="24"/>
      <c r="AM350" s="24" t="s">
        <v>79</v>
      </c>
      <c r="AN350" s="34"/>
      <c r="AO350" s="35"/>
      <c r="AP350" s="24"/>
      <c r="AQ350" s="36">
        <f t="shared" si="144"/>
        <v>0</v>
      </c>
      <c r="AR350" s="16"/>
      <c r="AS350" s="47">
        <f t="shared" si="145"/>
        <v>0</v>
      </c>
      <c r="AT350" s="31"/>
      <c r="AU350" s="47">
        <f t="shared" si="146"/>
        <v>0</v>
      </c>
      <c r="AV350" s="48">
        <v>91.99</v>
      </c>
      <c r="AW350" s="24">
        <f t="shared" si="140"/>
        <v>0</v>
      </c>
      <c r="AX350" s="24">
        <f t="shared" si="152"/>
        <v>0</v>
      </c>
      <c r="AY350" s="24"/>
      <c r="AZ350" s="24"/>
      <c r="BA350" s="24"/>
      <c r="BB350" s="24">
        <f t="shared" si="147"/>
        <v>0</v>
      </c>
      <c r="BC350" s="24">
        <f t="shared" si="148"/>
        <v>3690.5219999999999</v>
      </c>
      <c r="BD350" s="24">
        <v>0</v>
      </c>
      <c r="BE350" s="24">
        <v>0</v>
      </c>
      <c r="BF350" s="24"/>
      <c r="BG350" s="24">
        <f t="shared" si="153"/>
        <v>316.863</v>
      </c>
      <c r="BH350" s="24">
        <f t="shared" si="154"/>
        <v>316.863</v>
      </c>
      <c r="BI350" s="24"/>
      <c r="BJ350" s="24">
        <f t="shared" si="149"/>
        <v>6.3372600000000006</v>
      </c>
      <c r="BK350" s="24">
        <f t="shared" si="150"/>
        <v>4317.9107399999994</v>
      </c>
      <c r="BL350" s="24" t="s">
        <v>82</v>
      </c>
      <c r="BM350" s="42">
        <f t="shared" si="141"/>
        <v>2</v>
      </c>
      <c r="BN350" s="24" t="s">
        <v>83</v>
      </c>
      <c r="BO350" s="2" t="s">
        <v>175</v>
      </c>
    </row>
    <row r="351" spans="1:67" s="1" customFormat="1" ht="15" customHeight="1" x14ac:dyDescent="0.3">
      <c r="A351" s="20">
        <v>347</v>
      </c>
      <c r="B351" s="21">
        <v>46103</v>
      </c>
      <c r="C351" s="21">
        <v>46107</v>
      </c>
      <c r="D351" s="50" t="s">
        <v>1907</v>
      </c>
      <c r="E351" s="23">
        <v>46164</v>
      </c>
      <c r="F351" s="23" t="s">
        <v>7</v>
      </c>
      <c r="G351" s="24" t="s">
        <v>68</v>
      </c>
      <c r="H351" s="24" t="s">
        <v>69</v>
      </c>
      <c r="I351" s="24" t="s">
        <v>70</v>
      </c>
      <c r="J351" s="25" t="s">
        <v>71</v>
      </c>
      <c r="K351" s="45" t="str">
        <f t="shared" si="142"/>
        <v>WB39B0034</v>
      </c>
      <c r="L351" s="26">
        <v>46104</v>
      </c>
      <c r="M351" s="34" t="s">
        <v>1908</v>
      </c>
      <c r="N351" s="27" t="s">
        <v>1909</v>
      </c>
      <c r="O351" s="28">
        <v>0</v>
      </c>
      <c r="P351" s="27" t="s">
        <v>1910</v>
      </c>
      <c r="Q351" s="29">
        <v>2525374653</v>
      </c>
      <c r="R351" s="30">
        <v>2110824014</v>
      </c>
      <c r="S351" s="31" t="s">
        <v>73</v>
      </c>
      <c r="T351" s="24" t="s">
        <v>74</v>
      </c>
      <c r="U351" s="24" t="s">
        <v>75</v>
      </c>
      <c r="V351" s="32" t="s">
        <v>1911</v>
      </c>
      <c r="W351" s="32" t="s">
        <v>1912</v>
      </c>
      <c r="X351" s="32" t="s">
        <v>1913</v>
      </c>
      <c r="Y351" s="24">
        <v>746</v>
      </c>
      <c r="Z351" s="24">
        <v>19</v>
      </c>
      <c r="AA351" s="24">
        <f t="shared" si="143"/>
        <v>708.7</v>
      </c>
      <c r="AB351" s="24">
        <f t="shared" si="136"/>
        <v>14174</v>
      </c>
      <c r="AC351" s="24">
        <f t="shared" si="137"/>
        <v>13465.300000000001</v>
      </c>
      <c r="AD351" s="24">
        <f t="shared" si="138"/>
        <v>13465.300000000001</v>
      </c>
      <c r="AE351" s="24">
        <f t="shared" si="139"/>
        <v>708.69999999999891</v>
      </c>
      <c r="AF351" s="24">
        <f t="shared" si="135"/>
        <v>134.65300000000002</v>
      </c>
      <c r="AG351" s="33">
        <v>3000</v>
      </c>
      <c r="AH351" s="24"/>
      <c r="AI351" s="24"/>
      <c r="AJ351" s="24"/>
      <c r="AK351" s="24"/>
      <c r="AL351" s="24"/>
      <c r="AM351" s="24" t="s">
        <v>79</v>
      </c>
      <c r="AN351" s="34" t="s">
        <v>1374</v>
      </c>
      <c r="AO351" s="35" t="s">
        <v>1673</v>
      </c>
      <c r="AP351" s="24">
        <f>158*2</f>
        <v>316</v>
      </c>
      <c r="AQ351" s="36">
        <f t="shared" si="144"/>
        <v>97.230769230769226</v>
      </c>
      <c r="AR351" s="80">
        <v>90</v>
      </c>
      <c r="AS351" s="47">
        <f t="shared" si="145"/>
        <v>-7.2307692307692264</v>
      </c>
      <c r="AT351" s="31"/>
      <c r="AU351" s="47">
        <f t="shared" si="146"/>
        <v>-7.2307692307692264</v>
      </c>
      <c r="AV351" s="81">
        <v>91.99</v>
      </c>
      <c r="AW351" s="24">
        <f t="shared" si="140"/>
        <v>8279.1</v>
      </c>
      <c r="AX351" s="24">
        <f t="shared" si="152"/>
        <v>83.764193890964179</v>
      </c>
      <c r="AY351" s="24">
        <v>120</v>
      </c>
      <c r="AZ351" s="24"/>
      <c r="BA351" s="24"/>
      <c r="BB351" s="24">
        <f t="shared" si="147"/>
        <v>0</v>
      </c>
      <c r="BC351" s="24">
        <f t="shared" si="148"/>
        <v>1931.5470000000005</v>
      </c>
      <c r="BD351" s="24">
        <v>110</v>
      </c>
      <c r="BE351" s="24">
        <v>110</v>
      </c>
      <c r="BF351" s="24"/>
      <c r="BG351" s="24">
        <f>+AD351*8.5%</f>
        <v>1144.5505000000003</v>
      </c>
      <c r="BH351" s="24">
        <f t="shared" si="154"/>
        <v>1144.5505000000003</v>
      </c>
      <c r="BI351" s="24"/>
      <c r="BJ351" s="24">
        <f t="shared" si="149"/>
        <v>22.891010000000005</v>
      </c>
      <c r="BK351" s="24">
        <f t="shared" si="150"/>
        <v>4417.7569900000008</v>
      </c>
      <c r="BL351" s="24" t="s">
        <v>82</v>
      </c>
      <c r="BM351" s="42">
        <f t="shared" si="141"/>
        <v>2</v>
      </c>
      <c r="BN351" s="24" t="s">
        <v>83</v>
      </c>
      <c r="BO351" s="2" t="s">
        <v>175</v>
      </c>
    </row>
    <row r="352" spans="1:67" s="1" customFormat="1" ht="15" customHeight="1" x14ac:dyDescent="0.3">
      <c r="A352" s="20">
        <v>348</v>
      </c>
      <c r="B352" s="21">
        <v>46103</v>
      </c>
      <c r="C352" s="21">
        <v>46107</v>
      </c>
      <c r="D352" s="50" t="s">
        <v>304</v>
      </c>
      <c r="E352" s="23">
        <v>46175</v>
      </c>
      <c r="F352" s="23" t="s">
        <v>7</v>
      </c>
      <c r="G352" s="24" t="s">
        <v>68</v>
      </c>
      <c r="H352" s="24" t="s">
        <v>69</v>
      </c>
      <c r="I352" s="24" t="s">
        <v>112</v>
      </c>
      <c r="J352" s="25" t="s">
        <v>157</v>
      </c>
      <c r="K352" s="45" t="str">
        <f t="shared" si="142"/>
        <v>WB39A6898</v>
      </c>
      <c r="L352" s="26">
        <v>46104</v>
      </c>
      <c r="M352" s="34" t="s">
        <v>1914</v>
      </c>
      <c r="N352" s="27" t="s">
        <v>1915</v>
      </c>
      <c r="O352" s="28">
        <v>0</v>
      </c>
      <c r="P352" s="27" t="s">
        <v>1916</v>
      </c>
      <c r="Q352" s="29">
        <v>2525374638</v>
      </c>
      <c r="R352" s="30">
        <v>2110824010</v>
      </c>
      <c r="S352" s="31" t="s">
        <v>308</v>
      </c>
      <c r="T352" s="24" t="s">
        <v>74</v>
      </c>
      <c r="U352" s="24" t="s">
        <v>75</v>
      </c>
      <c r="V352" s="32" t="s">
        <v>1917</v>
      </c>
      <c r="W352" s="32" t="s">
        <v>310</v>
      </c>
      <c r="X352" s="32" t="s">
        <v>1918</v>
      </c>
      <c r="Y352" s="24">
        <v>609</v>
      </c>
      <c r="Z352" s="24">
        <v>19</v>
      </c>
      <c r="AA352" s="24">
        <f t="shared" si="143"/>
        <v>578.54999999999995</v>
      </c>
      <c r="AB352" s="24">
        <f t="shared" si="136"/>
        <v>11571</v>
      </c>
      <c r="AC352" s="24">
        <f t="shared" si="137"/>
        <v>10992.449999999999</v>
      </c>
      <c r="AD352" s="24">
        <f t="shared" si="138"/>
        <v>10992.449999999999</v>
      </c>
      <c r="AE352" s="24">
        <f t="shared" si="139"/>
        <v>578.55000000000109</v>
      </c>
      <c r="AF352" s="24">
        <f t="shared" si="135"/>
        <v>109.92449999999999</v>
      </c>
      <c r="AG352" s="33">
        <v>3200</v>
      </c>
      <c r="AH352" s="24"/>
      <c r="AI352" s="24">
        <v>3000</v>
      </c>
      <c r="AJ352" s="24"/>
      <c r="AK352" s="24"/>
      <c r="AL352" s="24"/>
      <c r="AM352" s="24" t="s">
        <v>79</v>
      </c>
      <c r="AN352" s="34" t="s">
        <v>1379</v>
      </c>
      <c r="AO352" s="35" t="s">
        <v>1673</v>
      </c>
      <c r="AP352" s="24">
        <f>129*2</f>
        <v>258</v>
      </c>
      <c r="AQ352" s="36">
        <f t="shared" si="144"/>
        <v>79.384615384615387</v>
      </c>
      <c r="AR352" s="80">
        <v>60</v>
      </c>
      <c r="AS352" s="47">
        <f t="shared" si="145"/>
        <v>-19.384615384615387</v>
      </c>
      <c r="AT352" s="31"/>
      <c r="AU352" s="47">
        <f t="shared" si="146"/>
        <v>-19.384615384615387</v>
      </c>
      <c r="AV352" s="81">
        <v>91.99</v>
      </c>
      <c r="AW352" s="24">
        <f t="shared" si="140"/>
        <v>5519.4</v>
      </c>
      <c r="AX352" s="24">
        <f t="shared" si="152"/>
        <v>79.321716268893653</v>
      </c>
      <c r="AY352" s="24">
        <v>120</v>
      </c>
      <c r="AZ352" s="24"/>
      <c r="BA352" s="24"/>
      <c r="BB352" s="24">
        <f t="shared" si="147"/>
        <v>0</v>
      </c>
      <c r="BC352" s="24">
        <f t="shared" si="148"/>
        <v>-956.8744999999999</v>
      </c>
      <c r="BD352" s="24">
        <v>110</v>
      </c>
      <c r="BE352" s="24">
        <v>110</v>
      </c>
      <c r="BF352" s="24"/>
      <c r="BG352" s="24">
        <f>+AD352*8.5%</f>
        <v>934.35825</v>
      </c>
      <c r="BH352" s="24">
        <f t="shared" si="154"/>
        <v>934.35825</v>
      </c>
      <c r="BI352" s="24"/>
      <c r="BJ352" s="24">
        <f t="shared" si="149"/>
        <v>18.687165</v>
      </c>
      <c r="BK352" s="24">
        <f t="shared" si="150"/>
        <v>1113.154835</v>
      </c>
      <c r="BL352" s="24" t="s">
        <v>163</v>
      </c>
      <c r="BM352" s="42">
        <f t="shared" si="141"/>
        <v>2</v>
      </c>
      <c r="BN352" s="24" t="s">
        <v>83</v>
      </c>
      <c r="BO352" s="2" t="s">
        <v>129</v>
      </c>
    </row>
    <row r="353" spans="1:67" s="1" customFormat="1" ht="15" customHeight="1" x14ac:dyDescent="0.3">
      <c r="A353" s="20">
        <v>349</v>
      </c>
      <c r="B353" s="21">
        <v>46104</v>
      </c>
      <c r="C353" s="21">
        <v>46107</v>
      </c>
      <c r="D353" s="50" t="s">
        <v>1831</v>
      </c>
      <c r="E353" s="23">
        <v>46108</v>
      </c>
      <c r="F353" s="23" t="s">
        <v>7</v>
      </c>
      <c r="G353" s="24" t="s">
        <v>68</v>
      </c>
      <c r="H353" s="24" t="s">
        <v>69</v>
      </c>
      <c r="I353" s="24" t="s">
        <v>729</v>
      </c>
      <c r="J353" s="25" t="s">
        <v>730</v>
      </c>
      <c r="K353" s="45" t="str">
        <f t="shared" si="142"/>
        <v>WB53B7628</v>
      </c>
      <c r="L353" s="26">
        <v>46105</v>
      </c>
      <c r="M353" s="34" t="s">
        <v>1919</v>
      </c>
      <c r="N353" s="27" t="s">
        <v>1920</v>
      </c>
      <c r="O353" s="28">
        <v>0</v>
      </c>
      <c r="P353" s="27" t="s">
        <v>1921</v>
      </c>
      <c r="Q353" s="29">
        <v>2525374757</v>
      </c>
      <c r="R353" s="30">
        <v>2110824249</v>
      </c>
      <c r="S353" s="63" t="s">
        <v>73</v>
      </c>
      <c r="T353" s="24" t="s">
        <v>91</v>
      </c>
      <c r="U353" s="24" t="s">
        <v>75</v>
      </c>
      <c r="V353" s="32" t="s">
        <v>483</v>
      </c>
      <c r="W353" s="32" t="s">
        <v>484</v>
      </c>
      <c r="X353" s="32" t="s">
        <v>1922</v>
      </c>
      <c r="Y353" s="24">
        <v>1063</v>
      </c>
      <c r="Z353" s="24">
        <v>25</v>
      </c>
      <c r="AA353" s="24">
        <f t="shared" si="143"/>
        <v>1009.85</v>
      </c>
      <c r="AB353" s="24">
        <f t="shared" si="136"/>
        <v>26575</v>
      </c>
      <c r="AC353" s="24">
        <f t="shared" si="137"/>
        <v>25246.25</v>
      </c>
      <c r="AD353" s="24">
        <f t="shared" si="138"/>
        <v>25246.25</v>
      </c>
      <c r="AE353" s="24">
        <f t="shared" si="139"/>
        <v>1328.75</v>
      </c>
      <c r="AF353" s="24">
        <v>0</v>
      </c>
      <c r="AG353" s="33">
        <v>3500</v>
      </c>
      <c r="AH353" s="24"/>
      <c r="AI353" s="24"/>
      <c r="AJ353" s="24"/>
      <c r="AK353" s="24"/>
      <c r="AL353" s="24"/>
      <c r="AM353" s="24" t="s">
        <v>79</v>
      </c>
      <c r="AN353" s="34" t="s">
        <v>1368</v>
      </c>
      <c r="AO353" s="35" t="s">
        <v>1673</v>
      </c>
      <c r="AP353" s="24">
        <f>258*2</f>
        <v>516</v>
      </c>
      <c r="AQ353" s="36">
        <f t="shared" si="144"/>
        <v>158.76923076923077</v>
      </c>
      <c r="AR353" s="80">
        <v>160</v>
      </c>
      <c r="AS353" s="47">
        <f t="shared" si="145"/>
        <v>1.2307692307692264</v>
      </c>
      <c r="AT353" s="31"/>
      <c r="AU353" s="47">
        <f t="shared" si="146"/>
        <v>1.2307692307692264</v>
      </c>
      <c r="AV353" s="81">
        <v>91.88</v>
      </c>
      <c r="AW353" s="24">
        <f t="shared" si="140"/>
        <v>14700.8</v>
      </c>
      <c r="AX353" s="24">
        <f t="shared" si="152"/>
        <v>72.093083131158082</v>
      </c>
      <c r="AY353" s="24"/>
      <c r="AZ353" s="24"/>
      <c r="BA353" s="24"/>
      <c r="BB353" s="24">
        <f t="shared" si="147"/>
        <v>0</v>
      </c>
      <c r="BC353" s="24">
        <f t="shared" si="148"/>
        <v>7045.4500000000007</v>
      </c>
      <c r="BD353" s="24"/>
      <c r="BE353" s="24"/>
      <c r="BF353" s="24"/>
      <c r="BG353" s="24">
        <f>+AB353*9.5%</f>
        <v>2524.625</v>
      </c>
      <c r="BH353" s="24"/>
      <c r="BI353" s="24"/>
      <c r="BJ353" s="24">
        <f t="shared" si="149"/>
        <v>25.24625</v>
      </c>
      <c r="BK353" s="24">
        <f t="shared" si="150"/>
        <v>9544.8287500000006</v>
      </c>
      <c r="BL353" s="24" t="s">
        <v>735</v>
      </c>
      <c r="BM353" s="42">
        <f t="shared" si="141"/>
        <v>2</v>
      </c>
      <c r="BN353" s="24" t="s">
        <v>83</v>
      </c>
      <c r="BO353" s="2" t="s">
        <v>175</v>
      </c>
    </row>
    <row r="354" spans="1:67" s="1" customFormat="1" ht="15" customHeight="1" x14ac:dyDescent="0.3">
      <c r="A354" s="20">
        <v>350</v>
      </c>
      <c r="B354" s="21">
        <v>46104</v>
      </c>
      <c r="C354" s="21">
        <v>46107</v>
      </c>
      <c r="D354" s="50" t="s">
        <v>1815</v>
      </c>
      <c r="E354" s="23">
        <v>46108</v>
      </c>
      <c r="F354" s="23" t="s">
        <v>7</v>
      </c>
      <c r="G354" s="24" t="s">
        <v>68</v>
      </c>
      <c r="H354" s="24" t="s">
        <v>69</v>
      </c>
      <c r="I354" s="24" t="s">
        <v>70</v>
      </c>
      <c r="J354" s="25" t="s">
        <v>674</v>
      </c>
      <c r="K354" s="45" t="str">
        <f t="shared" si="142"/>
        <v>WB39B3049</v>
      </c>
      <c r="L354" s="26">
        <v>46106</v>
      </c>
      <c r="M354" s="34" t="s">
        <v>1923</v>
      </c>
      <c r="N354" s="27" t="s">
        <v>1924</v>
      </c>
      <c r="O354" s="28">
        <v>0</v>
      </c>
      <c r="P354" s="27" t="s">
        <v>1925</v>
      </c>
      <c r="Q354" s="29">
        <v>2525374783</v>
      </c>
      <c r="R354" s="30">
        <v>2110824332</v>
      </c>
      <c r="S354" s="31" t="s">
        <v>73</v>
      </c>
      <c r="T354" s="24" t="s">
        <v>91</v>
      </c>
      <c r="U354" s="24" t="s">
        <v>75</v>
      </c>
      <c r="V354" s="32" t="s">
        <v>1841</v>
      </c>
      <c r="W354" s="32" t="s">
        <v>180</v>
      </c>
      <c r="X354" s="32" t="s">
        <v>180</v>
      </c>
      <c r="Y354" s="24">
        <v>1047</v>
      </c>
      <c r="Z354" s="24">
        <v>25</v>
      </c>
      <c r="AA354" s="24">
        <f t="shared" si="143"/>
        <v>994.65000000000009</v>
      </c>
      <c r="AB354" s="24">
        <f t="shared" si="136"/>
        <v>26175</v>
      </c>
      <c r="AC354" s="24">
        <f t="shared" si="137"/>
        <v>24866.25</v>
      </c>
      <c r="AD354" s="24">
        <f t="shared" si="138"/>
        <v>24866.250000000004</v>
      </c>
      <c r="AE354" s="24">
        <f t="shared" si="139"/>
        <v>1308.7499999999964</v>
      </c>
      <c r="AF354" s="24">
        <f t="shared" ref="AF354" si="155">+AD354*1%</f>
        <v>248.66250000000005</v>
      </c>
      <c r="AG354" s="33">
        <v>3900</v>
      </c>
      <c r="AH354" s="24"/>
      <c r="AI354" s="24"/>
      <c r="AJ354" s="24"/>
      <c r="AK354" s="24"/>
      <c r="AL354" s="24"/>
      <c r="AM354" s="24" t="s">
        <v>79</v>
      </c>
      <c r="AN354" s="34" t="s">
        <v>1385</v>
      </c>
      <c r="AO354" s="35" t="s">
        <v>1673</v>
      </c>
      <c r="AP354" s="24">
        <f>251*2</f>
        <v>502</v>
      </c>
      <c r="AQ354" s="36">
        <f t="shared" si="144"/>
        <v>154.46153846153845</v>
      </c>
      <c r="AR354" s="80">
        <v>165</v>
      </c>
      <c r="AS354" s="47">
        <f t="shared" si="145"/>
        <v>10.538461538461547</v>
      </c>
      <c r="AT354" s="31"/>
      <c r="AU354" s="47">
        <f t="shared" si="146"/>
        <v>10.538461538461547</v>
      </c>
      <c r="AV354" s="81">
        <v>91.99</v>
      </c>
      <c r="AW354" s="24">
        <f t="shared" si="140"/>
        <v>15178.349999999999</v>
      </c>
      <c r="AX354" s="24">
        <f t="shared" si="152"/>
        <v>76.723872719046881</v>
      </c>
      <c r="AY354" s="24"/>
      <c r="AZ354" s="24"/>
      <c r="BA354" s="24"/>
      <c r="BB354" s="24">
        <f t="shared" si="147"/>
        <v>0</v>
      </c>
      <c r="BC354" s="24">
        <f t="shared" si="148"/>
        <v>5539.2375000000065</v>
      </c>
      <c r="BD354" s="24"/>
      <c r="BE354" s="24"/>
      <c r="BF354" s="24"/>
      <c r="BG354" s="24">
        <f>+AD354*9.5%</f>
        <v>2362.2937500000003</v>
      </c>
      <c r="BH354" s="24"/>
      <c r="BI354" s="24"/>
      <c r="BJ354" s="24">
        <f t="shared" si="149"/>
        <v>23.622937500000003</v>
      </c>
      <c r="BK354" s="24">
        <f t="shared" si="150"/>
        <v>7877.908312500007</v>
      </c>
      <c r="BL354" s="24" t="s">
        <v>680</v>
      </c>
      <c r="BM354" s="42">
        <f t="shared" si="141"/>
        <v>3</v>
      </c>
      <c r="BN354" s="24" t="s">
        <v>139</v>
      </c>
      <c r="BO354" s="2" t="s">
        <v>424</v>
      </c>
    </row>
    <row r="355" spans="1:67" s="1" customFormat="1" ht="15" customHeight="1" x14ac:dyDescent="0.3">
      <c r="A355" s="20">
        <v>351</v>
      </c>
      <c r="B355" s="21">
        <v>46104</v>
      </c>
      <c r="C355" s="21">
        <v>46119</v>
      </c>
      <c r="D355" s="50" t="s">
        <v>1926</v>
      </c>
      <c r="E355" s="23">
        <v>46120</v>
      </c>
      <c r="F355" s="23" t="s">
        <v>7</v>
      </c>
      <c r="G355" s="24" t="s">
        <v>68</v>
      </c>
      <c r="H355" s="24" t="s">
        <v>69</v>
      </c>
      <c r="I355" s="24" t="s">
        <v>106</v>
      </c>
      <c r="J355" s="25" t="s">
        <v>107</v>
      </c>
      <c r="K355" s="45" t="str">
        <f t="shared" si="142"/>
        <v>WB57C7436</v>
      </c>
      <c r="L355" s="26">
        <v>46107</v>
      </c>
      <c r="M355" s="34" t="s">
        <v>1927</v>
      </c>
      <c r="N355" s="27" t="s">
        <v>1928</v>
      </c>
      <c r="O355" s="28">
        <v>0</v>
      </c>
      <c r="P355" s="27" t="s">
        <v>1929</v>
      </c>
      <c r="Q355" s="29">
        <v>2525374780</v>
      </c>
      <c r="R355" s="30">
        <v>2110824318</v>
      </c>
      <c r="S355" s="31" t="s">
        <v>73</v>
      </c>
      <c r="T355" s="24" t="s">
        <v>91</v>
      </c>
      <c r="U355" s="24" t="s">
        <v>75</v>
      </c>
      <c r="V355" s="32" t="s">
        <v>1242</v>
      </c>
      <c r="W355" s="32" t="s">
        <v>1243</v>
      </c>
      <c r="X355" s="32" t="s">
        <v>1930</v>
      </c>
      <c r="Y355" s="24">
        <v>1102</v>
      </c>
      <c r="Z355" s="24">
        <v>25</v>
      </c>
      <c r="AA355" s="24">
        <f t="shared" si="143"/>
        <v>1046.8999999999999</v>
      </c>
      <c r="AB355" s="24">
        <f t="shared" si="136"/>
        <v>27550</v>
      </c>
      <c r="AC355" s="24">
        <f t="shared" si="137"/>
        <v>26172.5</v>
      </c>
      <c r="AD355" s="24">
        <f t="shared" si="138"/>
        <v>26172.499999999996</v>
      </c>
      <c r="AE355" s="24">
        <f t="shared" si="139"/>
        <v>1377.5000000000036</v>
      </c>
      <c r="AF355" s="24">
        <v>0</v>
      </c>
      <c r="AG355" s="33">
        <v>9300</v>
      </c>
      <c r="AH355" s="24"/>
      <c r="AI355" s="24"/>
      <c r="AJ355" s="24"/>
      <c r="AK355" s="24"/>
      <c r="AL355" s="24"/>
      <c r="AM355" s="24" t="s">
        <v>79</v>
      </c>
      <c r="AN355" s="34" t="s">
        <v>1389</v>
      </c>
      <c r="AO355" s="35" t="s">
        <v>1673</v>
      </c>
      <c r="AP355" s="24">
        <f>252*2</f>
        <v>504</v>
      </c>
      <c r="AQ355" s="36">
        <f t="shared" si="144"/>
        <v>155.07692307692307</v>
      </c>
      <c r="AR355" s="80">
        <v>166</v>
      </c>
      <c r="AS355" s="47">
        <f t="shared" si="145"/>
        <v>10.923076923076934</v>
      </c>
      <c r="AT355" s="31"/>
      <c r="AU355" s="47">
        <f t="shared" si="146"/>
        <v>10.923076923076934</v>
      </c>
      <c r="AV355" s="81">
        <v>91.99</v>
      </c>
      <c r="AW355" s="24">
        <f t="shared" si="140"/>
        <v>15270.339999999998</v>
      </c>
      <c r="AX355" s="24">
        <f t="shared" si="152"/>
        <v>93.878460215875435</v>
      </c>
      <c r="AY355" s="24"/>
      <c r="AZ355" s="24"/>
      <c r="BA355" s="24"/>
      <c r="BB355" s="24">
        <f t="shared" si="147"/>
        <v>0</v>
      </c>
      <c r="BC355" s="24">
        <f t="shared" si="148"/>
        <v>1602.159999999998</v>
      </c>
      <c r="BD355" s="24"/>
      <c r="BE355" s="24"/>
      <c r="BF355" s="24"/>
      <c r="BG355" s="24">
        <f>+AB355*9.5%</f>
        <v>2617.25</v>
      </c>
      <c r="BH355" s="24"/>
      <c r="BI355" s="24"/>
      <c r="BJ355" s="24">
        <f t="shared" si="149"/>
        <v>26.172499999999999</v>
      </c>
      <c r="BK355" s="24">
        <f t="shared" si="150"/>
        <v>4193.2374999999984</v>
      </c>
      <c r="BL355" s="24" t="s">
        <v>110</v>
      </c>
      <c r="BM355" s="42">
        <f t="shared" si="141"/>
        <v>4</v>
      </c>
      <c r="BN355" s="24" t="s">
        <v>174</v>
      </c>
      <c r="BO355" s="2" t="s">
        <v>129</v>
      </c>
    </row>
    <row r="356" spans="1:67" s="1" customFormat="1" ht="15" customHeight="1" x14ac:dyDescent="0.3">
      <c r="A356" s="20">
        <v>352</v>
      </c>
      <c r="B356" s="21">
        <v>46104</v>
      </c>
      <c r="C356" s="21">
        <v>46107</v>
      </c>
      <c r="D356" s="50" t="s">
        <v>1355</v>
      </c>
      <c r="E356" s="23">
        <v>46108</v>
      </c>
      <c r="F356" s="23" t="s">
        <v>7</v>
      </c>
      <c r="G356" s="24" t="s">
        <v>68</v>
      </c>
      <c r="H356" s="24" t="s">
        <v>69</v>
      </c>
      <c r="I356" s="24" t="s">
        <v>112</v>
      </c>
      <c r="J356" s="25" t="s">
        <v>558</v>
      </c>
      <c r="K356" s="45" t="str">
        <f t="shared" si="142"/>
        <v>WB39A5858</v>
      </c>
      <c r="L356" s="26">
        <v>46105</v>
      </c>
      <c r="M356" s="34" t="s">
        <v>1931</v>
      </c>
      <c r="N356" s="27" t="s">
        <v>1932</v>
      </c>
      <c r="O356" s="28">
        <v>0</v>
      </c>
      <c r="P356" s="27" t="s">
        <v>1933</v>
      </c>
      <c r="Q356" s="29">
        <v>2525374860</v>
      </c>
      <c r="R356" s="30">
        <v>2110824438</v>
      </c>
      <c r="S356" s="31" t="s">
        <v>73</v>
      </c>
      <c r="T356" s="24" t="s">
        <v>74</v>
      </c>
      <c r="U356" s="24" t="s">
        <v>75</v>
      </c>
      <c r="V356" s="32" t="s">
        <v>309</v>
      </c>
      <c r="W356" s="32" t="s">
        <v>310</v>
      </c>
      <c r="X356" s="32" t="s">
        <v>310</v>
      </c>
      <c r="Y356" s="24">
        <v>535</v>
      </c>
      <c r="Z356" s="24">
        <v>19</v>
      </c>
      <c r="AA356" s="24">
        <f t="shared" si="143"/>
        <v>508.24999999999994</v>
      </c>
      <c r="AB356" s="24">
        <f t="shared" si="136"/>
        <v>10165</v>
      </c>
      <c r="AC356" s="24">
        <f t="shared" si="137"/>
        <v>9656.75</v>
      </c>
      <c r="AD356" s="24">
        <f t="shared" si="138"/>
        <v>9656.7499999999982</v>
      </c>
      <c r="AE356" s="24">
        <f t="shared" si="139"/>
        <v>508.25000000000182</v>
      </c>
      <c r="AF356" s="24">
        <v>0</v>
      </c>
      <c r="AG356" s="33">
        <v>2600</v>
      </c>
      <c r="AH356" s="24"/>
      <c r="AI356" s="24"/>
      <c r="AJ356" s="24"/>
      <c r="AK356" s="24"/>
      <c r="AL356" s="24"/>
      <c r="AM356" s="24" t="s">
        <v>79</v>
      </c>
      <c r="AN356" s="34" t="s">
        <v>1394</v>
      </c>
      <c r="AO356" s="35" t="s">
        <v>1673</v>
      </c>
      <c r="AP356" s="24">
        <f>100*2</f>
        <v>200</v>
      </c>
      <c r="AQ356" s="36">
        <f t="shared" si="144"/>
        <v>61.53846153846154</v>
      </c>
      <c r="AR356" s="80">
        <v>60</v>
      </c>
      <c r="AS356" s="47">
        <f t="shared" si="145"/>
        <v>-1.5384615384615401</v>
      </c>
      <c r="AT356" s="31"/>
      <c r="AU356" s="47">
        <f t="shared" si="146"/>
        <v>-1.5384615384615401</v>
      </c>
      <c r="AV356" s="81">
        <v>91.99</v>
      </c>
      <c r="AW356" s="24">
        <f t="shared" si="140"/>
        <v>5519.4</v>
      </c>
      <c r="AX356" s="24">
        <f t="shared" si="152"/>
        <v>84.080047635073925</v>
      </c>
      <c r="AY356" s="24"/>
      <c r="AZ356" s="24"/>
      <c r="BA356" s="24"/>
      <c r="BB356" s="24">
        <f t="shared" si="147"/>
        <v>0</v>
      </c>
      <c r="BC356" s="24">
        <f t="shared" si="148"/>
        <v>1537.3499999999985</v>
      </c>
      <c r="BD356" s="24"/>
      <c r="BE356" s="24"/>
      <c r="BF356" s="24"/>
      <c r="BG356" s="24">
        <f>+AB356*9.5%</f>
        <v>965.67499999999995</v>
      </c>
      <c r="BH356" s="24">
        <f>+AB356*8.5%</f>
        <v>864.02500000000009</v>
      </c>
      <c r="BI356" s="24"/>
      <c r="BJ356" s="24">
        <f t="shared" si="149"/>
        <v>18.297000000000001</v>
      </c>
      <c r="BK356" s="24">
        <f t="shared" si="150"/>
        <v>3348.7529999999988</v>
      </c>
      <c r="BL356" s="24" t="s">
        <v>565</v>
      </c>
      <c r="BM356" s="42">
        <f t="shared" si="141"/>
        <v>2</v>
      </c>
      <c r="BN356" s="24" t="s">
        <v>83</v>
      </c>
      <c r="BO356" s="2" t="s">
        <v>175</v>
      </c>
    </row>
    <row r="357" spans="1:67" s="1" customFormat="1" ht="15" customHeight="1" x14ac:dyDescent="0.3">
      <c r="A357" s="20">
        <v>353</v>
      </c>
      <c r="B357" s="21">
        <v>46104</v>
      </c>
      <c r="C357" s="21">
        <v>46118</v>
      </c>
      <c r="D357" s="50" t="s">
        <v>553</v>
      </c>
      <c r="E357" s="23">
        <v>46120</v>
      </c>
      <c r="F357" s="23" t="s">
        <v>7</v>
      </c>
      <c r="G357" s="24" t="s">
        <v>68</v>
      </c>
      <c r="H357" s="24" t="s">
        <v>69</v>
      </c>
      <c r="I357" s="24" t="s">
        <v>70</v>
      </c>
      <c r="J357" s="25" t="s">
        <v>287</v>
      </c>
      <c r="K357" s="45" t="str">
        <f t="shared" si="142"/>
        <v>WB39B1080</v>
      </c>
      <c r="L357" s="26">
        <v>46106</v>
      </c>
      <c r="M357" s="34" t="s">
        <v>1934</v>
      </c>
      <c r="N357" s="27" t="s">
        <v>1935</v>
      </c>
      <c r="O357" s="28">
        <v>0</v>
      </c>
      <c r="P357" s="27" t="s">
        <v>1936</v>
      </c>
      <c r="Q357" s="29">
        <v>2525375063</v>
      </c>
      <c r="R357" s="30">
        <v>2110824744</v>
      </c>
      <c r="S357" s="31" t="s">
        <v>73</v>
      </c>
      <c r="T357" s="24" t="s">
        <v>91</v>
      </c>
      <c r="U357" s="24" t="s">
        <v>75</v>
      </c>
      <c r="V357" s="32" t="s">
        <v>179</v>
      </c>
      <c r="W357" s="32" t="s">
        <v>180</v>
      </c>
      <c r="X357" s="32"/>
      <c r="Y357" s="24">
        <v>1047</v>
      </c>
      <c r="Z357" s="24">
        <v>25</v>
      </c>
      <c r="AA357" s="24">
        <f t="shared" si="143"/>
        <v>994.65000000000009</v>
      </c>
      <c r="AB357" s="61">
        <f t="shared" si="136"/>
        <v>26175</v>
      </c>
      <c r="AC357" s="24">
        <f t="shared" si="137"/>
        <v>24866.25</v>
      </c>
      <c r="AD357" s="24">
        <f t="shared" si="138"/>
        <v>24866.250000000004</v>
      </c>
      <c r="AE357" s="24">
        <f t="shared" si="139"/>
        <v>1308.7499999999964</v>
      </c>
      <c r="AF357" s="24">
        <f t="shared" ref="AF357:AF366" si="156">+AD357*1%</f>
        <v>248.66250000000005</v>
      </c>
      <c r="AG357" s="33">
        <v>4200</v>
      </c>
      <c r="AH357" s="24"/>
      <c r="AI357" s="24"/>
      <c r="AJ357" s="24"/>
      <c r="AK357" s="24"/>
      <c r="AL357" s="24"/>
      <c r="AM357" s="24" t="s">
        <v>79</v>
      </c>
      <c r="AN357" s="34" t="s">
        <v>1937</v>
      </c>
      <c r="AO357" s="35" t="s">
        <v>1673</v>
      </c>
      <c r="AP357" s="24">
        <f>250*2</f>
        <v>500</v>
      </c>
      <c r="AQ357" s="36">
        <f t="shared" si="144"/>
        <v>153.84615384615384</v>
      </c>
      <c r="AR357" s="80">
        <v>170</v>
      </c>
      <c r="AS357" s="47">
        <f t="shared" si="145"/>
        <v>16.15384615384616</v>
      </c>
      <c r="AT357" s="31"/>
      <c r="AU357" s="47">
        <f t="shared" si="146"/>
        <v>16.15384615384616</v>
      </c>
      <c r="AV357" s="81">
        <v>91.99</v>
      </c>
      <c r="AW357" s="24">
        <f t="shared" si="140"/>
        <v>15638.3</v>
      </c>
      <c r="AX357" s="24">
        <f t="shared" si="152"/>
        <v>79.780023123711842</v>
      </c>
      <c r="AY357" s="24"/>
      <c r="AZ357" s="24"/>
      <c r="BA357" s="24"/>
      <c r="BB357" s="24">
        <f t="shared" si="147"/>
        <v>0</v>
      </c>
      <c r="BC357" s="24">
        <f t="shared" si="148"/>
        <v>4779.2875000000058</v>
      </c>
      <c r="BD357" s="24"/>
      <c r="BE357" s="24"/>
      <c r="BF357" s="24"/>
      <c r="BG357" s="24">
        <f>+AD357*9.5%</f>
        <v>2362.2937500000003</v>
      </c>
      <c r="BH357" s="24"/>
      <c r="BI357" s="24"/>
      <c r="BJ357" s="24">
        <f t="shared" si="149"/>
        <v>23.622937500000003</v>
      </c>
      <c r="BK357" s="24">
        <f t="shared" si="150"/>
        <v>7117.9583125000063</v>
      </c>
      <c r="BL357" s="24" t="s">
        <v>292</v>
      </c>
      <c r="BM357" s="42">
        <f t="shared" si="141"/>
        <v>3</v>
      </c>
      <c r="BN357" s="24" t="s">
        <v>139</v>
      </c>
      <c r="BO357" s="2" t="s">
        <v>175</v>
      </c>
    </row>
    <row r="358" spans="1:67" s="1" customFormat="1" ht="15" customHeight="1" x14ac:dyDescent="0.3">
      <c r="A358" s="20">
        <v>354</v>
      </c>
      <c r="B358" s="21">
        <v>46104</v>
      </c>
      <c r="C358" s="21">
        <v>46111</v>
      </c>
      <c r="D358" s="50" t="s">
        <v>611</v>
      </c>
      <c r="E358" s="23">
        <v>46111</v>
      </c>
      <c r="F358" s="23" t="s">
        <v>7</v>
      </c>
      <c r="G358" s="24" t="s">
        <v>68</v>
      </c>
      <c r="H358" s="24" t="s">
        <v>69</v>
      </c>
      <c r="I358" s="24" t="s">
        <v>389</v>
      </c>
      <c r="J358" s="25" t="s">
        <v>372</v>
      </c>
      <c r="K358" s="45" t="str">
        <f t="shared" si="142"/>
        <v>WB39G7433</v>
      </c>
      <c r="L358" s="26">
        <v>46106</v>
      </c>
      <c r="M358" s="34" t="s">
        <v>1938</v>
      </c>
      <c r="N358" s="27" t="s">
        <v>1939</v>
      </c>
      <c r="O358" s="28">
        <v>0</v>
      </c>
      <c r="P358" s="27" t="s">
        <v>1940</v>
      </c>
      <c r="Q358" s="29">
        <v>2525375080</v>
      </c>
      <c r="R358" s="30">
        <v>2110824746</v>
      </c>
      <c r="S358" s="31" t="s">
        <v>73</v>
      </c>
      <c r="T358" s="24" t="s">
        <v>91</v>
      </c>
      <c r="U358" s="24" t="s">
        <v>75</v>
      </c>
      <c r="V358" s="32" t="s">
        <v>179</v>
      </c>
      <c r="W358" s="32" t="s">
        <v>180</v>
      </c>
      <c r="X358" s="32" t="s">
        <v>180</v>
      </c>
      <c r="Y358" s="24">
        <v>1047</v>
      </c>
      <c r="Z358" s="24">
        <v>25</v>
      </c>
      <c r="AA358" s="24">
        <f t="shared" si="143"/>
        <v>994.65000000000009</v>
      </c>
      <c r="AB358" s="24">
        <f t="shared" si="136"/>
        <v>26175</v>
      </c>
      <c r="AC358" s="24">
        <f t="shared" si="137"/>
        <v>24866.25</v>
      </c>
      <c r="AD358" s="24">
        <f t="shared" si="138"/>
        <v>24866.250000000004</v>
      </c>
      <c r="AE358" s="24">
        <f t="shared" si="139"/>
        <v>1308.7499999999964</v>
      </c>
      <c r="AF358" s="24">
        <f>+AD358*1%</f>
        <v>248.66250000000005</v>
      </c>
      <c r="AG358" s="33">
        <v>3700</v>
      </c>
      <c r="AH358" s="24"/>
      <c r="AI358" s="24"/>
      <c r="AJ358" s="24"/>
      <c r="AK358" s="24"/>
      <c r="AL358" s="24"/>
      <c r="AM358" s="24" t="s">
        <v>79</v>
      </c>
      <c r="AN358" s="34" t="s">
        <v>1941</v>
      </c>
      <c r="AO358" s="35" t="s">
        <v>1673</v>
      </c>
      <c r="AP358" s="24">
        <f>250*2</f>
        <v>500</v>
      </c>
      <c r="AQ358" s="36">
        <f t="shared" si="144"/>
        <v>153.84615384615384</v>
      </c>
      <c r="AR358" s="80">
        <v>155</v>
      </c>
      <c r="AS358" s="47">
        <f t="shared" si="145"/>
        <v>1.1538461538461604</v>
      </c>
      <c r="AT358" s="31"/>
      <c r="AU358" s="47">
        <f t="shared" si="146"/>
        <v>1.1538461538461604</v>
      </c>
      <c r="AV358" s="81">
        <v>91.99</v>
      </c>
      <c r="AW358" s="24">
        <f t="shared" si="140"/>
        <v>14258.449999999999</v>
      </c>
      <c r="AX358" s="24">
        <f t="shared" si="152"/>
        <v>72.2201779520434</v>
      </c>
      <c r="AY358" s="24"/>
      <c r="AZ358" s="24"/>
      <c r="BA358" s="24"/>
      <c r="BB358" s="24">
        <f t="shared" si="147"/>
        <v>0</v>
      </c>
      <c r="BC358" s="24">
        <f t="shared" si="148"/>
        <v>6659.1375000000062</v>
      </c>
      <c r="BD358" s="24"/>
      <c r="BE358" s="24"/>
      <c r="BF358" s="24"/>
      <c r="BG358" s="24">
        <f>+AB358*9.5%</f>
        <v>2486.625</v>
      </c>
      <c r="BH358" s="24"/>
      <c r="BI358" s="24"/>
      <c r="BJ358" s="24">
        <f t="shared" si="149"/>
        <v>24.866250000000001</v>
      </c>
      <c r="BK358" s="24">
        <f t="shared" si="150"/>
        <v>9120.8962500000071</v>
      </c>
      <c r="BL358" s="24" t="s">
        <v>379</v>
      </c>
      <c r="BM358" s="42">
        <f t="shared" si="141"/>
        <v>3</v>
      </c>
      <c r="BN358" s="24" t="s">
        <v>139</v>
      </c>
      <c r="BO358" s="2" t="s">
        <v>175</v>
      </c>
    </row>
    <row r="359" spans="1:67" s="1" customFormat="1" ht="15" customHeight="1" x14ac:dyDescent="0.3">
      <c r="A359" s="20">
        <v>355</v>
      </c>
      <c r="B359" s="21">
        <v>46104</v>
      </c>
      <c r="C359" s="21">
        <v>46107</v>
      </c>
      <c r="D359" s="50" t="s">
        <v>1355</v>
      </c>
      <c r="E359" s="23">
        <v>46108</v>
      </c>
      <c r="F359" s="23" t="s">
        <v>7</v>
      </c>
      <c r="G359" s="24" t="s">
        <v>68</v>
      </c>
      <c r="H359" s="24" t="s">
        <v>69</v>
      </c>
      <c r="I359" s="24" t="s">
        <v>141</v>
      </c>
      <c r="J359" s="25" t="s">
        <v>246</v>
      </c>
      <c r="K359" s="45" t="str">
        <f t="shared" si="142"/>
        <v>WB41F4393</v>
      </c>
      <c r="L359" s="26">
        <v>46105</v>
      </c>
      <c r="M359" s="34" t="s">
        <v>1942</v>
      </c>
      <c r="N359" s="27" t="s">
        <v>1943</v>
      </c>
      <c r="O359" s="28">
        <v>0</v>
      </c>
      <c r="P359" s="27" t="s">
        <v>1944</v>
      </c>
      <c r="Q359" s="29">
        <v>2525375130</v>
      </c>
      <c r="R359" s="30">
        <v>2110824920</v>
      </c>
      <c r="S359" s="31" t="s">
        <v>73</v>
      </c>
      <c r="T359" s="24" t="s">
        <v>91</v>
      </c>
      <c r="U359" s="24" t="s">
        <v>75</v>
      </c>
      <c r="V359" s="32" t="s">
        <v>1029</v>
      </c>
      <c r="W359" s="32" t="s">
        <v>1030</v>
      </c>
      <c r="X359" s="32" t="s">
        <v>1030</v>
      </c>
      <c r="Y359" s="24">
        <v>874</v>
      </c>
      <c r="Z359" s="24">
        <v>25</v>
      </c>
      <c r="AA359" s="24">
        <f t="shared" si="143"/>
        <v>830.30000000000007</v>
      </c>
      <c r="AB359" s="24">
        <f t="shared" si="136"/>
        <v>21850</v>
      </c>
      <c r="AC359" s="24">
        <f t="shared" si="137"/>
        <v>20757.5</v>
      </c>
      <c r="AD359" s="24">
        <f t="shared" si="138"/>
        <v>20757.5</v>
      </c>
      <c r="AE359" s="24">
        <f t="shared" si="139"/>
        <v>1092.5</v>
      </c>
      <c r="AF359" s="24">
        <f t="shared" si="156"/>
        <v>207.57500000000002</v>
      </c>
      <c r="AG359" s="33">
        <v>3550</v>
      </c>
      <c r="AH359" s="24"/>
      <c r="AI359" s="24"/>
      <c r="AJ359" s="24"/>
      <c r="AK359" s="24"/>
      <c r="AL359" s="24"/>
      <c r="AM359" s="24" t="s">
        <v>79</v>
      </c>
      <c r="AN359" s="34" t="s">
        <v>1945</v>
      </c>
      <c r="AO359" s="35" t="s">
        <v>1673</v>
      </c>
      <c r="AP359" s="24">
        <f>177*2</f>
        <v>354</v>
      </c>
      <c r="AQ359" s="36">
        <f t="shared" si="144"/>
        <v>108.92307692307692</v>
      </c>
      <c r="AR359" s="80">
        <v>105</v>
      </c>
      <c r="AS359" s="47">
        <f t="shared" si="145"/>
        <v>-3.9230769230769198</v>
      </c>
      <c r="AT359" s="31"/>
      <c r="AU359" s="47">
        <f t="shared" si="146"/>
        <v>-3.9230769230769198</v>
      </c>
      <c r="AV359" s="81">
        <v>91.99</v>
      </c>
      <c r="AW359" s="24">
        <f t="shared" si="140"/>
        <v>9658.9499999999989</v>
      </c>
      <c r="AX359" s="24">
        <f t="shared" si="152"/>
        <v>63.634589907262431</v>
      </c>
      <c r="AY359" s="24"/>
      <c r="AZ359" s="24"/>
      <c r="BA359" s="24"/>
      <c r="BB359" s="24">
        <f t="shared" si="147"/>
        <v>0</v>
      </c>
      <c r="BC359" s="24">
        <f t="shared" si="148"/>
        <v>7340.9750000000004</v>
      </c>
      <c r="BD359" s="24"/>
      <c r="BE359" s="24"/>
      <c r="BF359" s="24"/>
      <c r="BG359" s="24">
        <f>+AB359*9.5%</f>
        <v>2075.75</v>
      </c>
      <c r="BH359" s="24"/>
      <c r="BI359" s="24"/>
      <c r="BJ359" s="24">
        <f t="shared" si="149"/>
        <v>20.7575</v>
      </c>
      <c r="BK359" s="24">
        <f t="shared" si="150"/>
        <v>9395.9675000000007</v>
      </c>
      <c r="BL359" s="24" t="s">
        <v>253</v>
      </c>
      <c r="BM359" s="42">
        <f t="shared" si="141"/>
        <v>2</v>
      </c>
      <c r="BN359" s="24" t="s">
        <v>83</v>
      </c>
      <c r="BO359" s="2" t="s">
        <v>148</v>
      </c>
    </row>
    <row r="360" spans="1:67" s="1" customFormat="1" ht="15" customHeight="1" x14ac:dyDescent="0.3">
      <c r="A360" s="20">
        <v>356</v>
      </c>
      <c r="B360" s="21">
        <v>46104</v>
      </c>
      <c r="C360" s="21">
        <v>46107</v>
      </c>
      <c r="D360" s="50" t="s">
        <v>1355</v>
      </c>
      <c r="E360" s="23">
        <v>46108</v>
      </c>
      <c r="F360" s="23" t="s">
        <v>7</v>
      </c>
      <c r="G360" s="24" t="s">
        <v>68</v>
      </c>
      <c r="H360" s="24" t="s">
        <v>69</v>
      </c>
      <c r="I360" s="24" t="s">
        <v>70</v>
      </c>
      <c r="J360" s="25" t="s">
        <v>203</v>
      </c>
      <c r="K360" s="45" t="str">
        <f t="shared" si="142"/>
        <v>WB39B0800</v>
      </c>
      <c r="L360" s="26">
        <v>46105</v>
      </c>
      <c r="M360" s="34" t="s">
        <v>1946</v>
      </c>
      <c r="N360" s="27" t="s">
        <v>1947</v>
      </c>
      <c r="O360" s="28">
        <v>0</v>
      </c>
      <c r="P360" s="27" t="s">
        <v>1948</v>
      </c>
      <c r="Q360" s="29">
        <v>2525375217</v>
      </c>
      <c r="R360" s="30">
        <v>2110824929</v>
      </c>
      <c r="S360" s="31" t="s">
        <v>73</v>
      </c>
      <c r="T360" s="24" t="s">
        <v>74</v>
      </c>
      <c r="U360" s="24" t="s">
        <v>75</v>
      </c>
      <c r="V360" s="32" t="s">
        <v>1949</v>
      </c>
      <c r="W360" s="32" t="s">
        <v>1950</v>
      </c>
      <c r="X360" s="32" t="s">
        <v>1950</v>
      </c>
      <c r="Y360" s="24">
        <v>409</v>
      </c>
      <c r="Z360" s="24">
        <v>19</v>
      </c>
      <c r="AA360" s="24">
        <f t="shared" si="143"/>
        <v>388.55</v>
      </c>
      <c r="AB360" s="24">
        <f t="shared" si="136"/>
        <v>7771</v>
      </c>
      <c r="AC360" s="24">
        <f t="shared" si="137"/>
        <v>7382.45</v>
      </c>
      <c r="AD360" s="24">
        <f t="shared" si="138"/>
        <v>7382.45</v>
      </c>
      <c r="AE360" s="24">
        <f t="shared" si="139"/>
        <v>388.55000000000018</v>
      </c>
      <c r="AF360" s="24">
        <f t="shared" si="156"/>
        <v>73.8245</v>
      </c>
      <c r="AG360" s="33">
        <v>2800</v>
      </c>
      <c r="AH360" s="24"/>
      <c r="AI360" s="24"/>
      <c r="AJ360" s="24"/>
      <c r="AK360" s="24"/>
      <c r="AL360" s="24"/>
      <c r="AM360" s="24" t="s">
        <v>79</v>
      </c>
      <c r="AN360" s="34" t="s">
        <v>1951</v>
      </c>
      <c r="AO360" s="35" t="s">
        <v>1673</v>
      </c>
      <c r="AP360" s="24">
        <f>66*2</f>
        <v>132</v>
      </c>
      <c r="AQ360" s="36">
        <f t="shared" si="144"/>
        <v>40.615384615384613</v>
      </c>
      <c r="AR360" s="80">
        <v>43</v>
      </c>
      <c r="AS360" s="47">
        <f t="shared" si="145"/>
        <v>2.3846153846153868</v>
      </c>
      <c r="AT360" s="31"/>
      <c r="AU360" s="47">
        <f t="shared" si="146"/>
        <v>2.3846153846153868</v>
      </c>
      <c r="AV360" s="81">
        <v>91.99</v>
      </c>
      <c r="AW360" s="24">
        <f t="shared" si="140"/>
        <v>3955.5699999999997</v>
      </c>
      <c r="AX360" s="24">
        <f t="shared" si="152"/>
        <v>91.508510047477472</v>
      </c>
      <c r="AY360" s="24"/>
      <c r="AZ360" s="24"/>
      <c r="BA360" s="24"/>
      <c r="BB360" s="24">
        <f t="shared" si="147"/>
        <v>0</v>
      </c>
      <c r="BC360" s="24">
        <f t="shared" si="148"/>
        <v>553.05550000000039</v>
      </c>
      <c r="BD360" s="24">
        <v>110</v>
      </c>
      <c r="BE360" s="24">
        <v>110</v>
      </c>
      <c r="BF360" s="24"/>
      <c r="BG360" s="24">
        <f>+AD360*8.5%</f>
        <v>627.50824999999998</v>
      </c>
      <c r="BH360" s="24">
        <f>+AD360*8.5%</f>
        <v>627.50824999999998</v>
      </c>
      <c r="BI360" s="24"/>
      <c r="BJ360" s="24">
        <f t="shared" si="149"/>
        <v>12.550165</v>
      </c>
      <c r="BK360" s="24">
        <f t="shared" si="150"/>
        <v>2015.521835</v>
      </c>
      <c r="BL360" s="24" t="s">
        <v>82</v>
      </c>
      <c r="BM360" s="42">
        <f t="shared" si="141"/>
        <v>2</v>
      </c>
      <c r="BN360" s="24" t="s">
        <v>83</v>
      </c>
      <c r="BO360" s="2" t="s">
        <v>148</v>
      </c>
    </row>
    <row r="361" spans="1:67" s="1" customFormat="1" ht="15" customHeight="1" x14ac:dyDescent="0.3">
      <c r="A361" s="20">
        <v>357</v>
      </c>
      <c r="B361" s="21">
        <v>46104</v>
      </c>
      <c r="C361" s="21">
        <v>46107</v>
      </c>
      <c r="D361" s="50" t="s">
        <v>1815</v>
      </c>
      <c r="E361" s="23">
        <v>46108</v>
      </c>
      <c r="F361" s="23" t="s">
        <v>7</v>
      </c>
      <c r="G361" s="24" t="s">
        <v>68</v>
      </c>
      <c r="H361" s="24" t="s">
        <v>69</v>
      </c>
      <c r="I361" s="24" t="s">
        <v>513</v>
      </c>
      <c r="J361" s="25" t="s">
        <v>514</v>
      </c>
      <c r="K361" s="45" t="str">
        <f t="shared" si="142"/>
        <v>WB67B3669</v>
      </c>
      <c r="L361" s="26">
        <v>46106</v>
      </c>
      <c r="M361" s="34" t="s">
        <v>1952</v>
      </c>
      <c r="N361" s="27" t="s">
        <v>1953</v>
      </c>
      <c r="O361" s="28">
        <v>0</v>
      </c>
      <c r="P361" s="27" t="s">
        <v>1954</v>
      </c>
      <c r="Q361" s="29">
        <v>2525375125</v>
      </c>
      <c r="R361" s="30">
        <v>2110824859</v>
      </c>
      <c r="S361" s="63" t="s">
        <v>73</v>
      </c>
      <c r="T361" s="24" t="s">
        <v>241</v>
      </c>
      <c r="U361" s="24" t="s">
        <v>75</v>
      </c>
      <c r="V361" s="32" t="s">
        <v>472</v>
      </c>
      <c r="W361" s="32" t="s">
        <v>1955</v>
      </c>
      <c r="X361" s="32" t="s">
        <v>1956</v>
      </c>
      <c r="Y361" s="24">
        <v>1151</v>
      </c>
      <c r="Z361" s="24">
        <v>30</v>
      </c>
      <c r="AA361" s="24">
        <f t="shared" si="143"/>
        <v>1093.45</v>
      </c>
      <c r="AB361" s="24">
        <f t="shared" si="136"/>
        <v>34530</v>
      </c>
      <c r="AC361" s="24">
        <f t="shared" si="137"/>
        <v>32803.5</v>
      </c>
      <c r="AD361" s="24">
        <f t="shared" si="138"/>
        <v>32803.5</v>
      </c>
      <c r="AE361" s="24">
        <f t="shared" si="139"/>
        <v>1726.5</v>
      </c>
      <c r="AF361" s="24">
        <v>0</v>
      </c>
      <c r="AG361" s="33">
        <v>4000</v>
      </c>
      <c r="AH361" s="24"/>
      <c r="AI361" s="24"/>
      <c r="AJ361" s="24"/>
      <c r="AK361" s="24"/>
      <c r="AL361" s="24"/>
      <c r="AM361" s="24" t="s">
        <v>79</v>
      </c>
      <c r="AN361" s="34" t="s">
        <v>1957</v>
      </c>
      <c r="AO361" s="35" t="s">
        <v>1673</v>
      </c>
      <c r="AP361" s="24">
        <f>297*2</f>
        <v>594</v>
      </c>
      <c r="AQ361" s="36">
        <f t="shared" si="144"/>
        <v>182.76923076923077</v>
      </c>
      <c r="AR361" s="80">
        <v>86</v>
      </c>
      <c r="AS361" s="47">
        <f t="shared" si="145"/>
        <v>-96.769230769230774</v>
      </c>
      <c r="AT361" s="31"/>
      <c r="AU361" s="47">
        <f t="shared" si="146"/>
        <v>-96.769230769230774</v>
      </c>
      <c r="AV361" s="81">
        <v>91.99</v>
      </c>
      <c r="AW361" s="24">
        <f t="shared" si="140"/>
        <v>7911.1399999999994</v>
      </c>
      <c r="AX361" s="24">
        <f t="shared" si="152"/>
        <v>36.310576615300192</v>
      </c>
      <c r="AY361" s="24"/>
      <c r="AZ361" s="24"/>
      <c r="BA361" s="24"/>
      <c r="BB361" s="24">
        <f t="shared" si="147"/>
        <v>0</v>
      </c>
      <c r="BC361" s="24">
        <f t="shared" si="148"/>
        <v>20892.36</v>
      </c>
      <c r="BD361" s="24">
        <v>135</v>
      </c>
      <c r="BE361" s="24">
        <v>135</v>
      </c>
      <c r="BF361" s="24"/>
      <c r="BG361" s="24">
        <f>+AB361*9.5%</f>
        <v>3280.35</v>
      </c>
      <c r="BH361" s="24"/>
      <c r="BI361" s="24"/>
      <c r="BJ361" s="24">
        <f t="shared" si="149"/>
        <v>32.8035</v>
      </c>
      <c r="BK361" s="24">
        <f t="shared" si="150"/>
        <v>24409.906499999997</v>
      </c>
      <c r="BL361" s="24" t="s">
        <v>173</v>
      </c>
      <c r="BM361" s="42">
        <f t="shared" si="141"/>
        <v>3</v>
      </c>
      <c r="BN361" s="24" t="s">
        <v>139</v>
      </c>
      <c r="BO361" s="2" t="s">
        <v>148</v>
      </c>
    </row>
    <row r="362" spans="1:67" s="1" customFormat="1" ht="15" customHeight="1" x14ac:dyDescent="0.3">
      <c r="A362" s="20">
        <v>358</v>
      </c>
      <c r="B362" s="21">
        <v>46104</v>
      </c>
      <c r="C362" s="21">
        <v>46111</v>
      </c>
      <c r="D362" s="50" t="s">
        <v>611</v>
      </c>
      <c r="E362" s="23">
        <v>46111</v>
      </c>
      <c r="F362" s="23" t="s">
        <v>7</v>
      </c>
      <c r="G362" s="24" t="s">
        <v>68</v>
      </c>
      <c r="H362" s="24" t="s">
        <v>69</v>
      </c>
      <c r="I362" s="24" t="s">
        <v>112</v>
      </c>
      <c r="J362" s="25" t="s">
        <v>487</v>
      </c>
      <c r="K362" s="45" t="str">
        <f t="shared" si="142"/>
        <v>WB39A9434</v>
      </c>
      <c r="L362" s="26">
        <v>46106</v>
      </c>
      <c r="M362" s="34" t="s">
        <v>1958</v>
      </c>
      <c r="N362" s="27" t="s">
        <v>1959</v>
      </c>
      <c r="O362" s="28">
        <v>0</v>
      </c>
      <c r="P362" s="27" t="s">
        <v>1960</v>
      </c>
      <c r="Q362" s="29">
        <v>2525375147</v>
      </c>
      <c r="R362" s="30">
        <v>2110824921</v>
      </c>
      <c r="S362" s="31" t="s">
        <v>73</v>
      </c>
      <c r="T362" s="24" t="s">
        <v>91</v>
      </c>
      <c r="U362" s="24" t="s">
        <v>75</v>
      </c>
      <c r="V362" s="32" t="s">
        <v>1065</v>
      </c>
      <c r="W362" s="32" t="s">
        <v>1961</v>
      </c>
      <c r="X362" s="32" t="s">
        <v>1961</v>
      </c>
      <c r="Y362" s="24">
        <v>936</v>
      </c>
      <c r="Z362" s="24">
        <v>25</v>
      </c>
      <c r="AA362" s="24">
        <f t="shared" si="143"/>
        <v>889.19999999999993</v>
      </c>
      <c r="AB362" s="24">
        <f t="shared" si="136"/>
        <v>23400</v>
      </c>
      <c r="AC362" s="24">
        <f t="shared" si="137"/>
        <v>22230</v>
      </c>
      <c r="AD362" s="24">
        <f t="shared" si="138"/>
        <v>22230</v>
      </c>
      <c r="AE362" s="24">
        <f t="shared" si="139"/>
        <v>1170</v>
      </c>
      <c r="AF362" s="24">
        <f t="shared" si="156"/>
        <v>222.3</v>
      </c>
      <c r="AG362" s="33">
        <v>3800</v>
      </c>
      <c r="AH362" s="24"/>
      <c r="AI362" s="24"/>
      <c r="AJ362" s="24"/>
      <c r="AK362" s="24"/>
      <c r="AL362" s="24"/>
      <c r="AM362" s="24" t="s">
        <v>79</v>
      </c>
      <c r="AN362" s="34" t="s">
        <v>1962</v>
      </c>
      <c r="AO362" s="35" t="s">
        <v>1673</v>
      </c>
      <c r="AP362" s="24">
        <f>213*2</f>
        <v>426</v>
      </c>
      <c r="AQ362" s="36">
        <f t="shared" si="144"/>
        <v>131.07692307692307</v>
      </c>
      <c r="AR362" s="80">
        <v>140</v>
      </c>
      <c r="AS362" s="47">
        <f t="shared" si="145"/>
        <v>8.923076923076934</v>
      </c>
      <c r="AT362" s="31"/>
      <c r="AU362" s="47">
        <f t="shared" si="146"/>
        <v>8.923076923076934</v>
      </c>
      <c r="AV362" s="81">
        <v>91.99</v>
      </c>
      <c r="AW362" s="24">
        <f t="shared" si="140"/>
        <v>12878.599999999999</v>
      </c>
      <c r="AX362" s="24">
        <f t="shared" si="152"/>
        <v>75.027440395861447</v>
      </c>
      <c r="AY362" s="24"/>
      <c r="AZ362" s="24"/>
      <c r="BA362" s="24"/>
      <c r="BB362" s="24">
        <f t="shared" si="147"/>
        <v>0</v>
      </c>
      <c r="BC362" s="24">
        <f t="shared" si="148"/>
        <v>5329.1000000000022</v>
      </c>
      <c r="BD362" s="24">
        <v>135</v>
      </c>
      <c r="BE362" s="24">
        <v>135</v>
      </c>
      <c r="BF362" s="24"/>
      <c r="BG362" s="24">
        <f>+AB362*9.5%</f>
        <v>2223</v>
      </c>
      <c r="BH362" s="24"/>
      <c r="BI362" s="24"/>
      <c r="BJ362" s="24">
        <f t="shared" si="149"/>
        <v>22.23</v>
      </c>
      <c r="BK362" s="24">
        <f t="shared" si="150"/>
        <v>7799.8700000000026</v>
      </c>
      <c r="BL362" s="24" t="s">
        <v>494</v>
      </c>
      <c r="BM362" s="42">
        <f t="shared" si="141"/>
        <v>3</v>
      </c>
      <c r="BN362" s="24" t="s">
        <v>139</v>
      </c>
      <c r="BO362" s="2" t="s">
        <v>175</v>
      </c>
    </row>
    <row r="363" spans="1:67" s="1" customFormat="1" ht="15" customHeight="1" x14ac:dyDescent="0.3">
      <c r="A363" s="20">
        <v>359</v>
      </c>
      <c r="B363" s="21">
        <v>46104</v>
      </c>
      <c r="C363" s="21">
        <v>46111</v>
      </c>
      <c r="D363" s="50" t="s">
        <v>611</v>
      </c>
      <c r="E363" s="23">
        <v>46111</v>
      </c>
      <c r="F363" s="23" t="s">
        <v>7</v>
      </c>
      <c r="G363" s="24" t="s">
        <v>68</v>
      </c>
      <c r="H363" s="24" t="s">
        <v>69</v>
      </c>
      <c r="I363" s="24" t="s">
        <v>70</v>
      </c>
      <c r="J363" s="25" t="s">
        <v>177</v>
      </c>
      <c r="K363" s="45" t="str">
        <f t="shared" si="142"/>
        <v>WB39B8916</v>
      </c>
      <c r="L363" s="26">
        <v>46106</v>
      </c>
      <c r="M363" s="34" t="s">
        <v>1963</v>
      </c>
      <c r="N363" s="27" t="s">
        <v>1964</v>
      </c>
      <c r="O363" s="28">
        <v>0</v>
      </c>
      <c r="P363" s="27" t="s">
        <v>1965</v>
      </c>
      <c r="Q363" s="29">
        <v>2525375255</v>
      </c>
      <c r="R363" s="30">
        <v>2110824982</v>
      </c>
      <c r="S363" s="31" t="s">
        <v>73</v>
      </c>
      <c r="T363" s="24" t="s">
        <v>91</v>
      </c>
      <c r="U363" s="24" t="s">
        <v>75</v>
      </c>
      <c r="V363" s="32" t="s">
        <v>179</v>
      </c>
      <c r="W363" s="32" t="s">
        <v>180</v>
      </c>
      <c r="X363" s="32" t="s">
        <v>180</v>
      </c>
      <c r="Y363" s="24">
        <v>1047</v>
      </c>
      <c r="Z363" s="24">
        <v>25</v>
      </c>
      <c r="AA363" s="24">
        <f t="shared" si="143"/>
        <v>994.65000000000009</v>
      </c>
      <c r="AB363" s="24">
        <f t="shared" si="136"/>
        <v>26175</v>
      </c>
      <c r="AC363" s="24">
        <f t="shared" si="137"/>
        <v>24866.25</v>
      </c>
      <c r="AD363" s="24">
        <f t="shared" si="138"/>
        <v>24866.250000000004</v>
      </c>
      <c r="AE363" s="24">
        <f t="shared" si="139"/>
        <v>1308.7499999999964</v>
      </c>
      <c r="AF363" s="24">
        <f t="shared" si="156"/>
        <v>248.66250000000005</v>
      </c>
      <c r="AG363" s="33">
        <v>3700</v>
      </c>
      <c r="AH363" s="24"/>
      <c r="AI363" s="24">
        <v>5000</v>
      </c>
      <c r="AJ363" s="24"/>
      <c r="AK363" s="24"/>
      <c r="AL363" s="24"/>
      <c r="AM363" s="24" t="s">
        <v>79</v>
      </c>
      <c r="AN363" s="34" t="s">
        <v>1966</v>
      </c>
      <c r="AO363" s="35" t="s">
        <v>1673</v>
      </c>
      <c r="AP363" s="24">
        <f>250*2</f>
        <v>500</v>
      </c>
      <c r="AQ363" s="36">
        <f t="shared" si="144"/>
        <v>153.84615384615384</v>
      </c>
      <c r="AR363" s="80">
        <v>158</v>
      </c>
      <c r="AS363" s="47">
        <f t="shared" si="145"/>
        <v>4.1538461538461604</v>
      </c>
      <c r="AT363" s="31"/>
      <c r="AU363" s="47">
        <f t="shared" si="146"/>
        <v>4.1538461538461604</v>
      </c>
      <c r="AV363" s="81">
        <v>91.99</v>
      </c>
      <c r="AW363" s="24">
        <f t="shared" si="140"/>
        <v>14534.42</v>
      </c>
      <c r="AX363" s="24">
        <f t="shared" si="152"/>
        <v>73.329995475795485</v>
      </c>
      <c r="AY363" s="24"/>
      <c r="AZ363" s="24"/>
      <c r="BA363" s="24"/>
      <c r="BB363" s="24">
        <f t="shared" si="147"/>
        <v>0</v>
      </c>
      <c r="BC363" s="24">
        <f t="shared" si="148"/>
        <v>1383.167500000005</v>
      </c>
      <c r="BD363" s="24"/>
      <c r="BE363" s="24"/>
      <c r="BF363" s="24"/>
      <c r="BG363" s="24">
        <f>+AD363*9.5%</f>
        <v>2362.2937500000003</v>
      </c>
      <c r="BH363" s="24"/>
      <c r="BI363" s="24"/>
      <c r="BJ363" s="24">
        <f t="shared" si="149"/>
        <v>23.622937500000003</v>
      </c>
      <c r="BK363" s="24">
        <f t="shared" si="150"/>
        <v>3721.8383125000055</v>
      </c>
      <c r="BL363" s="24" t="s">
        <v>182</v>
      </c>
      <c r="BM363" s="42">
        <f t="shared" si="141"/>
        <v>3</v>
      </c>
      <c r="BN363" s="24" t="s">
        <v>139</v>
      </c>
      <c r="BO363" s="2" t="s">
        <v>175</v>
      </c>
    </row>
    <row r="364" spans="1:67" s="1" customFormat="1" ht="15" customHeight="1" x14ac:dyDescent="0.3">
      <c r="A364" s="20">
        <v>360</v>
      </c>
      <c r="B364" s="21">
        <v>46104</v>
      </c>
      <c r="C364" s="21">
        <v>46107</v>
      </c>
      <c r="D364" s="50" t="s">
        <v>1355</v>
      </c>
      <c r="E364" s="23">
        <v>46108</v>
      </c>
      <c r="F364" s="23" t="s">
        <v>7</v>
      </c>
      <c r="G364" s="24" t="s">
        <v>68</v>
      </c>
      <c r="H364" s="24" t="s">
        <v>69</v>
      </c>
      <c r="I364" s="24" t="s">
        <v>397</v>
      </c>
      <c r="J364" s="25" t="s">
        <v>398</v>
      </c>
      <c r="K364" s="45" t="str">
        <f t="shared" si="142"/>
        <v>WB33C6016</v>
      </c>
      <c r="L364" s="26">
        <v>46106</v>
      </c>
      <c r="M364" s="34" t="s">
        <v>1967</v>
      </c>
      <c r="N364" s="27" t="s">
        <v>1968</v>
      </c>
      <c r="O364" s="28">
        <v>0</v>
      </c>
      <c r="P364" s="27" t="s">
        <v>1969</v>
      </c>
      <c r="Q364" s="29">
        <v>2525375478</v>
      </c>
      <c r="R364" s="30">
        <v>2110825163</v>
      </c>
      <c r="S364" s="31" t="s">
        <v>73</v>
      </c>
      <c r="T364" s="24" t="s">
        <v>74</v>
      </c>
      <c r="U364" s="24" t="s">
        <v>75</v>
      </c>
      <c r="V364" s="32" t="s">
        <v>805</v>
      </c>
      <c r="W364" s="32" t="s">
        <v>1950</v>
      </c>
      <c r="X364" s="32" t="s">
        <v>1950</v>
      </c>
      <c r="Y364" s="24">
        <v>365</v>
      </c>
      <c r="Z364" s="24">
        <v>19</v>
      </c>
      <c r="AA364" s="24">
        <f t="shared" si="143"/>
        <v>346.75</v>
      </c>
      <c r="AB364" s="24">
        <f t="shared" si="136"/>
        <v>6935</v>
      </c>
      <c r="AC364" s="24">
        <f t="shared" si="137"/>
        <v>6588.2499999999991</v>
      </c>
      <c r="AD364" s="24">
        <f t="shared" si="138"/>
        <v>6588.25</v>
      </c>
      <c r="AE364" s="24">
        <f t="shared" si="139"/>
        <v>346.75</v>
      </c>
      <c r="AF364" s="24">
        <f t="shared" si="156"/>
        <v>65.882500000000007</v>
      </c>
      <c r="AG364" s="33">
        <v>2600</v>
      </c>
      <c r="AH364" s="24"/>
      <c r="AI364" s="24"/>
      <c r="AJ364" s="24"/>
      <c r="AK364" s="24"/>
      <c r="AL364" s="24"/>
      <c r="AM364" s="24" t="s">
        <v>79</v>
      </c>
      <c r="AN364" s="34" t="s">
        <v>1970</v>
      </c>
      <c r="AO364" s="35" t="s">
        <v>1673</v>
      </c>
      <c r="AP364" s="24">
        <f>52*2</f>
        <v>104</v>
      </c>
      <c r="AQ364" s="36">
        <f t="shared" si="144"/>
        <v>32</v>
      </c>
      <c r="AR364" s="80">
        <v>35</v>
      </c>
      <c r="AS364" s="47">
        <f t="shared" si="145"/>
        <v>3</v>
      </c>
      <c r="AT364" s="31"/>
      <c r="AU364" s="47">
        <f t="shared" si="146"/>
        <v>3</v>
      </c>
      <c r="AV364" s="81">
        <v>91.99</v>
      </c>
      <c r="AW364" s="24">
        <f t="shared" si="140"/>
        <v>3219.6499999999996</v>
      </c>
      <c r="AX364" s="24">
        <f t="shared" si="152"/>
        <v>88.333776040678487</v>
      </c>
      <c r="AY364" s="24"/>
      <c r="AZ364" s="24"/>
      <c r="BA364" s="24"/>
      <c r="BB364" s="24">
        <f t="shared" si="147"/>
        <v>0</v>
      </c>
      <c r="BC364" s="24">
        <f t="shared" si="148"/>
        <v>702.71750000000065</v>
      </c>
      <c r="BD364" s="24">
        <v>110</v>
      </c>
      <c r="BE364" s="24">
        <v>110</v>
      </c>
      <c r="BF364" s="24"/>
      <c r="BG364" s="24">
        <f>+AD364*8.5%</f>
        <v>560.00125000000003</v>
      </c>
      <c r="BH364" s="24">
        <f>+AD364*8.5%</f>
        <v>560.00125000000003</v>
      </c>
      <c r="BI364" s="24"/>
      <c r="BJ364" s="24">
        <f t="shared" si="149"/>
        <v>11.200025</v>
      </c>
      <c r="BK364" s="24">
        <f t="shared" si="150"/>
        <v>2031.5199750000006</v>
      </c>
      <c r="BL364" s="24" t="s">
        <v>405</v>
      </c>
      <c r="BM364" s="42">
        <f t="shared" si="141"/>
        <v>3</v>
      </c>
      <c r="BN364" s="24" t="s">
        <v>139</v>
      </c>
      <c r="BO364" s="2" t="s">
        <v>175</v>
      </c>
    </row>
    <row r="365" spans="1:67" s="1" customFormat="1" ht="15" customHeight="1" x14ac:dyDescent="0.3">
      <c r="A365" s="20">
        <v>361</v>
      </c>
      <c r="B365" s="21">
        <v>46104</v>
      </c>
      <c r="C365" s="21">
        <v>46107</v>
      </c>
      <c r="D365" s="50" t="s">
        <v>1355</v>
      </c>
      <c r="E365" s="23">
        <v>46108</v>
      </c>
      <c r="F365" s="23" t="s">
        <v>7</v>
      </c>
      <c r="G365" s="24" t="s">
        <v>68</v>
      </c>
      <c r="H365" s="24" t="s">
        <v>69</v>
      </c>
      <c r="I365" s="24" t="s">
        <v>800</v>
      </c>
      <c r="J365" s="25" t="s">
        <v>801</v>
      </c>
      <c r="K365" s="45" t="str">
        <f t="shared" si="142"/>
        <v>WB41P4782</v>
      </c>
      <c r="L365" s="26">
        <v>46105</v>
      </c>
      <c r="M365" s="34" t="s">
        <v>1971</v>
      </c>
      <c r="N365" s="27" t="s">
        <v>1972</v>
      </c>
      <c r="O365" s="28">
        <v>0</v>
      </c>
      <c r="P365" s="27" t="s">
        <v>1973</v>
      </c>
      <c r="Q365" s="29">
        <v>2525375483</v>
      </c>
      <c r="R365" s="30">
        <v>2110825166</v>
      </c>
      <c r="S365" s="31" t="s">
        <v>73</v>
      </c>
      <c r="T365" s="24" t="s">
        <v>188</v>
      </c>
      <c r="U365" s="24" t="s">
        <v>75</v>
      </c>
      <c r="V365" s="32" t="s">
        <v>1949</v>
      </c>
      <c r="W365" s="32" t="s">
        <v>1950</v>
      </c>
      <c r="X365" s="32" t="s">
        <v>1950</v>
      </c>
      <c r="Y365" s="24">
        <v>409</v>
      </c>
      <c r="Z365" s="24">
        <v>13</v>
      </c>
      <c r="AA365" s="24">
        <f>+Y365/100*93</f>
        <v>380.37</v>
      </c>
      <c r="AB365" s="24">
        <f t="shared" si="136"/>
        <v>5317</v>
      </c>
      <c r="AC365" s="24">
        <f t="shared" si="137"/>
        <v>5051.1500000000005</v>
      </c>
      <c r="AD365" s="24">
        <f t="shared" si="138"/>
        <v>4944.8100000000004</v>
      </c>
      <c r="AE365" s="24">
        <f t="shared" si="139"/>
        <v>372.1899999999996</v>
      </c>
      <c r="AF365" s="24">
        <f t="shared" si="156"/>
        <v>49.448100000000004</v>
      </c>
      <c r="AG365" s="33">
        <v>1850</v>
      </c>
      <c r="AH365" s="24"/>
      <c r="AI365" s="24"/>
      <c r="AJ365" s="24"/>
      <c r="AK365" s="24"/>
      <c r="AL365" s="24"/>
      <c r="AM365" s="24" t="s">
        <v>79</v>
      </c>
      <c r="AN365" s="34" t="s">
        <v>1974</v>
      </c>
      <c r="AO365" s="35" t="s">
        <v>1673</v>
      </c>
      <c r="AP365" s="24">
        <f>66*2</f>
        <v>132</v>
      </c>
      <c r="AQ365" s="36">
        <f t="shared" si="144"/>
        <v>40.615384615384613</v>
      </c>
      <c r="AR365" s="80">
        <v>20</v>
      </c>
      <c r="AS365" s="47">
        <f t="shared" si="145"/>
        <v>-20.615384615384613</v>
      </c>
      <c r="AT365" s="31"/>
      <c r="AU365" s="47">
        <f t="shared" si="146"/>
        <v>-20.615384615384613</v>
      </c>
      <c r="AV365" s="81">
        <v>91.99</v>
      </c>
      <c r="AW365" s="24">
        <f t="shared" si="140"/>
        <v>1839.8</v>
      </c>
      <c r="AX365" s="24">
        <f t="shared" si="152"/>
        <v>74.619651715637204</v>
      </c>
      <c r="AY365" s="24"/>
      <c r="AZ365" s="24"/>
      <c r="BA365" s="24"/>
      <c r="BB365" s="24">
        <f t="shared" si="147"/>
        <v>0</v>
      </c>
      <c r="BC365" s="24">
        <f t="shared" si="148"/>
        <v>1205.5619000000008</v>
      </c>
      <c r="BD365" s="24">
        <v>40</v>
      </c>
      <c r="BE365" s="24">
        <v>40</v>
      </c>
      <c r="BF365" s="24"/>
      <c r="BG365" s="24">
        <f>+AB365*9.5%</f>
        <v>505.11500000000001</v>
      </c>
      <c r="BH365" s="24"/>
      <c r="BI365" s="24"/>
      <c r="BJ365" s="24">
        <f t="shared" si="149"/>
        <v>5.0511499999999998</v>
      </c>
      <c r="BK365" s="24">
        <f t="shared" si="150"/>
        <v>1785.6257500000008</v>
      </c>
      <c r="BL365" s="24" t="s">
        <v>807</v>
      </c>
      <c r="BM365" s="42">
        <f t="shared" si="141"/>
        <v>2</v>
      </c>
      <c r="BN365" s="24" t="s">
        <v>83</v>
      </c>
      <c r="BO365" s="2" t="s">
        <v>148</v>
      </c>
    </row>
    <row r="366" spans="1:67" s="1" customFormat="1" ht="15" customHeight="1" x14ac:dyDescent="0.3">
      <c r="A366" s="20">
        <v>362</v>
      </c>
      <c r="B366" s="21">
        <v>46104</v>
      </c>
      <c r="C366" s="21">
        <v>46107</v>
      </c>
      <c r="D366" s="50" t="s">
        <v>1815</v>
      </c>
      <c r="E366" s="23">
        <v>46108</v>
      </c>
      <c r="F366" s="23" t="s">
        <v>7</v>
      </c>
      <c r="G366" s="24" t="s">
        <v>68</v>
      </c>
      <c r="H366" s="24" t="s">
        <v>69</v>
      </c>
      <c r="I366" s="24" t="s">
        <v>88</v>
      </c>
      <c r="J366" s="25" t="s">
        <v>194</v>
      </c>
      <c r="K366" s="45" t="str">
        <f t="shared" si="142"/>
        <v>WB67A2373</v>
      </c>
      <c r="L366" s="26">
        <v>46106</v>
      </c>
      <c r="M366" s="34" t="s">
        <v>1975</v>
      </c>
      <c r="N366" s="27" t="s">
        <v>1976</v>
      </c>
      <c r="O366" s="28">
        <v>0</v>
      </c>
      <c r="P366" s="27" t="s">
        <v>1977</v>
      </c>
      <c r="Q366" s="29">
        <v>2525375494</v>
      </c>
      <c r="R366" s="30">
        <v>2110825211</v>
      </c>
      <c r="S366" s="31" t="s">
        <v>73</v>
      </c>
      <c r="T366" s="24" t="s">
        <v>74</v>
      </c>
      <c r="U366" s="24" t="s">
        <v>75</v>
      </c>
      <c r="V366" s="32" t="s">
        <v>562</v>
      </c>
      <c r="W366" s="32" t="s">
        <v>563</v>
      </c>
      <c r="X366" s="32" t="s">
        <v>563</v>
      </c>
      <c r="Y366" s="24">
        <v>597</v>
      </c>
      <c r="Z366" s="24">
        <v>19</v>
      </c>
      <c r="AA366" s="24">
        <f t="shared" si="143"/>
        <v>567.15</v>
      </c>
      <c r="AB366" s="24">
        <f t="shared" si="136"/>
        <v>11343</v>
      </c>
      <c r="AC366" s="24">
        <f t="shared" si="137"/>
        <v>10775.85</v>
      </c>
      <c r="AD366" s="24">
        <f t="shared" si="138"/>
        <v>10775.85</v>
      </c>
      <c r="AE366" s="24">
        <f t="shared" si="139"/>
        <v>567.14999999999964</v>
      </c>
      <c r="AF366" s="24">
        <f t="shared" si="156"/>
        <v>107.75850000000001</v>
      </c>
      <c r="AG366" s="33">
        <v>2800</v>
      </c>
      <c r="AH366" s="24"/>
      <c r="AI366" s="24"/>
      <c r="AJ366" s="24"/>
      <c r="AK366" s="24"/>
      <c r="AL366" s="24"/>
      <c r="AM366" s="24" t="s">
        <v>79</v>
      </c>
      <c r="AN366" s="34" t="s">
        <v>1978</v>
      </c>
      <c r="AO366" s="35" t="s">
        <v>1673</v>
      </c>
      <c r="AP366" s="24">
        <f>105*2</f>
        <v>210</v>
      </c>
      <c r="AQ366" s="36">
        <f t="shared" si="144"/>
        <v>64.615384615384613</v>
      </c>
      <c r="AR366" s="80">
        <v>60</v>
      </c>
      <c r="AS366" s="47">
        <f t="shared" si="145"/>
        <v>-4.6153846153846132</v>
      </c>
      <c r="AT366" s="31"/>
      <c r="AU366" s="47">
        <f t="shared" si="146"/>
        <v>-4.6153846153846132</v>
      </c>
      <c r="AV366" s="81">
        <v>91.99</v>
      </c>
      <c r="AW366" s="24">
        <f t="shared" si="140"/>
        <v>5519.4</v>
      </c>
      <c r="AX366" s="24">
        <f t="shared" si="152"/>
        <v>77.204118468612677</v>
      </c>
      <c r="AY366" s="24"/>
      <c r="AZ366" s="24"/>
      <c r="BA366" s="24"/>
      <c r="BB366" s="24">
        <f t="shared" si="147"/>
        <v>0</v>
      </c>
      <c r="BC366" s="24">
        <f t="shared" si="148"/>
        <v>2348.6915000000008</v>
      </c>
      <c r="BD366" s="24">
        <v>110</v>
      </c>
      <c r="BE366" s="24">
        <v>110</v>
      </c>
      <c r="BF366" s="24"/>
      <c r="BG366" s="24">
        <f>+AD366*8.5%</f>
        <v>915.94725000000005</v>
      </c>
      <c r="BH366" s="24">
        <f>+AD366*8.5%</f>
        <v>915.94725000000005</v>
      </c>
      <c r="BI366" s="24"/>
      <c r="BJ366" s="24">
        <f t="shared" si="149"/>
        <v>18.318945000000003</v>
      </c>
      <c r="BK366" s="24">
        <f t="shared" si="150"/>
        <v>4382.2670550000012</v>
      </c>
      <c r="BL366" s="24" t="s">
        <v>82</v>
      </c>
      <c r="BM366" s="42">
        <f t="shared" si="141"/>
        <v>3</v>
      </c>
      <c r="BN366" s="24" t="s">
        <v>139</v>
      </c>
      <c r="BO366" s="2" t="s">
        <v>84</v>
      </c>
    </row>
    <row r="367" spans="1:67" s="1" customFormat="1" ht="15" customHeight="1" x14ac:dyDescent="0.3">
      <c r="A367" s="20">
        <v>363</v>
      </c>
      <c r="B367" s="21">
        <v>46104</v>
      </c>
      <c r="C367" s="21">
        <v>46111</v>
      </c>
      <c r="D367" s="50" t="s">
        <v>611</v>
      </c>
      <c r="E367" s="23">
        <v>46111</v>
      </c>
      <c r="F367" s="23" t="s">
        <v>7</v>
      </c>
      <c r="G367" s="24" t="s">
        <v>68</v>
      </c>
      <c r="H367" s="24" t="s">
        <v>69</v>
      </c>
      <c r="I367" s="24" t="s">
        <v>117</v>
      </c>
      <c r="J367" s="25" t="s">
        <v>118</v>
      </c>
      <c r="K367" s="45" t="str">
        <f t="shared" si="142"/>
        <v>WB37E6348</v>
      </c>
      <c r="L367" s="26">
        <v>46105</v>
      </c>
      <c r="M367" s="34" t="s">
        <v>1979</v>
      </c>
      <c r="N367" s="27" t="s">
        <v>1980</v>
      </c>
      <c r="O367" s="28">
        <v>0</v>
      </c>
      <c r="P367" s="27" t="s">
        <v>1981</v>
      </c>
      <c r="Q367" s="29">
        <v>2525375565</v>
      </c>
      <c r="R367" s="30">
        <v>2110825261</v>
      </c>
      <c r="S367" s="31" t="s">
        <v>73</v>
      </c>
      <c r="T367" s="24" t="s">
        <v>91</v>
      </c>
      <c r="U367" s="24" t="s">
        <v>75</v>
      </c>
      <c r="V367" s="32" t="s">
        <v>1982</v>
      </c>
      <c r="W367" s="32" t="s">
        <v>153</v>
      </c>
      <c r="X367" s="32" t="s">
        <v>153</v>
      </c>
      <c r="Y367" s="24">
        <v>1035</v>
      </c>
      <c r="Z367" s="24">
        <v>25</v>
      </c>
      <c r="AA367" s="24">
        <f t="shared" si="143"/>
        <v>983.25</v>
      </c>
      <c r="AB367" s="24">
        <f t="shared" si="136"/>
        <v>25875</v>
      </c>
      <c r="AC367" s="24">
        <f t="shared" si="137"/>
        <v>24581.25</v>
      </c>
      <c r="AD367" s="24">
        <f t="shared" si="138"/>
        <v>24581.25</v>
      </c>
      <c r="AE367" s="24">
        <f t="shared" si="139"/>
        <v>1293.75</v>
      </c>
      <c r="AF367" s="24">
        <v>0</v>
      </c>
      <c r="AG367" s="31">
        <v>8500</v>
      </c>
      <c r="AH367" s="24"/>
      <c r="AI367" s="24"/>
      <c r="AJ367" s="24"/>
      <c r="AK367" s="24"/>
      <c r="AL367" s="24"/>
      <c r="AM367" s="24" t="s">
        <v>79</v>
      </c>
      <c r="AN367" s="34" t="s">
        <v>1983</v>
      </c>
      <c r="AO367" s="35" t="s">
        <v>1673</v>
      </c>
      <c r="AP367" s="24">
        <f>229*2</f>
        <v>458</v>
      </c>
      <c r="AQ367" s="36">
        <f t="shared" si="144"/>
        <v>140.92307692307693</v>
      </c>
      <c r="AR367" s="80">
        <v>150</v>
      </c>
      <c r="AS367" s="47">
        <f t="shared" si="145"/>
        <v>9.076923076923066</v>
      </c>
      <c r="AT367" s="31"/>
      <c r="AU367" s="47">
        <f t="shared" si="146"/>
        <v>9.076923076923066</v>
      </c>
      <c r="AV367" s="81">
        <v>91.99</v>
      </c>
      <c r="AW367" s="24">
        <f t="shared" si="140"/>
        <v>13798.5</v>
      </c>
      <c r="AX367" s="24">
        <f t="shared" si="152"/>
        <v>90.713450292397653</v>
      </c>
      <c r="AY367" s="24"/>
      <c r="AZ367" s="24"/>
      <c r="BA367" s="24"/>
      <c r="BB367" s="24">
        <f t="shared" si="147"/>
        <v>0</v>
      </c>
      <c r="BC367" s="24">
        <f t="shared" si="148"/>
        <v>2282.75</v>
      </c>
      <c r="BD367" s="24"/>
      <c r="BE367" s="24"/>
      <c r="BF367" s="24"/>
      <c r="BG367" s="24">
        <f>+AB367*9.5%</f>
        <v>2458.125</v>
      </c>
      <c r="BH367" s="24"/>
      <c r="BI367" s="24"/>
      <c r="BJ367" s="24">
        <f t="shared" si="149"/>
        <v>24.581250000000001</v>
      </c>
      <c r="BK367" s="24">
        <f t="shared" si="150"/>
        <v>4716.2937499999998</v>
      </c>
      <c r="BL367" s="24" t="s">
        <v>121</v>
      </c>
      <c r="BM367" s="42">
        <f t="shared" si="141"/>
        <v>2</v>
      </c>
      <c r="BN367" s="24" t="s">
        <v>83</v>
      </c>
      <c r="BO367" s="2" t="s">
        <v>84</v>
      </c>
    </row>
    <row r="368" spans="1:67" s="1" customFormat="1" ht="15" customHeight="1" x14ac:dyDescent="0.3">
      <c r="A368" s="20">
        <v>364</v>
      </c>
      <c r="B368" s="21">
        <v>46104</v>
      </c>
      <c r="C368" s="21">
        <v>46107</v>
      </c>
      <c r="D368" s="50" t="s">
        <v>1815</v>
      </c>
      <c r="E368" s="23">
        <v>46108</v>
      </c>
      <c r="F368" s="23" t="s">
        <v>7</v>
      </c>
      <c r="G368" s="24" t="s">
        <v>68</v>
      </c>
      <c r="H368" s="24" t="s">
        <v>69</v>
      </c>
      <c r="I368" s="24" t="s">
        <v>166</v>
      </c>
      <c r="J368" s="25" t="s">
        <v>360</v>
      </c>
      <c r="K368" s="45" t="str">
        <f t="shared" si="142"/>
        <v>WB41H6585</v>
      </c>
      <c r="L368" s="26">
        <v>46105</v>
      </c>
      <c r="M368" s="34" t="s">
        <v>1984</v>
      </c>
      <c r="N368" s="27" t="s">
        <v>1985</v>
      </c>
      <c r="O368" s="28">
        <v>0</v>
      </c>
      <c r="P368" s="27" t="s">
        <v>1986</v>
      </c>
      <c r="Q368" s="29">
        <v>2525375514</v>
      </c>
      <c r="R368" s="30">
        <v>2110825214</v>
      </c>
      <c r="S368" s="31" t="s">
        <v>73</v>
      </c>
      <c r="T368" s="24" t="s">
        <v>91</v>
      </c>
      <c r="U368" s="24" t="s">
        <v>75</v>
      </c>
      <c r="V368" s="32" t="s">
        <v>1196</v>
      </c>
      <c r="W368" s="32" t="s">
        <v>1197</v>
      </c>
      <c r="X368" s="32" t="s">
        <v>1197</v>
      </c>
      <c r="Y368" s="24">
        <v>1081</v>
      </c>
      <c r="Z368" s="24">
        <v>25</v>
      </c>
      <c r="AA368" s="24">
        <f t="shared" si="143"/>
        <v>1026.95</v>
      </c>
      <c r="AB368" s="24">
        <f t="shared" si="136"/>
        <v>27025</v>
      </c>
      <c r="AC368" s="24">
        <f t="shared" si="137"/>
        <v>25673.75</v>
      </c>
      <c r="AD368" s="24">
        <f t="shared" si="138"/>
        <v>25673.75</v>
      </c>
      <c r="AE368" s="24">
        <f t="shared" si="139"/>
        <v>1351.25</v>
      </c>
      <c r="AF368" s="24">
        <v>0</v>
      </c>
      <c r="AG368" s="33">
        <v>3600</v>
      </c>
      <c r="AH368" s="24"/>
      <c r="AI368" s="24"/>
      <c r="AJ368" s="24"/>
      <c r="AK368" s="24"/>
      <c r="AL368" s="24"/>
      <c r="AM368" s="24" t="s">
        <v>79</v>
      </c>
      <c r="AN368" s="34" t="s">
        <v>1987</v>
      </c>
      <c r="AO368" s="35" t="s">
        <v>1673</v>
      </c>
      <c r="AP368" s="24">
        <f>294*2</f>
        <v>588</v>
      </c>
      <c r="AQ368" s="36">
        <f t="shared" si="144"/>
        <v>180.92307692307693</v>
      </c>
      <c r="AR368" s="80">
        <v>152</v>
      </c>
      <c r="AS368" s="47">
        <f t="shared" si="145"/>
        <v>-28.923076923076934</v>
      </c>
      <c r="AT368" s="31"/>
      <c r="AU368" s="47">
        <f t="shared" si="146"/>
        <v>-28.923076923076934</v>
      </c>
      <c r="AV368" s="81">
        <v>91.99</v>
      </c>
      <c r="AW368" s="24">
        <f t="shared" si="140"/>
        <v>13982.48</v>
      </c>
      <c r="AX368" s="24">
        <f t="shared" si="152"/>
        <v>68.484268951750323</v>
      </c>
      <c r="AY368" s="24"/>
      <c r="AZ368" s="24"/>
      <c r="BA368" s="24"/>
      <c r="BB368" s="24">
        <f t="shared" si="147"/>
        <v>0</v>
      </c>
      <c r="BC368" s="24">
        <f t="shared" si="148"/>
        <v>8091.27</v>
      </c>
      <c r="BD368" s="24">
        <v>135</v>
      </c>
      <c r="BE368" s="24">
        <v>135</v>
      </c>
      <c r="BF368" s="24"/>
      <c r="BG368" s="24">
        <f>+AB368*9.5%</f>
        <v>2567.375</v>
      </c>
      <c r="BH368" s="24"/>
      <c r="BI368" s="24"/>
      <c r="BJ368" s="24">
        <f t="shared" si="149"/>
        <v>25.673750000000002</v>
      </c>
      <c r="BK368" s="24">
        <f t="shared" si="150"/>
        <v>10902.971250000001</v>
      </c>
      <c r="BL368" s="24" t="s">
        <v>365</v>
      </c>
      <c r="BM368" s="42">
        <f t="shared" si="141"/>
        <v>2</v>
      </c>
      <c r="BN368" s="24" t="s">
        <v>83</v>
      </c>
      <c r="BO368" s="2" t="s">
        <v>129</v>
      </c>
    </row>
    <row r="369" spans="1:67" s="1" customFormat="1" ht="15" customHeight="1" x14ac:dyDescent="0.3">
      <c r="A369" s="20">
        <v>365</v>
      </c>
      <c r="B369" s="21">
        <v>46105</v>
      </c>
      <c r="C369" s="21">
        <v>46111</v>
      </c>
      <c r="D369" s="50" t="s">
        <v>1734</v>
      </c>
      <c r="E369" s="23">
        <v>46151</v>
      </c>
      <c r="F369" s="23" t="s">
        <v>7</v>
      </c>
      <c r="G369" s="24" t="s">
        <v>68</v>
      </c>
      <c r="H369" s="24" t="s">
        <v>69</v>
      </c>
      <c r="I369" s="24" t="s">
        <v>236</v>
      </c>
      <c r="J369" s="25" t="s">
        <v>366</v>
      </c>
      <c r="K369" s="45" t="str">
        <f t="shared" si="142"/>
        <v>WB41J5775</v>
      </c>
      <c r="L369" s="26">
        <v>46107</v>
      </c>
      <c r="M369" s="34" t="s">
        <v>1988</v>
      </c>
      <c r="N369" s="27" t="s">
        <v>1989</v>
      </c>
      <c r="O369" s="28">
        <v>0</v>
      </c>
      <c r="P369" s="27" t="s">
        <v>1990</v>
      </c>
      <c r="Q369" s="29">
        <v>2525376306</v>
      </c>
      <c r="R369" s="30">
        <v>2110825804</v>
      </c>
      <c r="S369" s="31" t="s">
        <v>73</v>
      </c>
      <c r="T369" s="24" t="s">
        <v>91</v>
      </c>
      <c r="U369" s="24" t="s">
        <v>75</v>
      </c>
      <c r="V369" s="32" t="s">
        <v>1738</v>
      </c>
      <c r="W369" s="32" t="s">
        <v>1739</v>
      </c>
      <c r="X369" s="32" t="s">
        <v>1991</v>
      </c>
      <c r="Y369" s="24">
        <v>1311</v>
      </c>
      <c r="Z369" s="24">
        <v>25</v>
      </c>
      <c r="AA369" s="24">
        <f t="shared" si="143"/>
        <v>1245.45</v>
      </c>
      <c r="AB369" s="24">
        <f t="shared" si="136"/>
        <v>32775</v>
      </c>
      <c r="AC369" s="24">
        <f t="shared" si="137"/>
        <v>31136.25</v>
      </c>
      <c r="AD369" s="24">
        <f t="shared" si="138"/>
        <v>31136.25</v>
      </c>
      <c r="AE369" s="24">
        <f t="shared" si="139"/>
        <v>1638.75</v>
      </c>
      <c r="AF369" s="24">
        <v>0</v>
      </c>
      <c r="AG369" s="33">
        <v>4200</v>
      </c>
      <c r="AH369" s="24"/>
      <c r="AI369" s="24"/>
      <c r="AJ369" s="24"/>
      <c r="AK369" s="24"/>
      <c r="AL369" s="24"/>
      <c r="AM369" s="24" t="s">
        <v>79</v>
      </c>
      <c r="AN369" s="34" t="s">
        <v>1992</v>
      </c>
      <c r="AO369" s="35" t="s">
        <v>1673</v>
      </c>
      <c r="AP369" s="24">
        <f>332*2</f>
        <v>664</v>
      </c>
      <c r="AQ369" s="36">
        <f t="shared" si="144"/>
        <v>204.30769230769232</v>
      </c>
      <c r="AR369" s="80">
        <v>205</v>
      </c>
      <c r="AS369" s="47">
        <f t="shared" si="145"/>
        <v>0.69230769230767919</v>
      </c>
      <c r="AT369" s="31"/>
      <c r="AU369" s="47">
        <f t="shared" si="146"/>
        <v>0.69230769230767919</v>
      </c>
      <c r="AV369" s="81">
        <v>91.88</v>
      </c>
      <c r="AW369" s="24">
        <f t="shared" si="140"/>
        <v>18835.399999999998</v>
      </c>
      <c r="AX369" s="24">
        <f t="shared" si="152"/>
        <v>73.982576578746631</v>
      </c>
      <c r="AY369" s="24"/>
      <c r="AZ369" s="24"/>
      <c r="BA369" s="24"/>
      <c r="BB369" s="24">
        <f t="shared" si="147"/>
        <v>0</v>
      </c>
      <c r="BC369" s="24">
        <f t="shared" si="148"/>
        <v>8100.8500000000022</v>
      </c>
      <c r="BD369" s="24">
        <v>135</v>
      </c>
      <c r="BE369" s="24">
        <v>135</v>
      </c>
      <c r="BF369" s="24"/>
      <c r="BG369" s="24">
        <f>+AB369*9.5%</f>
        <v>3113.625</v>
      </c>
      <c r="BH369" s="24"/>
      <c r="BI369" s="24"/>
      <c r="BJ369" s="24">
        <f t="shared" si="149"/>
        <v>31.13625</v>
      </c>
      <c r="BK369" s="24">
        <f t="shared" si="150"/>
        <v>11453.338750000003</v>
      </c>
      <c r="BL369" s="24" t="s">
        <v>245</v>
      </c>
      <c r="BM369" s="42">
        <f t="shared" si="141"/>
        <v>3</v>
      </c>
      <c r="BN369" s="24" t="s">
        <v>139</v>
      </c>
      <c r="BO369" s="2" t="s">
        <v>129</v>
      </c>
    </row>
    <row r="370" spans="1:67" s="1" customFormat="1" ht="15" customHeight="1" x14ac:dyDescent="0.3">
      <c r="A370" s="20">
        <v>366</v>
      </c>
      <c r="B370" s="21">
        <v>46105</v>
      </c>
      <c r="C370" s="21">
        <v>46111</v>
      </c>
      <c r="D370" s="73" t="s">
        <v>1993</v>
      </c>
      <c r="E370" s="23">
        <v>46111</v>
      </c>
      <c r="F370" s="23" t="s">
        <v>7</v>
      </c>
      <c r="G370" s="24" t="s">
        <v>68</v>
      </c>
      <c r="H370" s="24" t="s">
        <v>69</v>
      </c>
      <c r="I370" s="24" t="s">
        <v>70</v>
      </c>
      <c r="J370" s="25" t="s">
        <v>650</v>
      </c>
      <c r="K370" s="45" t="str">
        <f t="shared" si="142"/>
        <v>WB39B0926</v>
      </c>
      <c r="L370" s="26">
        <v>46106</v>
      </c>
      <c r="M370" s="34" t="s">
        <v>1994</v>
      </c>
      <c r="N370" s="27" t="s">
        <v>1995</v>
      </c>
      <c r="O370" s="28">
        <v>0</v>
      </c>
      <c r="P370" s="27" t="s">
        <v>1996</v>
      </c>
      <c r="Q370" s="29">
        <v>2525376352</v>
      </c>
      <c r="R370" s="30">
        <v>2110825887</v>
      </c>
      <c r="S370" s="31" t="s">
        <v>73</v>
      </c>
      <c r="T370" s="24" t="s">
        <v>91</v>
      </c>
      <c r="U370" s="24" t="s">
        <v>75</v>
      </c>
      <c r="V370" s="32" t="s">
        <v>1997</v>
      </c>
      <c r="W370" s="32" t="s">
        <v>1998</v>
      </c>
      <c r="X370" s="32"/>
      <c r="Y370" s="24">
        <v>1053</v>
      </c>
      <c r="Z370" s="24">
        <v>25</v>
      </c>
      <c r="AA370" s="24">
        <f t="shared" si="143"/>
        <v>1000.3499999999999</v>
      </c>
      <c r="AB370" s="24">
        <f t="shared" si="136"/>
        <v>26325</v>
      </c>
      <c r="AC370" s="24">
        <f t="shared" si="137"/>
        <v>25008.75</v>
      </c>
      <c r="AD370" s="24">
        <f t="shared" si="138"/>
        <v>25008.749999999996</v>
      </c>
      <c r="AE370" s="24">
        <f t="shared" si="139"/>
        <v>1316.2500000000036</v>
      </c>
      <c r="AF370" s="24">
        <v>0</v>
      </c>
      <c r="AG370" s="33">
        <v>7700</v>
      </c>
      <c r="AH370" s="24"/>
      <c r="AI370" s="24"/>
      <c r="AJ370" s="24"/>
      <c r="AK370" s="24"/>
      <c r="AL370" s="24"/>
      <c r="AM370" s="24" t="s">
        <v>79</v>
      </c>
      <c r="AN370" s="34" t="s">
        <v>1999</v>
      </c>
      <c r="AO370" s="35" t="s">
        <v>1673</v>
      </c>
      <c r="AP370" s="24">
        <f>233*2</f>
        <v>466</v>
      </c>
      <c r="AQ370" s="36">
        <f t="shared" si="144"/>
        <v>143.38461538461539</v>
      </c>
      <c r="AR370" s="80">
        <v>135</v>
      </c>
      <c r="AS370" s="47">
        <f t="shared" si="145"/>
        <v>-8.3846153846153868</v>
      </c>
      <c r="AT370" s="31"/>
      <c r="AU370" s="47">
        <f t="shared" si="146"/>
        <v>-8.3846153846153868</v>
      </c>
      <c r="AV370" s="81">
        <v>91.99</v>
      </c>
      <c r="AW370" s="24">
        <f t="shared" si="140"/>
        <v>12418.65</v>
      </c>
      <c r="AX370" s="24">
        <f t="shared" si="152"/>
        <v>80.446443744689375</v>
      </c>
      <c r="AY370" s="24"/>
      <c r="AZ370" s="24"/>
      <c r="BA370" s="24"/>
      <c r="BB370" s="24">
        <f t="shared" si="147"/>
        <v>0</v>
      </c>
      <c r="BC370" s="24">
        <f t="shared" si="148"/>
        <v>4890.0999999999967</v>
      </c>
      <c r="BD370" s="24"/>
      <c r="BE370" s="24"/>
      <c r="BF370" s="24"/>
      <c r="BG370" s="24">
        <f>+AB370*9.5%</f>
        <v>2500.875</v>
      </c>
      <c r="BH370" s="24"/>
      <c r="BI370" s="24"/>
      <c r="BJ370" s="24">
        <f t="shared" si="149"/>
        <v>25.008749999999999</v>
      </c>
      <c r="BK370" s="24">
        <f t="shared" si="150"/>
        <v>7365.9662499999968</v>
      </c>
      <c r="BL370" s="24" t="s">
        <v>657</v>
      </c>
      <c r="BM370" s="42">
        <f t="shared" si="141"/>
        <v>2</v>
      </c>
      <c r="BN370" s="24" t="s">
        <v>83</v>
      </c>
      <c r="BO370" s="2" t="s">
        <v>175</v>
      </c>
    </row>
    <row r="371" spans="1:67" s="1" customFormat="1" ht="15" customHeight="1" x14ac:dyDescent="0.3">
      <c r="A371" s="20">
        <v>367</v>
      </c>
      <c r="B371" s="21">
        <v>46105</v>
      </c>
      <c r="C371" s="21">
        <v>46119</v>
      </c>
      <c r="D371" s="50" t="s">
        <v>2000</v>
      </c>
      <c r="E371" s="23">
        <v>46120</v>
      </c>
      <c r="F371" s="23" t="s">
        <v>7</v>
      </c>
      <c r="G371" s="24" t="s">
        <v>87</v>
      </c>
      <c r="H371" s="24" t="s">
        <v>69</v>
      </c>
      <c r="I371" s="24" t="s">
        <v>70</v>
      </c>
      <c r="J371" s="25" t="s">
        <v>612</v>
      </c>
      <c r="K371" s="45" t="str">
        <f t="shared" si="142"/>
        <v>WB39B2382</v>
      </c>
      <c r="L371" s="26">
        <v>46107</v>
      </c>
      <c r="M371" s="34" t="s">
        <v>2001</v>
      </c>
      <c r="N371" s="27" t="s">
        <v>2002</v>
      </c>
      <c r="O371" s="28">
        <v>0</v>
      </c>
      <c r="P371" s="27"/>
      <c r="Q371" s="29">
        <v>2525376383</v>
      </c>
      <c r="R371" s="30">
        <v>2110825931</v>
      </c>
      <c r="S371" s="31" t="s">
        <v>73</v>
      </c>
      <c r="T371" s="31" t="s">
        <v>91</v>
      </c>
      <c r="U371" s="31" t="s">
        <v>75</v>
      </c>
      <c r="V371" s="46" t="s">
        <v>2003</v>
      </c>
      <c r="W371" s="46" t="s">
        <v>2004</v>
      </c>
      <c r="X371" s="32" t="s">
        <v>2004</v>
      </c>
      <c r="Y371" s="24">
        <v>778</v>
      </c>
      <c r="Z371" s="24">
        <v>15</v>
      </c>
      <c r="AA371" s="24">
        <f t="shared" si="143"/>
        <v>739.1</v>
      </c>
      <c r="AB371" s="24">
        <f t="shared" si="136"/>
        <v>11670</v>
      </c>
      <c r="AC371" s="24">
        <f t="shared" si="137"/>
        <v>11086.5</v>
      </c>
      <c r="AD371" s="24">
        <f t="shared" si="138"/>
        <v>11086.5</v>
      </c>
      <c r="AE371" s="24">
        <f t="shared" si="139"/>
        <v>583.5</v>
      </c>
      <c r="AF371" s="24">
        <f t="shared" ref="AF371:AF389" si="157">+AD371*1%</f>
        <v>110.86500000000001</v>
      </c>
      <c r="AG371" s="33">
        <v>4700</v>
      </c>
      <c r="AH371" s="24"/>
      <c r="AI371" s="24"/>
      <c r="AJ371" s="24"/>
      <c r="AK371" s="24"/>
      <c r="AL371" s="24"/>
      <c r="AM371" s="24" t="s">
        <v>79</v>
      </c>
      <c r="AN371" s="34" t="s">
        <v>2005</v>
      </c>
      <c r="AO371" s="35" t="s">
        <v>1673</v>
      </c>
      <c r="AP371" s="24">
        <f>187*2</f>
        <v>374</v>
      </c>
      <c r="AQ371" s="36">
        <f t="shared" si="144"/>
        <v>115.07692307692308</v>
      </c>
      <c r="AR371" s="80">
        <v>123</v>
      </c>
      <c r="AS371" s="47">
        <f t="shared" si="145"/>
        <v>7.9230769230769198</v>
      </c>
      <c r="AT371" s="31"/>
      <c r="AU371" s="47">
        <f t="shared" si="146"/>
        <v>7.9230769230769198</v>
      </c>
      <c r="AV371" s="81">
        <v>91.99</v>
      </c>
      <c r="AW371" s="24">
        <f t="shared" si="140"/>
        <v>11314.769999999999</v>
      </c>
      <c r="AX371" s="24">
        <f t="shared" si="152"/>
        <v>144.45289315834572</v>
      </c>
      <c r="AY371" s="24"/>
      <c r="AZ371" s="24"/>
      <c r="BA371" s="24"/>
      <c r="BB371" s="24">
        <f t="shared" si="147"/>
        <v>0</v>
      </c>
      <c r="BC371" s="24">
        <f t="shared" si="148"/>
        <v>-5039.1349999999984</v>
      </c>
      <c r="BD371" s="24"/>
      <c r="BE371" s="24"/>
      <c r="BF371" s="24"/>
      <c r="BG371" s="24">
        <f t="shared" ref="BG371:BG372" si="158">+AD371*9.5%</f>
        <v>1053.2175</v>
      </c>
      <c r="BH371" s="24"/>
      <c r="BI371" s="24"/>
      <c r="BJ371" s="24">
        <f t="shared" si="149"/>
        <v>10.532175000000001</v>
      </c>
      <c r="BK371" s="24">
        <f t="shared" si="150"/>
        <v>-3996.4496749999985</v>
      </c>
      <c r="BL371" s="24" t="s">
        <v>618</v>
      </c>
      <c r="BM371" s="42">
        <f t="shared" si="141"/>
        <v>3</v>
      </c>
      <c r="BN371" s="24" t="s">
        <v>139</v>
      </c>
      <c r="BO371" s="2" t="s">
        <v>175</v>
      </c>
    </row>
    <row r="372" spans="1:67" s="1" customFormat="1" ht="15" customHeight="1" x14ac:dyDescent="0.3">
      <c r="A372" s="20">
        <v>368</v>
      </c>
      <c r="B372" s="21">
        <v>46105</v>
      </c>
      <c r="C372" s="21">
        <v>46119</v>
      </c>
      <c r="D372" s="50" t="s">
        <v>2000</v>
      </c>
      <c r="E372" s="23">
        <v>46120</v>
      </c>
      <c r="F372" s="23" t="s">
        <v>7</v>
      </c>
      <c r="G372" s="24" t="s">
        <v>87</v>
      </c>
      <c r="H372" s="24" t="s">
        <v>69</v>
      </c>
      <c r="I372" s="24" t="s">
        <v>70</v>
      </c>
      <c r="J372" s="25" t="s">
        <v>612</v>
      </c>
      <c r="K372" s="45" t="str">
        <f t="shared" si="142"/>
        <v>WB39B2382</v>
      </c>
      <c r="L372" s="26">
        <v>46107</v>
      </c>
      <c r="M372" s="34" t="s">
        <v>2006</v>
      </c>
      <c r="N372" s="27" t="s">
        <v>2007</v>
      </c>
      <c r="O372" s="28">
        <v>0</v>
      </c>
      <c r="P372" s="27"/>
      <c r="Q372" s="29">
        <v>2525376382</v>
      </c>
      <c r="R372" s="30">
        <v>2110825702</v>
      </c>
      <c r="S372" s="31" t="s">
        <v>73</v>
      </c>
      <c r="T372" s="31" t="s">
        <v>91</v>
      </c>
      <c r="U372" s="31" t="s">
        <v>75</v>
      </c>
      <c r="V372" s="46" t="s">
        <v>2003</v>
      </c>
      <c r="W372" s="46" t="s">
        <v>2004</v>
      </c>
      <c r="X372" s="32" t="s">
        <v>2004</v>
      </c>
      <c r="Y372" s="24">
        <v>778</v>
      </c>
      <c r="Z372" s="24">
        <v>10</v>
      </c>
      <c r="AA372" s="24">
        <f t="shared" si="143"/>
        <v>739.1</v>
      </c>
      <c r="AB372" s="24">
        <f t="shared" si="136"/>
        <v>7780</v>
      </c>
      <c r="AC372" s="24">
        <f t="shared" si="137"/>
        <v>7391</v>
      </c>
      <c r="AD372" s="24">
        <f t="shared" si="138"/>
        <v>7391</v>
      </c>
      <c r="AE372" s="24">
        <f t="shared" si="139"/>
        <v>389</v>
      </c>
      <c r="AF372" s="24">
        <f t="shared" si="157"/>
        <v>73.91</v>
      </c>
      <c r="AG372" s="31">
        <v>0</v>
      </c>
      <c r="AH372" s="24"/>
      <c r="AI372" s="24"/>
      <c r="AJ372" s="24"/>
      <c r="AK372" s="24"/>
      <c r="AL372" s="24"/>
      <c r="AM372" s="24">
        <v>0</v>
      </c>
      <c r="AN372" s="34" t="s">
        <v>213</v>
      </c>
      <c r="AO372" s="35"/>
      <c r="AP372" s="24"/>
      <c r="AQ372" s="36">
        <f t="shared" si="144"/>
        <v>0</v>
      </c>
      <c r="AR372" s="16">
        <v>0</v>
      </c>
      <c r="AS372" s="47">
        <f t="shared" si="145"/>
        <v>0</v>
      </c>
      <c r="AT372" s="31"/>
      <c r="AU372" s="47">
        <f t="shared" si="146"/>
        <v>0</v>
      </c>
      <c r="AV372" s="48">
        <v>0</v>
      </c>
      <c r="AW372" s="24">
        <f t="shared" si="140"/>
        <v>0</v>
      </c>
      <c r="AX372" s="24">
        <f t="shared" si="152"/>
        <v>0</v>
      </c>
      <c r="AY372" s="24"/>
      <c r="AZ372" s="24"/>
      <c r="BA372" s="24"/>
      <c r="BB372" s="24">
        <f t="shared" si="147"/>
        <v>0</v>
      </c>
      <c r="BC372" s="24">
        <f t="shared" si="148"/>
        <v>7317.09</v>
      </c>
      <c r="BD372" s="24"/>
      <c r="BE372" s="24"/>
      <c r="BF372" s="24"/>
      <c r="BG372" s="24">
        <f t="shared" si="158"/>
        <v>702.14499999999998</v>
      </c>
      <c r="BH372" s="24"/>
      <c r="BI372" s="24"/>
      <c r="BJ372" s="24">
        <f t="shared" si="149"/>
        <v>7.0214499999999997</v>
      </c>
      <c r="BK372" s="24">
        <f t="shared" si="150"/>
        <v>8012.2135500000004</v>
      </c>
      <c r="BL372" s="24" t="s">
        <v>618</v>
      </c>
      <c r="BM372" s="42">
        <f t="shared" si="141"/>
        <v>3</v>
      </c>
      <c r="BN372" s="24" t="s">
        <v>139</v>
      </c>
      <c r="BO372" s="2" t="s">
        <v>175</v>
      </c>
    </row>
    <row r="373" spans="1:67" s="1" customFormat="1" ht="15" customHeight="1" x14ac:dyDescent="0.3">
      <c r="A373" s="20">
        <v>369</v>
      </c>
      <c r="B373" s="21">
        <v>46105</v>
      </c>
      <c r="C373" s="21">
        <v>46112</v>
      </c>
      <c r="D373" s="50" t="s">
        <v>2008</v>
      </c>
      <c r="E373" s="23">
        <v>46120</v>
      </c>
      <c r="F373" s="23" t="s">
        <v>7</v>
      </c>
      <c r="G373" s="24" t="s">
        <v>87</v>
      </c>
      <c r="H373" s="24" t="s">
        <v>69</v>
      </c>
      <c r="I373" s="24" t="s">
        <v>70</v>
      </c>
      <c r="J373" s="25" t="s">
        <v>630</v>
      </c>
      <c r="K373" s="45" t="str">
        <f t="shared" si="142"/>
        <v>WB39B8879</v>
      </c>
      <c r="L373" s="26">
        <v>46106</v>
      </c>
      <c r="M373" s="34" t="s">
        <v>2009</v>
      </c>
      <c r="N373" s="27" t="s">
        <v>2010</v>
      </c>
      <c r="O373" s="28">
        <v>0</v>
      </c>
      <c r="P373" s="27"/>
      <c r="Q373" s="29">
        <v>2525376428</v>
      </c>
      <c r="R373" s="30">
        <v>2110825943</v>
      </c>
      <c r="S373" s="63" t="s">
        <v>73</v>
      </c>
      <c r="T373" s="24" t="s">
        <v>91</v>
      </c>
      <c r="U373" s="24" t="s">
        <v>75</v>
      </c>
      <c r="V373" s="32" t="s">
        <v>2011</v>
      </c>
      <c r="W373" s="32" t="s">
        <v>2012</v>
      </c>
      <c r="X373" s="32" t="s">
        <v>2013</v>
      </c>
      <c r="Y373" s="24">
        <v>745</v>
      </c>
      <c r="Z373" s="24">
        <v>25</v>
      </c>
      <c r="AA373" s="24">
        <f t="shared" si="143"/>
        <v>707.75</v>
      </c>
      <c r="AB373" s="24">
        <f t="shared" si="136"/>
        <v>18625</v>
      </c>
      <c r="AC373" s="24">
        <f t="shared" si="137"/>
        <v>17693.75</v>
      </c>
      <c r="AD373" s="24">
        <f t="shared" si="138"/>
        <v>17693.75</v>
      </c>
      <c r="AE373" s="24">
        <f t="shared" si="139"/>
        <v>931.25</v>
      </c>
      <c r="AF373" s="24">
        <f t="shared" si="157"/>
        <v>176.9375</v>
      </c>
      <c r="AG373" s="33">
        <v>3600</v>
      </c>
      <c r="AH373" s="24"/>
      <c r="AI373" s="24"/>
      <c r="AJ373" s="24"/>
      <c r="AK373" s="24"/>
      <c r="AL373" s="24"/>
      <c r="AM373" s="24" t="s">
        <v>79</v>
      </c>
      <c r="AN373" s="34" t="s">
        <v>2014</v>
      </c>
      <c r="AO373" s="35" t="s">
        <v>1673</v>
      </c>
      <c r="AP373" s="24">
        <f>165*2</f>
        <v>330</v>
      </c>
      <c r="AQ373" s="36">
        <f t="shared" si="144"/>
        <v>101.53846153846153</v>
      </c>
      <c r="AR373" s="80">
        <v>110</v>
      </c>
      <c r="AS373" s="47">
        <f t="shared" si="145"/>
        <v>8.461538461538467</v>
      </c>
      <c r="AT373" s="31"/>
      <c r="AU373" s="47">
        <f t="shared" si="146"/>
        <v>8.461538461538467</v>
      </c>
      <c r="AV373" s="81">
        <v>91.99</v>
      </c>
      <c r="AW373" s="24">
        <f t="shared" si="140"/>
        <v>10118.9</v>
      </c>
      <c r="AX373" s="24">
        <f t="shared" si="152"/>
        <v>77.535287884139876</v>
      </c>
      <c r="AY373" s="24"/>
      <c r="AZ373" s="24"/>
      <c r="BA373" s="24"/>
      <c r="BB373" s="24">
        <f t="shared" si="147"/>
        <v>0</v>
      </c>
      <c r="BC373" s="24">
        <f t="shared" si="148"/>
        <v>3797.9125000000004</v>
      </c>
      <c r="BD373" s="24"/>
      <c r="BE373" s="24"/>
      <c r="BF373" s="24"/>
      <c r="BG373" s="24">
        <f>+AD373*9.5%</f>
        <v>1680.90625</v>
      </c>
      <c r="BH373" s="24"/>
      <c r="BI373" s="24"/>
      <c r="BJ373" s="24">
        <f t="shared" si="149"/>
        <v>16.8090625</v>
      </c>
      <c r="BK373" s="24">
        <f t="shared" si="150"/>
        <v>5462.0096874999999</v>
      </c>
      <c r="BL373" s="24" t="s">
        <v>638</v>
      </c>
      <c r="BM373" s="42">
        <f t="shared" si="141"/>
        <v>2</v>
      </c>
      <c r="BN373" s="24" t="s">
        <v>83</v>
      </c>
      <c r="BO373" s="2" t="s">
        <v>84</v>
      </c>
    </row>
    <row r="374" spans="1:67" s="1" customFormat="1" ht="15" customHeight="1" x14ac:dyDescent="0.3">
      <c r="A374" s="20">
        <v>370</v>
      </c>
      <c r="B374" s="21">
        <v>46105</v>
      </c>
      <c r="C374" s="21">
        <v>46111</v>
      </c>
      <c r="D374" s="73" t="s">
        <v>1993</v>
      </c>
      <c r="E374" s="23">
        <v>46111</v>
      </c>
      <c r="F374" s="23" t="s">
        <v>7</v>
      </c>
      <c r="G374" s="24" t="s">
        <v>68</v>
      </c>
      <c r="H374" s="24" t="s">
        <v>69</v>
      </c>
      <c r="I374" s="24" t="s">
        <v>166</v>
      </c>
      <c r="J374" s="25" t="s">
        <v>167</v>
      </c>
      <c r="K374" s="45" t="str">
        <f t="shared" si="142"/>
        <v>WB41H0254</v>
      </c>
      <c r="L374" s="26">
        <v>46106</v>
      </c>
      <c r="M374" s="34" t="s">
        <v>2015</v>
      </c>
      <c r="N374" s="27" t="s">
        <v>2016</v>
      </c>
      <c r="O374" s="28">
        <v>0</v>
      </c>
      <c r="P374" s="27" t="s">
        <v>2017</v>
      </c>
      <c r="Q374" s="29">
        <v>2525376858</v>
      </c>
      <c r="R374" s="30">
        <v>2110826583</v>
      </c>
      <c r="S374" s="31" t="s">
        <v>73</v>
      </c>
      <c r="T374" s="24" t="s">
        <v>91</v>
      </c>
      <c r="U374" s="24" t="s">
        <v>75</v>
      </c>
      <c r="V374" s="32" t="s">
        <v>472</v>
      </c>
      <c r="W374" s="32" t="s">
        <v>1451</v>
      </c>
      <c r="X374" s="32"/>
      <c r="Y374" s="24">
        <v>1151</v>
      </c>
      <c r="Z374" s="24">
        <v>25</v>
      </c>
      <c r="AA374" s="24">
        <f t="shared" si="143"/>
        <v>1093.45</v>
      </c>
      <c r="AB374" s="24">
        <f t="shared" si="136"/>
        <v>28775</v>
      </c>
      <c r="AC374" s="24">
        <f t="shared" si="137"/>
        <v>27336.25</v>
      </c>
      <c r="AD374" s="24">
        <f t="shared" si="138"/>
        <v>27336.25</v>
      </c>
      <c r="AE374" s="24">
        <f t="shared" si="139"/>
        <v>1438.75</v>
      </c>
      <c r="AF374" s="24">
        <v>0</v>
      </c>
      <c r="AG374" s="33">
        <v>3900</v>
      </c>
      <c r="AH374" s="24"/>
      <c r="AI374" s="24"/>
      <c r="AJ374" s="24"/>
      <c r="AK374" s="24"/>
      <c r="AL374" s="24"/>
      <c r="AM374" s="24" t="s">
        <v>79</v>
      </c>
      <c r="AN374" s="34" t="s">
        <v>2018</v>
      </c>
      <c r="AO374" s="35" t="s">
        <v>1673</v>
      </c>
      <c r="AP374" s="24">
        <f>297*2</f>
        <v>594</v>
      </c>
      <c r="AQ374" s="36">
        <f t="shared" si="144"/>
        <v>182.76923076923077</v>
      </c>
      <c r="AR374" s="80">
        <v>160</v>
      </c>
      <c r="AS374" s="47">
        <f t="shared" si="145"/>
        <v>-22.769230769230774</v>
      </c>
      <c r="AT374" s="31"/>
      <c r="AU374" s="47">
        <f t="shared" si="146"/>
        <v>-22.769230769230774</v>
      </c>
      <c r="AV374" s="81">
        <v>91.99</v>
      </c>
      <c r="AW374" s="24">
        <f t="shared" si="140"/>
        <v>14718.4</v>
      </c>
      <c r="AX374" s="24">
        <f t="shared" si="152"/>
        <v>68.108829850473271</v>
      </c>
      <c r="AY374" s="24"/>
      <c r="AZ374" s="24"/>
      <c r="BA374" s="24"/>
      <c r="BB374" s="24">
        <f t="shared" si="147"/>
        <v>0</v>
      </c>
      <c r="BC374" s="24">
        <f t="shared" si="148"/>
        <v>8717.85</v>
      </c>
      <c r="BD374" s="24">
        <v>135</v>
      </c>
      <c r="BE374" s="24">
        <v>135</v>
      </c>
      <c r="BF374" s="24"/>
      <c r="BG374" s="24">
        <f t="shared" ref="BG374:BG379" si="159">+AB374*9.5%</f>
        <v>2733.625</v>
      </c>
      <c r="BH374" s="24"/>
      <c r="BI374" s="24"/>
      <c r="BJ374" s="24">
        <f t="shared" si="149"/>
        <v>27.33625</v>
      </c>
      <c r="BK374" s="24">
        <f t="shared" si="150"/>
        <v>11694.13875</v>
      </c>
      <c r="BL374" s="24" t="s">
        <v>173</v>
      </c>
      <c r="BM374" s="42">
        <f t="shared" si="141"/>
        <v>2</v>
      </c>
      <c r="BN374" s="24" t="s">
        <v>83</v>
      </c>
      <c r="BO374" s="2" t="s">
        <v>148</v>
      </c>
    </row>
    <row r="375" spans="1:67" s="1" customFormat="1" ht="15" customHeight="1" x14ac:dyDescent="0.3">
      <c r="A375" s="20">
        <v>371</v>
      </c>
      <c r="B375" s="21">
        <v>46105</v>
      </c>
      <c r="C375" s="21">
        <v>46114</v>
      </c>
      <c r="D375" s="62" t="s">
        <v>1769</v>
      </c>
      <c r="E375" s="23">
        <v>46116</v>
      </c>
      <c r="F375" s="23" t="s">
        <v>7</v>
      </c>
      <c r="G375" s="24" t="s">
        <v>68</v>
      </c>
      <c r="H375" s="24" t="s">
        <v>69</v>
      </c>
      <c r="I375" s="24" t="s">
        <v>236</v>
      </c>
      <c r="J375" s="25" t="s">
        <v>237</v>
      </c>
      <c r="K375" s="45" t="str">
        <f t="shared" si="142"/>
        <v>WB41J9798</v>
      </c>
      <c r="L375" s="26">
        <v>46107</v>
      </c>
      <c r="M375" s="34" t="s">
        <v>2019</v>
      </c>
      <c r="N375" s="27" t="s">
        <v>2020</v>
      </c>
      <c r="O375" s="28">
        <v>0</v>
      </c>
      <c r="P375" s="27" t="s">
        <v>2021</v>
      </c>
      <c r="Q375" s="29">
        <v>2525376883</v>
      </c>
      <c r="R375" s="30">
        <v>2110826594</v>
      </c>
      <c r="S375" s="31" t="s">
        <v>73</v>
      </c>
      <c r="T375" s="24" t="s">
        <v>241</v>
      </c>
      <c r="U375" s="24" t="s">
        <v>75</v>
      </c>
      <c r="V375" s="32" t="s">
        <v>504</v>
      </c>
      <c r="W375" s="32" t="s">
        <v>505</v>
      </c>
      <c r="X375" s="32" t="s">
        <v>505</v>
      </c>
      <c r="Y375" s="24">
        <v>1385</v>
      </c>
      <c r="Z375" s="24">
        <v>30</v>
      </c>
      <c r="AA375" s="24">
        <f t="shared" si="143"/>
        <v>1315.75</v>
      </c>
      <c r="AB375" s="24">
        <f t="shared" si="136"/>
        <v>41550</v>
      </c>
      <c r="AC375" s="24">
        <f t="shared" si="137"/>
        <v>39472.5</v>
      </c>
      <c r="AD375" s="24">
        <f t="shared" si="138"/>
        <v>39472.5</v>
      </c>
      <c r="AE375" s="24">
        <f t="shared" si="139"/>
        <v>2077.5</v>
      </c>
      <c r="AF375" s="24">
        <v>0</v>
      </c>
      <c r="AG375" s="33">
        <v>6200</v>
      </c>
      <c r="AH375" s="24"/>
      <c r="AI375" s="24"/>
      <c r="AJ375" s="24"/>
      <c r="AK375" s="24"/>
      <c r="AL375" s="24"/>
      <c r="AM375" s="24" t="s">
        <v>79</v>
      </c>
      <c r="AN375" s="34" t="s">
        <v>2022</v>
      </c>
      <c r="AO375" s="35" t="s">
        <v>1673</v>
      </c>
      <c r="AP375" s="24"/>
      <c r="AQ375" s="36">
        <f t="shared" si="144"/>
        <v>0</v>
      </c>
      <c r="AR375" s="80">
        <v>250</v>
      </c>
      <c r="AS375" s="47">
        <f t="shared" si="145"/>
        <v>250</v>
      </c>
      <c r="AT375" s="31"/>
      <c r="AU375" s="47">
        <f t="shared" si="146"/>
        <v>250</v>
      </c>
      <c r="AV375" s="81">
        <v>91.99</v>
      </c>
      <c r="AW375" s="24">
        <f t="shared" si="140"/>
        <v>22997.5</v>
      </c>
      <c r="AX375" s="24">
        <f t="shared" si="152"/>
        <v>73.969219076572301</v>
      </c>
      <c r="AY375" s="24"/>
      <c r="AZ375" s="24"/>
      <c r="BA375" s="24"/>
      <c r="BB375" s="24">
        <f t="shared" si="147"/>
        <v>0</v>
      </c>
      <c r="BC375" s="24">
        <f t="shared" si="148"/>
        <v>10275</v>
      </c>
      <c r="BD375" s="24">
        <v>120</v>
      </c>
      <c r="BE375" s="24">
        <v>120</v>
      </c>
      <c r="BF375" s="24"/>
      <c r="BG375" s="24">
        <f t="shared" si="159"/>
        <v>3947.25</v>
      </c>
      <c r="BH375" s="24"/>
      <c r="BI375" s="24"/>
      <c r="BJ375" s="24">
        <f t="shared" si="149"/>
        <v>39.472500000000004</v>
      </c>
      <c r="BK375" s="24">
        <f t="shared" si="150"/>
        <v>14422.7775</v>
      </c>
      <c r="BL375" s="24" t="s">
        <v>245</v>
      </c>
      <c r="BM375" s="42">
        <f t="shared" si="141"/>
        <v>3</v>
      </c>
      <c r="BN375" s="24" t="s">
        <v>139</v>
      </c>
      <c r="BO375" s="2" t="s">
        <v>175</v>
      </c>
    </row>
    <row r="376" spans="1:67" s="1" customFormat="1" ht="15" customHeight="1" x14ac:dyDescent="0.3">
      <c r="A376" s="20">
        <v>372</v>
      </c>
      <c r="B376" s="21">
        <v>46105</v>
      </c>
      <c r="C376" s="21">
        <v>46114</v>
      </c>
      <c r="D376" s="62" t="s">
        <v>1769</v>
      </c>
      <c r="E376" s="23">
        <v>46116</v>
      </c>
      <c r="F376" s="23" t="s">
        <v>7</v>
      </c>
      <c r="G376" s="24" t="s">
        <v>68</v>
      </c>
      <c r="H376" s="24" t="s">
        <v>69</v>
      </c>
      <c r="I376" s="24" t="s">
        <v>800</v>
      </c>
      <c r="J376" s="25" t="s">
        <v>801</v>
      </c>
      <c r="K376" s="45" t="str">
        <f t="shared" si="142"/>
        <v>WB41P4782</v>
      </c>
      <c r="L376" s="26">
        <v>46106</v>
      </c>
      <c r="M376" s="34" t="s">
        <v>2023</v>
      </c>
      <c r="N376" s="27" t="s">
        <v>2024</v>
      </c>
      <c r="O376" s="28">
        <v>0</v>
      </c>
      <c r="P376" s="27" t="s">
        <v>2025</v>
      </c>
      <c r="Q376" s="29">
        <v>2525376898</v>
      </c>
      <c r="R376" s="30">
        <v>2110826596</v>
      </c>
      <c r="S376" s="31" t="s">
        <v>73</v>
      </c>
      <c r="T376" s="24" t="s">
        <v>188</v>
      </c>
      <c r="U376" s="24" t="s">
        <v>75</v>
      </c>
      <c r="V376" s="32" t="s">
        <v>2026</v>
      </c>
      <c r="W376" s="32" t="s">
        <v>563</v>
      </c>
      <c r="X376" s="32"/>
      <c r="Y376" s="24">
        <v>643</v>
      </c>
      <c r="Z376" s="24">
        <v>13</v>
      </c>
      <c r="AA376" s="24">
        <f>+Y376/100*93</f>
        <v>597.99</v>
      </c>
      <c r="AB376" s="24">
        <f t="shared" si="136"/>
        <v>8359</v>
      </c>
      <c r="AC376" s="24">
        <f t="shared" si="137"/>
        <v>7941.05</v>
      </c>
      <c r="AD376" s="24">
        <f t="shared" si="138"/>
        <v>7773.87</v>
      </c>
      <c r="AE376" s="24">
        <f t="shared" si="139"/>
        <v>585.13000000000011</v>
      </c>
      <c r="AF376" s="24">
        <f t="shared" si="157"/>
        <v>77.738699999999994</v>
      </c>
      <c r="AG376" s="33">
        <v>1450</v>
      </c>
      <c r="AH376" s="24"/>
      <c r="AI376" s="24"/>
      <c r="AJ376" s="24"/>
      <c r="AK376" s="24"/>
      <c r="AL376" s="24"/>
      <c r="AM376" s="24" t="s">
        <v>79</v>
      </c>
      <c r="AN376" s="34" t="s">
        <v>2027</v>
      </c>
      <c r="AO376" s="35" t="s">
        <v>1673</v>
      </c>
      <c r="AP376" s="24">
        <f>120*2</f>
        <v>240</v>
      </c>
      <c r="AQ376" s="36">
        <f t="shared" si="144"/>
        <v>73.84615384615384</v>
      </c>
      <c r="AR376" s="80">
        <v>48</v>
      </c>
      <c r="AS376" s="47">
        <f t="shared" si="145"/>
        <v>-25.84615384615384</v>
      </c>
      <c r="AT376" s="31"/>
      <c r="AU376" s="47">
        <f t="shared" si="146"/>
        <v>-25.84615384615384</v>
      </c>
      <c r="AV376" s="81">
        <v>91.99</v>
      </c>
      <c r="AW376" s="24">
        <f t="shared" si="140"/>
        <v>4415.5199999999995</v>
      </c>
      <c r="AX376" s="24">
        <f t="shared" si="152"/>
        <v>75.451737680203038</v>
      </c>
      <c r="AY376" s="24"/>
      <c r="AZ376" s="24"/>
      <c r="BA376" s="24"/>
      <c r="BB376" s="24">
        <f t="shared" si="147"/>
        <v>0</v>
      </c>
      <c r="BC376" s="24">
        <f t="shared" si="148"/>
        <v>1830.6113000000005</v>
      </c>
      <c r="BD376" s="24">
        <v>40</v>
      </c>
      <c r="BE376" s="24">
        <v>40</v>
      </c>
      <c r="BF376" s="24"/>
      <c r="BG376" s="24">
        <f t="shared" si="159"/>
        <v>794.10500000000002</v>
      </c>
      <c r="BH376" s="24"/>
      <c r="BI376" s="24"/>
      <c r="BJ376" s="24">
        <f t="shared" si="149"/>
        <v>7.9410500000000006</v>
      </c>
      <c r="BK376" s="24">
        <f t="shared" si="150"/>
        <v>2696.7752500000006</v>
      </c>
      <c r="BL376" s="24" t="s">
        <v>807</v>
      </c>
      <c r="BM376" s="42">
        <f t="shared" si="141"/>
        <v>2</v>
      </c>
      <c r="BN376" s="24" t="s">
        <v>83</v>
      </c>
      <c r="BO376" s="2" t="s">
        <v>129</v>
      </c>
    </row>
    <row r="377" spans="1:67" s="1" customFormat="1" ht="15" customHeight="1" x14ac:dyDescent="0.3">
      <c r="A377" s="20">
        <v>373</v>
      </c>
      <c r="B377" s="21">
        <v>46105</v>
      </c>
      <c r="C377" s="21">
        <v>46111</v>
      </c>
      <c r="D377" s="73" t="s">
        <v>1993</v>
      </c>
      <c r="E377" s="23">
        <v>46111</v>
      </c>
      <c r="F377" s="23" t="s">
        <v>7</v>
      </c>
      <c r="G377" s="24" t="s">
        <v>68</v>
      </c>
      <c r="H377" s="24" t="s">
        <v>69</v>
      </c>
      <c r="I377" s="24" t="s">
        <v>112</v>
      </c>
      <c r="J377" s="25" t="s">
        <v>113</v>
      </c>
      <c r="K377" s="45" t="str">
        <f t="shared" si="142"/>
        <v>WB39A5062</v>
      </c>
      <c r="L377" s="26">
        <v>46106</v>
      </c>
      <c r="M377" s="34" t="s">
        <v>2028</v>
      </c>
      <c r="N377" s="27" t="s">
        <v>2029</v>
      </c>
      <c r="O377" s="28">
        <v>0</v>
      </c>
      <c r="P377" s="27" t="s">
        <v>2030</v>
      </c>
      <c r="Q377" s="29">
        <v>2525376900</v>
      </c>
      <c r="R377" s="30">
        <v>2110826597</v>
      </c>
      <c r="S377" s="31" t="s">
        <v>73</v>
      </c>
      <c r="T377" s="24" t="s">
        <v>91</v>
      </c>
      <c r="U377" s="24" t="s">
        <v>75</v>
      </c>
      <c r="V377" s="32" t="s">
        <v>1029</v>
      </c>
      <c r="W377" s="32" t="s">
        <v>1030</v>
      </c>
      <c r="X377" s="32"/>
      <c r="Y377" s="24">
        <v>874</v>
      </c>
      <c r="Z377" s="24">
        <v>25</v>
      </c>
      <c r="AA377" s="24">
        <f t="shared" si="143"/>
        <v>830.30000000000007</v>
      </c>
      <c r="AB377" s="24">
        <f t="shared" si="136"/>
        <v>21850</v>
      </c>
      <c r="AC377" s="24">
        <f t="shared" si="137"/>
        <v>20757.5</v>
      </c>
      <c r="AD377" s="24">
        <f t="shared" si="138"/>
        <v>20757.5</v>
      </c>
      <c r="AE377" s="24">
        <f t="shared" si="139"/>
        <v>1092.5</v>
      </c>
      <c r="AF377" s="24">
        <v>0</v>
      </c>
      <c r="AG377" s="33">
        <v>3800</v>
      </c>
      <c r="AH377" s="24"/>
      <c r="AI377" s="24"/>
      <c r="AJ377" s="24"/>
      <c r="AK377" s="24"/>
      <c r="AL377" s="24"/>
      <c r="AM377" s="24" t="s">
        <v>79</v>
      </c>
      <c r="AN377" s="34" t="s">
        <v>2031</v>
      </c>
      <c r="AO377" s="35" t="s">
        <v>1673</v>
      </c>
      <c r="AP377" s="24">
        <f>177*2</f>
        <v>354</v>
      </c>
      <c r="AQ377" s="36">
        <f t="shared" si="144"/>
        <v>108.92307692307692</v>
      </c>
      <c r="AR377" s="80">
        <v>120</v>
      </c>
      <c r="AS377" s="47">
        <f t="shared" si="145"/>
        <v>11.07692307692308</v>
      </c>
      <c r="AT377" s="31"/>
      <c r="AU377" s="47">
        <f t="shared" si="146"/>
        <v>11.07692307692308</v>
      </c>
      <c r="AV377" s="81">
        <v>91.99</v>
      </c>
      <c r="AW377" s="24">
        <f t="shared" si="140"/>
        <v>11038.8</v>
      </c>
      <c r="AX377" s="24">
        <f t="shared" si="152"/>
        <v>71.486450680476935</v>
      </c>
      <c r="AY377" s="24"/>
      <c r="AZ377" s="24"/>
      <c r="BA377" s="24"/>
      <c r="BB377" s="24">
        <f t="shared" si="147"/>
        <v>0</v>
      </c>
      <c r="BC377" s="24">
        <f t="shared" si="148"/>
        <v>5918.7000000000007</v>
      </c>
      <c r="BD377" s="24"/>
      <c r="BE377" s="24"/>
      <c r="BF377" s="24"/>
      <c r="BG377" s="24">
        <f t="shared" si="159"/>
        <v>2075.75</v>
      </c>
      <c r="BH377" s="24"/>
      <c r="BI377" s="24"/>
      <c r="BJ377" s="24">
        <f t="shared" si="149"/>
        <v>20.7575</v>
      </c>
      <c r="BK377" s="24">
        <f t="shared" si="150"/>
        <v>7973.692500000001</v>
      </c>
      <c r="BL377" s="24" t="s">
        <v>116</v>
      </c>
      <c r="BM377" s="42">
        <f t="shared" si="141"/>
        <v>2</v>
      </c>
      <c r="BN377" s="24" t="s">
        <v>83</v>
      </c>
      <c r="BO377" s="2" t="s">
        <v>84</v>
      </c>
    </row>
    <row r="378" spans="1:67" s="1" customFormat="1" ht="15" customHeight="1" x14ac:dyDescent="0.3">
      <c r="A378" s="20">
        <v>374</v>
      </c>
      <c r="B378" s="21">
        <v>46105</v>
      </c>
      <c r="C378" s="21">
        <v>46111</v>
      </c>
      <c r="D378" s="50" t="s">
        <v>1837</v>
      </c>
      <c r="E378" s="23">
        <v>46111</v>
      </c>
      <c r="F378" s="23" t="s">
        <v>7</v>
      </c>
      <c r="G378" s="24" t="s">
        <v>68</v>
      </c>
      <c r="H378" s="24" t="s">
        <v>69</v>
      </c>
      <c r="I378" s="24" t="s">
        <v>381</v>
      </c>
      <c r="J378" s="25" t="s">
        <v>382</v>
      </c>
      <c r="K378" s="45" t="str">
        <f t="shared" si="142"/>
        <v>WB41K2967</v>
      </c>
      <c r="L378" s="26">
        <v>46106</v>
      </c>
      <c r="M378" s="34" t="s">
        <v>2032</v>
      </c>
      <c r="N378" s="27" t="s">
        <v>2033</v>
      </c>
      <c r="O378" s="28">
        <v>0</v>
      </c>
      <c r="P378" s="27" t="s">
        <v>2034</v>
      </c>
      <c r="Q378" s="29">
        <v>2525376888</v>
      </c>
      <c r="R378" s="30">
        <v>2110826595</v>
      </c>
      <c r="S378" s="82" t="s">
        <v>73</v>
      </c>
      <c r="T378" s="24" t="s">
        <v>241</v>
      </c>
      <c r="U378" s="24" t="s">
        <v>75</v>
      </c>
      <c r="V378" s="32" t="s">
        <v>491</v>
      </c>
      <c r="W378" s="32" t="s">
        <v>838</v>
      </c>
      <c r="X378" s="32" t="s">
        <v>2035</v>
      </c>
      <c r="Y378" s="24">
        <v>1047</v>
      </c>
      <c r="Z378" s="24">
        <v>30</v>
      </c>
      <c r="AA378" s="24">
        <f t="shared" si="143"/>
        <v>994.65000000000009</v>
      </c>
      <c r="AB378" s="24">
        <f t="shared" si="136"/>
        <v>31410</v>
      </c>
      <c r="AC378" s="24">
        <f t="shared" si="137"/>
        <v>29839.500000000004</v>
      </c>
      <c r="AD378" s="24">
        <f t="shared" si="138"/>
        <v>29839.500000000004</v>
      </c>
      <c r="AE378" s="24">
        <f t="shared" si="139"/>
        <v>1570.4999999999964</v>
      </c>
      <c r="AF378" s="24">
        <f t="shared" si="157"/>
        <v>298.39500000000004</v>
      </c>
      <c r="AG378" s="33">
        <v>3500</v>
      </c>
      <c r="AH378" s="24"/>
      <c r="AI378" s="24"/>
      <c r="AJ378" s="24"/>
      <c r="AK378" s="24"/>
      <c r="AL378" s="24"/>
      <c r="AM378" s="24" t="s">
        <v>79</v>
      </c>
      <c r="AN378" s="34" t="s">
        <v>2036</v>
      </c>
      <c r="AO378" s="35" t="s">
        <v>1673</v>
      </c>
      <c r="AP378" s="24">
        <f>240*2</f>
        <v>480</v>
      </c>
      <c r="AQ378" s="36">
        <f t="shared" si="144"/>
        <v>147.69230769230768</v>
      </c>
      <c r="AR378" s="80">
        <v>155</v>
      </c>
      <c r="AS378" s="47">
        <f t="shared" si="145"/>
        <v>7.3076923076923208</v>
      </c>
      <c r="AT378" s="31"/>
      <c r="AU378" s="47">
        <f t="shared" si="146"/>
        <v>7.3076923076923208</v>
      </c>
      <c r="AV378" s="81">
        <v>91.99</v>
      </c>
      <c r="AW378" s="24">
        <f t="shared" si="140"/>
        <v>14258.449999999999</v>
      </c>
      <c r="AX378" s="24">
        <f t="shared" si="152"/>
        <v>59.51322910906682</v>
      </c>
      <c r="AY378" s="24"/>
      <c r="AZ378" s="24"/>
      <c r="BA378" s="24"/>
      <c r="BB378" s="24">
        <f t="shared" si="147"/>
        <v>0</v>
      </c>
      <c r="BC378" s="24">
        <f t="shared" si="148"/>
        <v>11782.655000000004</v>
      </c>
      <c r="BD378" s="24"/>
      <c r="BE378" s="24"/>
      <c r="BF378" s="24"/>
      <c r="BG378" s="24">
        <f t="shared" si="159"/>
        <v>2983.95</v>
      </c>
      <c r="BH378" s="24"/>
      <c r="BI378" s="24"/>
      <c r="BJ378" s="24">
        <f t="shared" si="149"/>
        <v>29.839499999999997</v>
      </c>
      <c r="BK378" s="24">
        <f t="shared" si="150"/>
        <v>14736.765500000003</v>
      </c>
      <c r="BL378" s="24" t="s">
        <v>261</v>
      </c>
      <c r="BM378" s="42">
        <f t="shared" si="141"/>
        <v>2</v>
      </c>
      <c r="BN378" s="24" t="s">
        <v>83</v>
      </c>
      <c r="BO378" s="2" t="s">
        <v>424</v>
      </c>
    </row>
    <row r="379" spans="1:67" s="1" customFormat="1" ht="15" customHeight="1" x14ac:dyDescent="0.3">
      <c r="A379" s="20">
        <v>375</v>
      </c>
      <c r="B379" s="21">
        <v>46105</v>
      </c>
      <c r="C379" s="21">
        <v>46111</v>
      </c>
      <c r="D379" s="50" t="s">
        <v>1837</v>
      </c>
      <c r="E379" s="23">
        <v>46111</v>
      </c>
      <c r="F379" s="23" t="s">
        <v>7</v>
      </c>
      <c r="G379" s="24" t="s">
        <v>68</v>
      </c>
      <c r="H379" s="24" t="s">
        <v>69</v>
      </c>
      <c r="I379" s="24" t="s">
        <v>166</v>
      </c>
      <c r="J379" s="25" t="s">
        <v>924</v>
      </c>
      <c r="K379" s="45" t="str">
        <f t="shared" si="142"/>
        <v>WB41H1234</v>
      </c>
      <c r="L379" s="26">
        <v>46108</v>
      </c>
      <c r="M379" s="34" t="s">
        <v>2037</v>
      </c>
      <c r="N379" s="27" t="s">
        <v>2038</v>
      </c>
      <c r="O379" s="28">
        <v>0</v>
      </c>
      <c r="P379" s="27" t="s">
        <v>2039</v>
      </c>
      <c r="Q379" s="29">
        <v>2525377025</v>
      </c>
      <c r="R379" s="30">
        <v>2110826687</v>
      </c>
      <c r="S379" s="82" t="s">
        <v>73</v>
      </c>
      <c r="T379" s="24" t="s">
        <v>91</v>
      </c>
      <c r="U379" s="24" t="s">
        <v>75</v>
      </c>
      <c r="V379" s="32" t="s">
        <v>491</v>
      </c>
      <c r="W379" s="32" t="s">
        <v>838</v>
      </c>
      <c r="X379" s="32" t="s">
        <v>2040</v>
      </c>
      <c r="Y379" s="24">
        <v>1047</v>
      </c>
      <c r="Z379" s="24">
        <v>25</v>
      </c>
      <c r="AA379" s="24">
        <f t="shared" si="143"/>
        <v>994.65000000000009</v>
      </c>
      <c r="AB379" s="24">
        <f t="shared" si="136"/>
        <v>26175</v>
      </c>
      <c r="AC379" s="24">
        <f t="shared" si="137"/>
        <v>24866.25</v>
      </c>
      <c r="AD379" s="24">
        <f t="shared" si="138"/>
        <v>24866.250000000004</v>
      </c>
      <c r="AE379" s="24">
        <f t="shared" si="139"/>
        <v>1308.7499999999964</v>
      </c>
      <c r="AF379" s="24">
        <v>0</v>
      </c>
      <c r="AG379" s="33">
        <v>3500</v>
      </c>
      <c r="AH379" s="24"/>
      <c r="AI379" s="24"/>
      <c r="AJ379" s="24"/>
      <c r="AK379" s="24"/>
      <c r="AL379" s="24"/>
      <c r="AM379" s="24" t="s">
        <v>79</v>
      </c>
      <c r="AN379" s="34" t="s">
        <v>2041</v>
      </c>
      <c r="AO379" s="35" t="s">
        <v>1673</v>
      </c>
      <c r="AP379" s="24">
        <f>240*2</f>
        <v>480</v>
      </c>
      <c r="AQ379" s="36">
        <f t="shared" si="144"/>
        <v>147.69230769230768</v>
      </c>
      <c r="AR379" s="80">
        <v>165</v>
      </c>
      <c r="AS379" s="47">
        <f t="shared" si="145"/>
        <v>17.307692307692321</v>
      </c>
      <c r="AT379" s="31"/>
      <c r="AU379" s="47">
        <f t="shared" si="146"/>
        <v>17.307692307692321</v>
      </c>
      <c r="AV379" s="81">
        <v>91.99</v>
      </c>
      <c r="AW379" s="24">
        <f t="shared" si="140"/>
        <v>15178.349999999999</v>
      </c>
      <c r="AX379" s="24">
        <f t="shared" si="152"/>
        <v>75.115266676720438</v>
      </c>
      <c r="AY379" s="24"/>
      <c r="AZ379" s="24"/>
      <c r="BA379" s="24"/>
      <c r="BB379" s="24">
        <f t="shared" si="147"/>
        <v>0</v>
      </c>
      <c r="BC379" s="24">
        <f t="shared" si="148"/>
        <v>6187.9000000000051</v>
      </c>
      <c r="BD379" s="24"/>
      <c r="BE379" s="24"/>
      <c r="BF379" s="24"/>
      <c r="BG379" s="24">
        <f t="shared" si="159"/>
        <v>2486.625</v>
      </c>
      <c r="BH379" s="24"/>
      <c r="BI379" s="24"/>
      <c r="BJ379" s="24">
        <f t="shared" si="149"/>
        <v>24.866250000000001</v>
      </c>
      <c r="BK379" s="24">
        <f t="shared" si="150"/>
        <v>8649.658750000006</v>
      </c>
      <c r="BL379" s="24" t="s">
        <v>687</v>
      </c>
      <c r="BM379" s="42">
        <f t="shared" si="141"/>
        <v>4</v>
      </c>
      <c r="BN379" s="24" t="s">
        <v>174</v>
      </c>
      <c r="BO379" s="2" t="s">
        <v>175</v>
      </c>
    </row>
    <row r="380" spans="1:67" s="1" customFormat="1" ht="15" customHeight="1" x14ac:dyDescent="0.3">
      <c r="A380" s="20">
        <v>376</v>
      </c>
      <c r="B380" s="21">
        <v>46105</v>
      </c>
      <c r="C380" s="21">
        <v>46111</v>
      </c>
      <c r="D380" s="55" t="s">
        <v>2042</v>
      </c>
      <c r="E380" s="23">
        <v>46151</v>
      </c>
      <c r="F380" s="23" t="s">
        <v>7</v>
      </c>
      <c r="G380" s="24" t="s">
        <v>87</v>
      </c>
      <c r="H380" s="24" t="s">
        <v>69</v>
      </c>
      <c r="I380" s="24" t="s">
        <v>70</v>
      </c>
      <c r="J380" s="25" t="s">
        <v>71</v>
      </c>
      <c r="K380" s="45" t="str">
        <f t="shared" si="142"/>
        <v>WB39B0034</v>
      </c>
      <c r="L380" s="26">
        <v>46106</v>
      </c>
      <c r="M380" s="34" t="s">
        <v>2043</v>
      </c>
      <c r="N380" s="27" t="s">
        <v>2044</v>
      </c>
      <c r="O380" s="28">
        <v>0</v>
      </c>
      <c r="P380" s="27"/>
      <c r="Q380" s="29">
        <v>2525377056</v>
      </c>
      <c r="R380" s="30">
        <v>2110826496</v>
      </c>
      <c r="S380" s="31" t="s">
        <v>73</v>
      </c>
      <c r="T380" s="24" t="s">
        <v>74</v>
      </c>
      <c r="U380" s="24" t="s">
        <v>75</v>
      </c>
      <c r="V380" s="32" t="s">
        <v>2045</v>
      </c>
      <c r="W380" s="32" t="s">
        <v>2046</v>
      </c>
      <c r="X380" s="32" t="s">
        <v>2047</v>
      </c>
      <c r="Y380" s="24">
        <v>831</v>
      </c>
      <c r="Z380" s="24">
        <v>19</v>
      </c>
      <c r="AA380" s="24">
        <f t="shared" si="143"/>
        <v>789.45</v>
      </c>
      <c r="AB380" s="24">
        <f t="shared" si="136"/>
        <v>15789</v>
      </c>
      <c r="AC380" s="24">
        <f t="shared" si="137"/>
        <v>14999.55</v>
      </c>
      <c r="AD380" s="24">
        <f t="shared" si="138"/>
        <v>14999.550000000001</v>
      </c>
      <c r="AE380" s="24">
        <f t="shared" si="139"/>
        <v>789.44999999999891</v>
      </c>
      <c r="AF380" s="24">
        <f t="shared" si="157"/>
        <v>149.99550000000002</v>
      </c>
      <c r="AG380" s="31">
        <v>4800</v>
      </c>
      <c r="AH380" s="24"/>
      <c r="AI380" s="24"/>
      <c r="AJ380" s="24"/>
      <c r="AK380" s="24"/>
      <c r="AL380" s="24"/>
      <c r="AM380" s="24" t="s">
        <v>79</v>
      </c>
      <c r="AN380" s="34" t="s">
        <v>2048</v>
      </c>
      <c r="AO380" s="35" t="s">
        <v>1673</v>
      </c>
      <c r="AP380" s="24">
        <f>185*2</f>
        <v>370</v>
      </c>
      <c r="AQ380" s="36">
        <f t="shared" si="144"/>
        <v>113.84615384615384</v>
      </c>
      <c r="AR380" s="16">
        <v>95</v>
      </c>
      <c r="AS380" s="47">
        <f t="shared" si="145"/>
        <v>-18.84615384615384</v>
      </c>
      <c r="AT380" s="31"/>
      <c r="AU380" s="47">
        <f t="shared" si="146"/>
        <v>-18.84615384615384</v>
      </c>
      <c r="AV380" s="48">
        <v>91.99</v>
      </c>
      <c r="AW380" s="24">
        <f t="shared" si="140"/>
        <v>8739.0499999999993</v>
      </c>
      <c r="AX380" s="24">
        <f t="shared" si="152"/>
        <v>90.26304122457006</v>
      </c>
      <c r="AY380" s="24">
        <v>120</v>
      </c>
      <c r="AZ380" s="24"/>
      <c r="BA380" s="24"/>
      <c r="BB380" s="24">
        <f t="shared" si="147"/>
        <v>0</v>
      </c>
      <c r="BC380" s="24">
        <f t="shared" si="148"/>
        <v>1190.5045000000009</v>
      </c>
      <c r="BD380" s="24">
        <v>110</v>
      </c>
      <c r="BE380" s="24">
        <v>110</v>
      </c>
      <c r="BF380" s="24"/>
      <c r="BG380" s="24">
        <f>+AD380*8.5%</f>
        <v>1274.9617500000002</v>
      </c>
      <c r="BH380" s="24">
        <f>+AD380*8.5%</f>
        <v>1274.9617500000002</v>
      </c>
      <c r="BI380" s="24"/>
      <c r="BJ380" s="24">
        <f t="shared" si="149"/>
        <v>25.499235000000002</v>
      </c>
      <c r="BK380" s="24">
        <f t="shared" si="150"/>
        <v>3934.9287650000015</v>
      </c>
      <c r="BL380" s="24" t="s">
        <v>82</v>
      </c>
      <c r="BM380" s="42">
        <f t="shared" si="141"/>
        <v>2</v>
      </c>
      <c r="BN380" s="24" t="s">
        <v>83</v>
      </c>
      <c r="BO380" s="2" t="s">
        <v>84</v>
      </c>
    </row>
    <row r="381" spans="1:67" s="1" customFormat="1" ht="15" customHeight="1" x14ac:dyDescent="0.3">
      <c r="A381" s="20">
        <v>377</v>
      </c>
      <c r="B381" s="21">
        <v>46105</v>
      </c>
      <c r="C381" s="21">
        <v>46111</v>
      </c>
      <c r="D381" s="73" t="s">
        <v>1993</v>
      </c>
      <c r="E381" s="23">
        <v>46111</v>
      </c>
      <c r="F381" s="23" t="s">
        <v>7</v>
      </c>
      <c r="G381" s="24" t="s">
        <v>68</v>
      </c>
      <c r="H381" s="24" t="s">
        <v>69</v>
      </c>
      <c r="I381" s="24" t="s">
        <v>236</v>
      </c>
      <c r="J381" s="25" t="s">
        <v>681</v>
      </c>
      <c r="K381" s="45" t="str">
        <f t="shared" si="142"/>
        <v>WB41J9696</v>
      </c>
      <c r="L381" s="26">
        <v>46107</v>
      </c>
      <c r="M381" s="34" t="s">
        <v>2049</v>
      </c>
      <c r="N381" s="27" t="s">
        <v>2050</v>
      </c>
      <c r="O381" s="28">
        <v>0</v>
      </c>
      <c r="P381" s="27" t="s">
        <v>2051</v>
      </c>
      <c r="Q381" s="29">
        <v>2525377138</v>
      </c>
      <c r="R381" s="30">
        <v>2110826728</v>
      </c>
      <c r="S381" s="31" t="s">
        <v>73</v>
      </c>
      <c r="T381" s="24" t="s">
        <v>241</v>
      </c>
      <c r="U381" s="24" t="s">
        <v>75</v>
      </c>
      <c r="V381" s="32" t="s">
        <v>504</v>
      </c>
      <c r="W381" s="32" t="s">
        <v>505</v>
      </c>
      <c r="X381" s="32"/>
      <c r="Y381" s="24">
        <v>1385</v>
      </c>
      <c r="Z381" s="24">
        <v>30</v>
      </c>
      <c r="AA381" s="24">
        <f t="shared" si="143"/>
        <v>1315.75</v>
      </c>
      <c r="AB381" s="24">
        <f t="shared" si="136"/>
        <v>41550</v>
      </c>
      <c r="AC381" s="24">
        <f t="shared" si="137"/>
        <v>39472.5</v>
      </c>
      <c r="AD381" s="24">
        <f t="shared" si="138"/>
        <v>39472.5</v>
      </c>
      <c r="AE381" s="24">
        <f t="shared" si="139"/>
        <v>2077.5</v>
      </c>
      <c r="AF381" s="24">
        <v>0</v>
      </c>
      <c r="AG381" s="33">
        <v>5300</v>
      </c>
      <c r="AH381" s="24"/>
      <c r="AI381" s="24"/>
      <c r="AJ381" s="24"/>
      <c r="AK381" s="24"/>
      <c r="AL381" s="24"/>
      <c r="AM381" s="24" t="s">
        <v>79</v>
      </c>
      <c r="AN381" s="34" t="s">
        <v>2052</v>
      </c>
      <c r="AO381" s="35" t="s">
        <v>1673</v>
      </c>
      <c r="AP381" s="24"/>
      <c r="AQ381" s="36">
        <f t="shared" si="144"/>
        <v>0</v>
      </c>
      <c r="AR381" s="80">
        <v>245</v>
      </c>
      <c r="AS381" s="47">
        <f t="shared" si="145"/>
        <v>245</v>
      </c>
      <c r="AT381" s="31"/>
      <c r="AU381" s="47">
        <f t="shared" si="146"/>
        <v>245</v>
      </c>
      <c r="AV381" s="81">
        <v>91.99</v>
      </c>
      <c r="AW381" s="24">
        <f t="shared" si="140"/>
        <v>22537.55</v>
      </c>
      <c r="AX381" s="24">
        <f t="shared" si="152"/>
        <v>70.523909050604843</v>
      </c>
      <c r="AY381" s="24"/>
      <c r="AZ381" s="24"/>
      <c r="BA381" s="24"/>
      <c r="BB381" s="24">
        <f t="shared" si="147"/>
        <v>0</v>
      </c>
      <c r="BC381" s="24">
        <f t="shared" si="148"/>
        <v>11634.95</v>
      </c>
      <c r="BD381" s="24"/>
      <c r="BE381" s="24"/>
      <c r="BF381" s="24"/>
      <c r="BG381" s="24">
        <f>+AB381*9.5%</f>
        <v>3947.25</v>
      </c>
      <c r="BH381" s="24"/>
      <c r="BI381" s="24"/>
      <c r="BJ381" s="24">
        <f t="shared" si="149"/>
        <v>39.472500000000004</v>
      </c>
      <c r="BK381" s="24">
        <f t="shared" si="150"/>
        <v>15542.727500000001</v>
      </c>
      <c r="BL381" s="24" t="s">
        <v>687</v>
      </c>
      <c r="BM381" s="42">
        <f t="shared" si="141"/>
        <v>3</v>
      </c>
      <c r="BN381" s="24" t="s">
        <v>139</v>
      </c>
      <c r="BO381" s="2" t="s">
        <v>175</v>
      </c>
    </row>
    <row r="382" spans="1:67" s="1" customFormat="1" ht="15" customHeight="1" x14ac:dyDescent="0.3">
      <c r="A382" s="20">
        <v>378</v>
      </c>
      <c r="B382" s="21">
        <v>46105</v>
      </c>
      <c r="C382" s="21">
        <v>46111</v>
      </c>
      <c r="D382" s="62" t="s">
        <v>1769</v>
      </c>
      <c r="E382" s="23">
        <v>46116</v>
      </c>
      <c r="F382" s="23" t="s">
        <v>7</v>
      </c>
      <c r="G382" s="24" t="s">
        <v>68</v>
      </c>
      <c r="H382" s="24" t="s">
        <v>69</v>
      </c>
      <c r="I382" s="24" t="s">
        <v>389</v>
      </c>
      <c r="J382" s="25" t="s">
        <v>1423</v>
      </c>
      <c r="K382" s="45" t="str">
        <f t="shared" si="142"/>
        <v>WB39G8384</v>
      </c>
      <c r="L382" s="26">
        <v>46107</v>
      </c>
      <c r="M382" s="34" t="s">
        <v>2053</v>
      </c>
      <c r="N382" s="27" t="s">
        <v>2054</v>
      </c>
      <c r="O382" s="28">
        <v>0</v>
      </c>
      <c r="P382" s="27" t="s">
        <v>2055</v>
      </c>
      <c r="Q382" s="29">
        <v>2525377127</v>
      </c>
      <c r="R382" s="30">
        <v>2110826726</v>
      </c>
      <c r="S382" s="63" t="s">
        <v>73</v>
      </c>
      <c r="T382" s="24" t="s">
        <v>91</v>
      </c>
      <c r="U382" s="24" t="s">
        <v>75</v>
      </c>
      <c r="V382" s="32" t="s">
        <v>616</v>
      </c>
      <c r="W382" s="32" t="s">
        <v>492</v>
      </c>
      <c r="X382" s="32" t="s">
        <v>2056</v>
      </c>
      <c r="Y382" s="24">
        <v>934</v>
      </c>
      <c r="Z382" s="24">
        <v>25</v>
      </c>
      <c r="AA382" s="24">
        <f t="shared" si="143"/>
        <v>887.3</v>
      </c>
      <c r="AB382" s="24">
        <f t="shared" si="136"/>
        <v>23350</v>
      </c>
      <c r="AC382" s="24">
        <f t="shared" si="137"/>
        <v>22182.5</v>
      </c>
      <c r="AD382" s="24">
        <f t="shared" si="138"/>
        <v>22182.5</v>
      </c>
      <c r="AE382" s="24">
        <f t="shared" si="139"/>
        <v>1167.5</v>
      </c>
      <c r="AF382" s="24">
        <f t="shared" si="157"/>
        <v>221.82500000000002</v>
      </c>
      <c r="AG382" s="33">
        <v>3200</v>
      </c>
      <c r="AH382" s="24"/>
      <c r="AI382" s="24"/>
      <c r="AJ382" s="24"/>
      <c r="AK382" s="24"/>
      <c r="AL382" s="24"/>
      <c r="AM382" s="24" t="s">
        <v>79</v>
      </c>
      <c r="AN382" s="34" t="s">
        <v>2057</v>
      </c>
      <c r="AO382" s="35" t="s">
        <v>1673</v>
      </c>
      <c r="AP382" s="24">
        <f>225*2</f>
        <v>450</v>
      </c>
      <c r="AQ382" s="36">
        <f t="shared" si="144"/>
        <v>138.46153846153845</v>
      </c>
      <c r="AR382" s="80">
        <v>184</v>
      </c>
      <c r="AS382" s="47">
        <f t="shared" si="145"/>
        <v>45.538461538461547</v>
      </c>
      <c r="AT382" s="31"/>
      <c r="AU382" s="47">
        <f t="shared" si="146"/>
        <v>45.538461538461547</v>
      </c>
      <c r="AV382" s="81">
        <v>91.99</v>
      </c>
      <c r="AW382" s="24">
        <f t="shared" si="140"/>
        <v>16926.16</v>
      </c>
      <c r="AX382" s="24">
        <f t="shared" si="152"/>
        <v>90.729899695706067</v>
      </c>
      <c r="AY382" s="24"/>
      <c r="AZ382" s="24"/>
      <c r="BA382" s="24"/>
      <c r="BB382" s="24">
        <f t="shared" si="147"/>
        <v>0</v>
      </c>
      <c r="BC382" s="24">
        <f t="shared" si="148"/>
        <v>1834.5149999999994</v>
      </c>
      <c r="BD382" s="24"/>
      <c r="BE382" s="24"/>
      <c r="BF382" s="24"/>
      <c r="BG382" s="24">
        <f>+AB382*9.5%</f>
        <v>2218.25</v>
      </c>
      <c r="BH382" s="24"/>
      <c r="BI382" s="24"/>
      <c r="BJ382" s="24">
        <f t="shared" si="149"/>
        <v>22.182500000000001</v>
      </c>
      <c r="BK382" s="24">
        <f t="shared" si="150"/>
        <v>4030.5824999999995</v>
      </c>
      <c r="BL382" s="24" t="s">
        <v>261</v>
      </c>
      <c r="BM382" s="42">
        <f t="shared" si="141"/>
        <v>3</v>
      </c>
      <c r="BN382" s="24" t="s">
        <v>139</v>
      </c>
      <c r="BO382" s="2" t="s">
        <v>175</v>
      </c>
    </row>
    <row r="383" spans="1:67" s="1" customFormat="1" ht="15" customHeight="1" x14ac:dyDescent="0.3">
      <c r="A383" s="20">
        <v>379</v>
      </c>
      <c r="B383" s="21">
        <v>46105</v>
      </c>
      <c r="C383" s="21">
        <v>46111</v>
      </c>
      <c r="D383" s="50" t="s">
        <v>2058</v>
      </c>
      <c r="E383" s="23">
        <v>46123</v>
      </c>
      <c r="F383" s="23" t="s">
        <v>7</v>
      </c>
      <c r="G383" s="24" t="s">
        <v>68</v>
      </c>
      <c r="H383" s="24" t="s">
        <v>69</v>
      </c>
      <c r="I383" s="24" t="s">
        <v>70</v>
      </c>
      <c r="J383" s="25" t="s">
        <v>336</v>
      </c>
      <c r="K383" s="59" t="str">
        <f t="shared" si="142"/>
        <v>WB39B0801</v>
      </c>
      <c r="L383" s="26">
        <v>46106</v>
      </c>
      <c r="M383" s="34" t="s">
        <v>2059</v>
      </c>
      <c r="N383" s="27" t="s">
        <v>2060</v>
      </c>
      <c r="O383" s="28">
        <v>0</v>
      </c>
      <c r="P383" s="27" t="s">
        <v>2061</v>
      </c>
      <c r="Q383" s="29">
        <v>2525377194</v>
      </c>
      <c r="R383" s="30">
        <v>2110826779</v>
      </c>
      <c r="S383" s="60" t="s">
        <v>73</v>
      </c>
      <c r="T383" s="24" t="s">
        <v>74</v>
      </c>
      <c r="U383" s="24" t="s">
        <v>75</v>
      </c>
      <c r="V383" s="32" t="s">
        <v>414</v>
      </c>
      <c r="W383" s="32" t="s">
        <v>415</v>
      </c>
      <c r="X383" s="32" t="s">
        <v>2062</v>
      </c>
      <c r="Y383" s="24">
        <v>654</v>
      </c>
      <c r="Z383" s="24">
        <v>11</v>
      </c>
      <c r="AA383" s="24">
        <f t="shared" si="143"/>
        <v>621.29999999999995</v>
      </c>
      <c r="AB383" s="24">
        <f t="shared" si="136"/>
        <v>7194</v>
      </c>
      <c r="AC383" s="24">
        <f t="shared" si="137"/>
        <v>6834.3</v>
      </c>
      <c r="AD383" s="24">
        <f t="shared" si="138"/>
        <v>6834.2999999999993</v>
      </c>
      <c r="AE383" s="24">
        <f t="shared" si="139"/>
        <v>359.70000000000073</v>
      </c>
      <c r="AF383" s="24">
        <f t="shared" si="157"/>
        <v>68.342999999999989</v>
      </c>
      <c r="AG383" s="33">
        <v>3300</v>
      </c>
      <c r="AH383" s="24"/>
      <c r="AI383" s="24"/>
      <c r="AJ383" s="24"/>
      <c r="AK383" s="24"/>
      <c r="AL383" s="24"/>
      <c r="AM383" s="24" t="s">
        <v>79</v>
      </c>
      <c r="AN383" s="34" t="s">
        <v>2063</v>
      </c>
      <c r="AO383" s="35" t="s">
        <v>1673</v>
      </c>
      <c r="AP383" s="24">
        <f>124*2</f>
        <v>248</v>
      </c>
      <c r="AQ383" s="36">
        <f t="shared" si="144"/>
        <v>76.307692307692307</v>
      </c>
      <c r="AR383" s="80">
        <v>73</v>
      </c>
      <c r="AS383" s="47">
        <f t="shared" si="145"/>
        <v>-3.3076923076923066</v>
      </c>
      <c r="AT383" s="31"/>
      <c r="AU383" s="47">
        <f t="shared" si="146"/>
        <v>-3.3076923076923066</v>
      </c>
      <c r="AV383" s="81">
        <v>91.99</v>
      </c>
      <c r="AW383" s="24">
        <f t="shared" si="140"/>
        <v>6715.2699999999995</v>
      </c>
      <c r="AX383" s="24">
        <f t="shared" si="152"/>
        <v>146.5441961868809</v>
      </c>
      <c r="AY383" s="24">
        <v>120</v>
      </c>
      <c r="AZ383" s="24"/>
      <c r="BA383" s="24"/>
      <c r="BB383" s="24">
        <f t="shared" si="147"/>
        <v>0</v>
      </c>
      <c r="BC383" s="24">
        <f t="shared" si="148"/>
        <v>-3369.3130000000001</v>
      </c>
      <c r="BD383" s="24">
        <v>110</v>
      </c>
      <c r="BE383" s="24">
        <v>110</v>
      </c>
      <c r="BF383" s="24"/>
      <c r="BG383" s="24">
        <f t="shared" ref="BG383:BG384" si="160">+AD383*8.5%</f>
        <v>580.91549999999995</v>
      </c>
      <c r="BH383" s="24">
        <f t="shared" ref="BH383:BH384" si="161">+AD383*8.5%</f>
        <v>580.91549999999995</v>
      </c>
      <c r="BI383" s="24"/>
      <c r="BJ383" s="24">
        <f t="shared" si="149"/>
        <v>11.618309999999999</v>
      </c>
      <c r="BK383" s="24">
        <f t="shared" si="150"/>
        <v>-1999.10031</v>
      </c>
      <c r="BL383" s="24" t="s">
        <v>82</v>
      </c>
      <c r="BM383" s="42">
        <f t="shared" si="141"/>
        <v>2</v>
      </c>
      <c r="BN383" s="24" t="s">
        <v>83</v>
      </c>
      <c r="BO383" s="2" t="s">
        <v>84</v>
      </c>
    </row>
    <row r="384" spans="1:67" s="1" customFormat="1" ht="15" customHeight="1" x14ac:dyDescent="0.3">
      <c r="A384" s="20">
        <v>380</v>
      </c>
      <c r="B384" s="21">
        <v>46105</v>
      </c>
      <c r="C384" s="21">
        <v>46111</v>
      </c>
      <c r="D384" s="50" t="s">
        <v>2058</v>
      </c>
      <c r="E384" s="23">
        <v>46123</v>
      </c>
      <c r="F384" s="23" t="s">
        <v>7</v>
      </c>
      <c r="G384" s="24" t="s">
        <v>68</v>
      </c>
      <c r="H384" s="24" t="s">
        <v>69</v>
      </c>
      <c r="I384" s="24" t="s">
        <v>70</v>
      </c>
      <c r="J384" s="25" t="s">
        <v>336</v>
      </c>
      <c r="K384" s="59" t="str">
        <f t="shared" si="142"/>
        <v>WB39B0801</v>
      </c>
      <c r="L384" s="26">
        <v>46106</v>
      </c>
      <c r="M384" s="34" t="s">
        <v>2064</v>
      </c>
      <c r="N384" s="27" t="s">
        <v>2065</v>
      </c>
      <c r="O384" s="28">
        <v>0</v>
      </c>
      <c r="P384" s="27" t="s">
        <v>2066</v>
      </c>
      <c r="Q384" s="29">
        <v>2525377197</v>
      </c>
      <c r="R384" s="30">
        <v>2110826820</v>
      </c>
      <c r="S384" s="60" t="s">
        <v>73</v>
      </c>
      <c r="T384" s="24" t="s">
        <v>74</v>
      </c>
      <c r="U384" s="24" t="s">
        <v>75</v>
      </c>
      <c r="V384" s="32" t="s">
        <v>414</v>
      </c>
      <c r="W384" s="32" t="s">
        <v>415</v>
      </c>
      <c r="X384" s="32"/>
      <c r="Y384" s="24">
        <v>654</v>
      </c>
      <c r="Z384" s="24">
        <v>8</v>
      </c>
      <c r="AA384" s="24">
        <f t="shared" si="143"/>
        <v>621.29999999999995</v>
      </c>
      <c r="AB384" s="24">
        <f t="shared" si="136"/>
        <v>5232</v>
      </c>
      <c r="AC384" s="24">
        <f t="shared" si="137"/>
        <v>4970.3999999999996</v>
      </c>
      <c r="AD384" s="24">
        <f t="shared" si="138"/>
        <v>4970.3999999999996</v>
      </c>
      <c r="AE384" s="24">
        <f t="shared" si="139"/>
        <v>261.60000000000036</v>
      </c>
      <c r="AF384" s="24">
        <f t="shared" si="157"/>
        <v>49.704000000000001</v>
      </c>
      <c r="AG384" s="31"/>
      <c r="AH384" s="24"/>
      <c r="AI384" s="24"/>
      <c r="AJ384" s="24"/>
      <c r="AK384" s="24"/>
      <c r="AL384" s="24"/>
      <c r="AM384" s="24">
        <v>0</v>
      </c>
      <c r="AN384" s="34"/>
      <c r="AO384" s="35"/>
      <c r="AP384" s="24"/>
      <c r="AQ384" s="36">
        <f t="shared" si="144"/>
        <v>0</v>
      </c>
      <c r="AR384" s="16">
        <v>0</v>
      </c>
      <c r="AS384" s="47">
        <f t="shared" si="145"/>
        <v>0</v>
      </c>
      <c r="AT384" s="31"/>
      <c r="AU384" s="47">
        <f t="shared" si="146"/>
        <v>0</v>
      </c>
      <c r="AV384" s="48">
        <v>91.99</v>
      </c>
      <c r="AW384" s="24">
        <f t="shared" si="140"/>
        <v>0</v>
      </c>
      <c r="AX384" s="24">
        <f t="shared" si="152"/>
        <v>0</v>
      </c>
      <c r="AY384" s="24"/>
      <c r="AZ384" s="24"/>
      <c r="BA384" s="24"/>
      <c r="BB384" s="24">
        <f t="shared" si="147"/>
        <v>0</v>
      </c>
      <c r="BC384" s="24">
        <f t="shared" si="148"/>
        <v>4920.6959999999999</v>
      </c>
      <c r="BD384" s="24"/>
      <c r="BE384" s="24"/>
      <c r="BF384" s="24"/>
      <c r="BG384" s="24">
        <f t="shared" si="160"/>
        <v>422.48399999999998</v>
      </c>
      <c r="BH384" s="24">
        <f t="shared" si="161"/>
        <v>422.48399999999998</v>
      </c>
      <c r="BI384" s="24"/>
      <c r="BJ384" s="24">
        <f t="shared" si="149"/>
        <v>8.449679999999999</v>
      </c>
      <c r="BK384" s="24">
        <f t="shared" si="150"/>
        <v>5757.214320000001</v>
      </c>
      <c r="BL384" s="24" t="s">
        <v>82</v>
      </c>
      <c r="BM384" s="42">
        <f t="shared" si="141"/>
        <v>2</v>
      </c>
      <c r="BN384" s="24" t="s">
        <v>83</v>
      </c>
      <c r="BO384" s="2" t="s">
        <v>84</v>
      </c>
    </row>
    <row r="385" spans="1:67" s="1" customFormat="1" ht="15" customHeight="1" x14ac:dyDescent="0.3">
      <c r="A385" s="20">
        <v>381</v>
      </c>
      <c r="B385" s="21">
        <v>46105</v>
      </c>
      <c r="C385" s="21">
        <v>46111</v>
      </c>
      <c r="D385" s="73" t="s">
        <v>1993</v>
      </c>
      <c r="E385" s="23">
        <v>46111</v>
      </c>
      <c r="F385" s="23" t="s">
        <v>7</v>
      </c>
      <c r="G385" s="24" t="s">
        <v>68</v>
      </c>
      <c r="H385" s="24" t="s">
        <v>69</v>
      </c>
      <c r="I385" s="24" t="s">
        <v>70</v>
      </c>
      <c r="J385" s="25" t="s">
        <v>150</v>
      </c>
      <c r="K385" s="45" t="str">
        <f t="shared" si="142"/>
        <v>WB39B9201</v>
      </c>
      <c r="L385" s="26">
        <v>46106</v>
      </c>
      <c r="M385" s="34" t="s">
        <v>2067</v>
      </c>
      <c r="N385" s="27" t="s">
        <v>2068</v>
      </c>
      <c r="O385" s="28">
        <v>0</v>
      </c>
      <c r="P385" s="27" t="s">
        <v>2069</v>
      </c>
      <c r="Q385" s="29">
        <v>2525377216</v>
      </c>
      <c r="R385" s="30">
        <v>2110826824</v>
      </c>
      <c r="S385" s="31" t="s">
        <v>73</v>
      </c>
      <c r="T385" s="24" t="s">
        <v>91</v>
      </c>
      <c r="U385" s="24" t="s">
        <v>75</v>
      </c>
      <c r="V385" s="32" t="s">
        <v>1196</v>
      </c>
      <c r="W385" s="32" t="s">
        <v>1197</v>
      </c>
      <c r="X385" s="32"/>
      <c r="Y385" s="24">
        <v>1081</v>
      </c>
      <c r="Z385" s="24">
        <v>25</v>
      </c>
      <c r="AA385" s="24">
        <f t="shared" si="143"/>
        <v>1026.95</v>
      </c>
      <c r="AB385" s="24">
        <f t="shared" si="136"/>
        <v>27025</v>
      </c>
      <c r="AC385" s="24">
        <f t="shared" si="137"/>
        <v>25673.75</v>
      </c>
      <c r="AD385" s="24">
        <f t="shared" si="138"/>
        <v>25673.75</v>
      </c>
      <c r="AE385" s="24">
        <f t="shared" si="139"/>
        <v>1351.25</v>
      </c>
      <c r="AF385" s="24">
        <v>0</v>
      </c>
      <c r="AG385" s="33">
        <v>3800</v>
      </c>
      <c r="AH385" s="24"/>
      <c r="AI385" s="24"/>
      <c r="AJ385" s="24"/>
      <c r="AK385" s="24"/>
      <c r="AL385" s="24"/>
      <c r="AM385" s="24" t="s">
        <v>79</v>
      </c>
      <c r="AN385" s="34" t="s">
        <v>2070</v>
      </c>
      <c r="AO385" s="35" t="s">
        <v>1673</v>
      </c>
      <c r="AP385" s="24">
        <f>294*2</f>
        <v>588</v>
      </c>
      <c r="AQ385" s="36">
        <f t="shared" si="144"/>
        <v>180.92307692307693</v>
      </c>
      <c r="AR385" s="80">
        <v>150</v>
      </c>
      <c r="AS385" s="47">
        <f t="shared" si="145"/>
        <v>-30.923076923076934</v>
      </c>
      <c r="AT385" s="31"/>
      <c r="AU385" s="47">
        <f t="shared" si="146"/>
        <v>-30.923076923076934</v>
      </c>
      <c r="AV385" s="81">
        <v>91.99</v>
      </c>
      <c r="AW385" s="24">
        <f t="shared" si="140"/>
        <v>13798.5</v>
      </c>
      <c r="AX385" s="24">
        <f t="shared" si="152"/>
        <v>68.546667315838164</v>
      </c>
      <c r="AY385" s="24"/>
      <c r="AZ385" s="24"/>
      <c r="BA385" s="24"/>
      <c r="BB385" s="24">
        <f t="shared" si="147"/>
        <v>0</v>
      </c>
      <c r="BC385" s="24">
        <f t="shared" si="148"/>
        <v>8075.25</v>
      </c>
      <c r="BD385" s="24">
        <v>135</v>
      </c>
      <c r="BE385" s="24">
        <v>135</v>
      </c>
      <c r="BF385" s="24"/>
      <c r="BG385" s="24">
        <f>+AB385*9.5%</f>
        <v>2567.375</v>
      </c>
      <c r="BH385" s="24"/>
      <c r="BI385" s="24"/>
      <c r="BJ385" s="24">
        <f t="shared" si="149"/>
        <v>25.673750000000002</v>
      </c>
      <c r="BK385" s="24">
        <f t="shared" si="150"/>
        <v>10886.95125</v>
      </c>
      <c r="BL385" s="24" t="s">
        <v>155</v>
      </c>
      <c r="BM385" s="42">
        <f t="shared" si="141"/>
        <v>2</v>
      </c>
      <c r="BN385" s="24" t="s">
        <v>83</v>
      </c>
      <c r="BO385" s="2" t="s">
        <v>175</v>
      </c>
    </row>
    <row r="386" spans="1:67" s="1" customFormat="1" ht="15" customHeight="1" x14ac:dyDescent="0.3">
      <c r="A386" s="20">
        <v>382</v>
      </c>
      <c r="B386" s="21">
        <v>46105</v>
      </c>
      <c r="C386" s="21">
        <v>46111</v>
      </c>
      <c r="D386" s="50" t="s">
        <v>2071</v>
      </c>
      <c r="E386" s="23">
        <v>46130</v>
      </c>
      <c r="F386" s="23" t="s">
        <v>7</v>
      </c>
      <c r="G386" s="24" t="s">
        <v>87</v>
      </c>
      <c r="H386" s="24" t="s">
        <v>69</v>
      </c>
      <c r="I386" s="24" t="s">
        <v>70</v>
      </c>
      <c r="J386" s="25" t="s">
        <v>203</v>
      </c>
      <c r="K386" s="45" t="str">
        <f t="shared" si="142"/>
        <v>WB39B0800</v>
      </c>
      <c r="L386" s="26">
        <v>46106</v>
      </c>
      <c r="M386" s="34" t="s">
        <v>2072</v>
      </c>
      <c r="N386" s="27" t="s">
        <v>2073</v>
      </c>
      <c r="O386" s="28">
        <v>0</v>
      </c>
      <c r="P386" s="27"/>
      <c r="Q386" s="29">
        <v>2525377517</v>
      </c>
      <c r="R386" s="30">
        <v>2110826861</v>
      </c>
      <c r="S386" s="31" t="s">
        <v>73</v>
      </c>
      <c r="T386" s="24" t="s">
        <v>74</v>
      </c>
      <c r="U386" s="24" t="s">
        <v>75</v>
      </c>
      <c r="V386" s="32" t="s">
        <v>2074</v>
      </c>
      <c r="W386" s="32" t="s">
        <v>2075</v>
      </c>
      <c r="X386" s="32" t="s">
        <v>2076</v>
      </c>
      <c r="Y386" s="24">
        <v>675</v>
      </c>
      <c r="Z386" s="24">
        <v>19</v>
      </c>
      <c r="AA386" s="24">
        <f t="shared" si="143"/>
        <v>641.25</v>
      </c>
      <c r="AB386" s="24">
        <f t="shared" si="136"/>
        <v>12825</v>
      </c>
      <c r="AC386" s="24">
        <f t="shared" si="137"/>
        <v>12183.75</v>
      </c>
      <c r="AD386" s="24">
        <f t="shared" si="138"/>
        <v>12183.75</v>
      </c>
      <c r="AE386" s="24">
        <f t="shared" si="139"/>
        <v>641.25</v>
      </c>
      <c r="AF386" s="24">
        <f t="shared" si="157"/>
        <v>121.83750000000001</v>
      </c>
      <c r="AG386" s="33">
        <v>2800</v>
      </c>
      <c r="AH386" s="24"/>
      <c r="AI386" s="24">
        <v>27500</v>
      </c>
      <c r="AJ386" s="24"/>
      <c r="AK386" s="24"/>
      <c r="AL386" s="24"/>
      <c r="AM386" s="24" t="s">
        <v>79</v>
      </c>
      <c r="AN386" s="34" t="s">
        <v>2077</v>
      </c>
      <c r="AO386" s="35" t="s">
        <v>1673</v>
      </c>
      <c r="AP386" s="24">
        <f>135*2</f>
        <v>270</v>
      </c>
      <c r="AQ386" s="36">
        <f t="shared" si="144"/>
        <v>83.07692307692308</v>
      </c>
      <c r="AR386" s="80">
        <v>80</v>
      </c>
      <c r="AS386" s="47">
        <f t="shared" si="145"/>
        <v>-3.0769230769230802</v>
      </c>
      <c r="AT386" s="31"/>
      <c r="AU386" s="47">
        <f t="shared" si="146"/>
        <v>-3.0769230769230802</v>
      </c>
      <c r="AV386" s="81">
        <v>91.99</v>
      </c>
      <c r="AW386" s="24">
        <f t="shared" si="140"/>
        <v>7359.2</v>
      </c>
      <c r="AX386" s="24">
        <f t="shared" si="152"/>
        <v>83.383194829178223</v>
      </c>
      <c r="AY386" s="24">
        <v>120</v>
      </c>
      <c r="AZ386" s="24"/>
      <c r="BA386" s="24"/>
      <c r="BB386" s="24">
        <f t="shared" si="147"/>
        <v>0</v>
      </c>
      <c r="BC386" s="24">
        <f t="shared" si="148"/>
        <v>-25717.287500000002</v>
      </c>
      <c r="BD386" s="24">
        <v>110</v>
      </c>
      <c r="BE386" s="24">
        <v>0</v>
      </c>
      <c r="BF386" s="24"/>
      <c r="BG386" s="24">
        <f>+AD386*8.5%</f>
        <v>1035.6187500000001</v>
      </c>
      <c r="BH386" s="24">
        <f>+AD386*8.5%</f>
        <v>1035.6187500000001</v>
      </c>
      <c r="BI386" s="24"/>
      <c r="BJ386" s="24">
        <f t="shared" si="149"/>
        <v>20.712375000000002</v>
      </c>
      <c r="BK386" s="24">
        <f t="shared" si="150"/>
        <v>-23556.762374999998</v>
      </c>
      <c r="BL386" s="24" t="s">
        <v>82</v>
      </c>
      <c r="BM386" s="42">
        <f t="shared" si="141"/>
        <v>2</v>
      </c>
      <c r="BN386" s="24" t="s">
        <v>83</v>
      </c>
      <c r="BO386" s="2" t="s">
        <v>148</v>
      </c>
    </row>
    <row r="387" spans="1:67" s="1" customFormat="1" ht="15" customHeight="1" x14ac:dyDescent="0.3">
      <c r="A387" s="20">
        <v>383</v>
      </c>
      <c r="B387" s="21">
        <v>46106</v>
      </c>
      <c r="C387" s="21">
        <v>46111</v>
      </c>
      <c r="D387" s="73" t="s">
        <v>1993</v>
      </c>
      <c r="E387" s="23">
        <v>46111</v>
      </c>
      <c r="F387" s="23" t="s">
        <v>7</v>
      </c>
      <c r="G387" s="24" t="s">
        <v>68</v>
      </c>
      <c r="H387" s="24" t="s">
        <v>69</v>
      </c>
      <c r="I387" s="24" t="s">
        <v>70</v>
      </c>
      <c r="J387" s="25" t="s">
        <v>842</v>
      </c>
      <c r="K387" s="45" t="str">
        <f t="shared" si="142"/>
        <v>WB39B8924</v>
      </c>
      <c r="L387" s="26">
        <v>46107</v>
      </c>
      <c r="M387" s="34" t="s">
        <v>2078</v>
      </c>
      <c r="N387" s="27" t="s">
        <v>2079</v>
      </c>
      <c r="O387" s="28">
        <v>0</v>
      </c>
      <c r="P387" s="27" t="s">
        <v>2080</v>
      </c>
      <c r="Q387" s="29">
        <v>2525377871</v>
      </c>
      <c r="R387" s="30">
        <v>2110827359</v>
      </c>
      <c r="S387" s="31" t="s">
        <v>73</v>
      </c>
      <c r="T387" s="24" t="s">
        <v>91</v>
      </c>
      <c r="U387" s="24" t="s">
        <v>75</v>
      </c>
      <c r="V387" s="32" t="s">
        <v>483</v>
      </c>
      <c r="W387" s="32" t="s">
        <v>492</v>
      </c>
      <c r="X387" s="32"/>
      <c r="Y387" s="24">
        <v>1063</v>
      </c>
      <c r="Z387" s="24">
        <v>25</v>
      </c>
      <c r="AA387" s="24">
        <f t="shared" si="143"/>
        <v>1009.85</v>
      </c>
      <c r="AB387" s="24">
        <f t="shared" si="136"/>
        <v>26575</v>
      </c>
      <c r="AC387" s="24">
        <f t="shared" si="137"/>
        <v>25246.25</v>
      </c>
      <c r="AD387" s="24">
        <f t="shared" si="138"/>
        <v>25246.25</v>
      </c>
      <c r="AE387" s="24">
        <f t="shared" si="139"/>
        <v>1328.75</v>
      </c>
      <c r="AF387" s="24">
        <f t="shared" si="157"/>
        <v>252.46250000000001</v>
      </c>
      <c r="AG387" s="33">
        <v>3600</v>
      </c>
      <c r="AH387" s="24"/>
      <c r="AI387" s="24"/>
      <c r="AJ387" s="24"/>
      <c r="AK387" s="24"/>
      <c r="AL387" s="24"/>
      <c r="AM387" s="24" t="s">
        <v>79</v>
      </c>
      <c r="AN387" s="34" t="s">
        <v>2081</v>
      </c>
      <c r="AO387" s="35" t="s">
        <v>1673</v>
      </c>
      <c r="AP387" s="24">
        <f>258*2</f>
        <v>516</v>
      </c>
      <c r="AQ387" s="36">
        <f t="shared" si="144"/>
        <v>158.76923076923077</v>
      </c>
      <c r="AR387" s="80">
        <v>165</v>
      </c>
      <c r="AS387" s="47">
        <f t="shared" si="145"/>
        <v>6.2307692307692264</v>
      </c>
      <c r="AT387" s="31"/>
      <c r="AU387" s="47">
        <f t="shared" si="146"/>
        <v>6.2307692307692264</v>
      </c>
      <c r="AV387" s="83">
        <v>91.88</v>
      </c>
      <c r="AW387" s="24">
        <f t="shared" si="140"/>
        <v>15160.199999999999</v>
      </c>
      <c r="AX387" s="24">
        <f t="shared" si="152"/>
        <v>74.308857751151152</v>
      </c>
      <c r="AY387" s="24"/>
      <c r="AZ387" s="24"/>
      <c r="BA387" s="24"/>
      <c r="BB387" s="24">
        <f t="shared" si="147"/>
        <v>0</v>
      </c>
      <c r="BC387" s="24">
        <f t="shared" si="148"/>
        <v>6233.5874999999996</v>
      </c>
      <c r="BD387" s="24"/>
      <c r="BE387" s="24"/>
      <c r="BF387" s="24"/>
      <c r="BG387" s="24">
        <f>+AD387*9.5%</f>
        <v>2398.3937500000002</v>
      </c>
      <c r="BH387" s="24"/>
      <c r="BI387" s="24"/>
      <c r="BJ387" s="24">
        <f t="shared" si="149"/>
        <v>23.983937500000003</v>
      </c>
      <c r="BK387" s="24">
        <f t="shared" si="150"/>
        <v>8607.9973125000015</v>
      </c>
      <c r="BL387" s="24" t="s">
        <v>638</v>
      </c>
      <c r="BM387" s="42">
        <f t="shared" si="141"/>
        <v>2</v>
      </c>
      <c r="BN387" s="24" t="s">
        <v>83</v>
      </c>
      <c r="BO387" s="2" t="s">
        <v>84</v>
      </c>
    </row>
    <row r="388" spans="1:67" s="1" customFormat="1" ht="15" customHeight="1" x14ac:dyDescent="0.3">
      <c r="A388" s="20">
        <v>384</v>
      </c>
      <c r="B388" s="21">
        <v>46106</v>
      </c>
      <c r="C388" s="21">
        <v>46111</v>
      </c>
      <c r="D388" s="50" t="s">
        <v>1720</v>
      </c>
      <c r="E388" s="23">
        <v>46139</v>
      </c>
      <c r="F388" s="23" t="s">
        <v>7</v>
      </c>
      <c r="G388" s="24" t="s">
        <v>68</v>
      </c>
      <c r="H388" s="24" t="s">
        <v>69</v>
      </c>
      <c r="I388" s="24" t="s">
        <v>112</v>
      </c>
      <c r="J388" s="25" t="s">
        <v>558</v>
      </c>
      <c r="K388" s="45" t="str">
        <f t="shared" si="142"/>
        <v>WB39A5858</v>
      </c>
      <c r="L388" s="26">
        <v>46107</v>
      </c>
      <c r="M388" s="34" t="s">
        <v>2082</v>
      </c>
      <c r="N388" s="27" t="s">
        <v>2083</v>
      </c>
      <c r="O388" s="28">
        <v>0</v>
      </c>
      <c r="P388" s="27" t="s">
        <v>2084</v>
      </c>
      <c r="Q388" s="29">
        <v>2525377861</v>
      </c>
      <c r="R388" s="30">
        <v>2110827338</v>
      </c>
      <c r="S388" s="31" t="s">
        <v>73</v>
      </c>
      <c r="T388" s="24" t="s">
        <v>74</v>
      </c>
      <c r="U388" s="24" t="s">
        <v>75</v>
      </c>
      <c r="V388" s="32" t="s">
        <v>2085</v>
      </c>
      <c r="W388" s="32" t="s">
        <v>2086</v>
      </c>
      <c r="X388" s="32" t="s">
        <v>2087</v>
      </c>
      <c r="Y388" s="24">
        <v>1170</v>
      </c>
      <c r="Z388" s="24">
        <v>19</v>
      </c>
      <c r="AA388" s="24">
        <f t="shared" si="143"/>
        <v>1111.5</v>
      </c>
      <c r="AB388" s="24">
        <f t="shared" si="136"/>
        <v>22230</v>
      </c>
      <c r="AC388" s="24">
        <f t="shared" si="137"/>
        <v>21118.5</v>
      </c>
      <c r="AD388" s="24">
        <f t="shared" si="138"/>
        <v>21118.5</v>
      </c>
      <c r="AE388" s="24">
        <f t="shared" si="139"/>
        <v>1111.5</v>
      </c>
      <c r="AF388" s="24">
        <v>0</v>
      </c>
      <c r="AG388" s="33">
        <v>5500</v>
      </c>
      <c r="AH388" s="24"/>
      <c r="AI388" s="24"/>
      <c r="AJ388" s="24"/>
      <c r="AK388" s="24"/>
      <c r="AL388" s="24"/>
      <c r="AM388" s="24" t="s">
        <v>79</v>
      </c>
      <c r="AN388" s="34" t="s">
        <v>2088</v>
      </c>
      <c r="AO388" s="35" t="s">
        <v>1673</v>
      </c>
      <c r="AP388" s="24">
        <f>288*2</f>
        <v>576</v>
      </c>
      <c r="AQ388" s="36">
        <f t="shared" si="144"/>
        <v>177.23076923076923</v>
      </c>
      <c r="AR388" s="80">
        <v>145</v>
      </c>
      <c r="AS388" s="47">
        <f t="shared" si="145"/>
        <v>-32.230769230769226</v>
      </c>
      <c r="AT388" s="31"/>
      <c r="AU388" s="47">
        <f t="shared" si="146"/>
        <v>-32.230769230769226</v>
      </c>
      <c r="AV388" s="81">
        <v>91.99</v>
      </c>
      <c r="AW388" s="24">
        <f t="shared" si="140"/>
        <v>13338.55</v>
      </c>
      <c r="AX388" s="24">
        <f t="shared" si="152"/>
        <v>89.204015436702406</v>
      </c>
      <c r="AY388" s="24"/>
      <c r="AZ388" s="24"/>
      <c r="BA388" s="24"/>
      <c r="BB388" s="24">
        <f t="shared" si="147"/>
        <v>0</v>
      </c>
      <c r="BC388" s="24">
        <f t="shared" si="148"/>
        <v>2279.9500000000007</v>
      </c>
      <c r="BD388" s="24"/>
      <c r="BE388" s="24"/>
      <c r="BF388" s="24"/>
      <c r="BG388" s="24">
        <f>+AB388*9.5%</f>
        <v>2111.85</v>
      </c>
      <c r="BH388" s="24">
        <f>+AB388*8.5%</f>
        <v>1889.5500000000002</v>
      </c>
      <c r="BI388" s="24"/>
      <c r="BJ388" s="24">
        <f t="shared" si="149"/>
        <v>40.014000000000003</v>
      </c>
      <c r="BK388" s="24">
        <f t="shared" si="150"/>
        <v>6241.3360000000011</v>
      </c>
      <c r="BL388" s="24" t="s">
        <v>565</v>
      </c>
      <c r="BM388" s="42">
        <f t="shared" si="141"/>
        <v>2</v>
      </c>
      <c r="BN388" s="24" t="s">
        <v>83</v>
      </c>
      <c r="BO388" s="2" t="s">
        <v>84</v>
      </c>
    </row>
    <row r="389" spans="1:67" s="1" customFormat="1" ht="15" customHeight="1" x14ac:dyDescent="0.3">
      <c r="A389" s="20">
        <v>385</v>
      </c>
      <c r="B389" s="21">
        <v>46106</v>
      </c>
      <c r="C389" s="21">
        <v>46111</v>
      </c>
      <c r="D389" s="50" t="s">
        <v>2058</v>
      </c>
      <c r="E389" s="23">
        <v>46123</v>
      </c>
      <c r="F389" s="23" t="s">
        <v>7</v>
      </c>
      <c r="G389" s="24" t="s">
        <v>68</v>
      </c>
      <c r="H389" s="24" t="s">
        <v>69</v>
      </c>
      <c r="I389" s="24" t="s">
        <v>112</v>
      </c>
      <c r="J389" s="25" t="s">
        <v>157</v>
      </c>
      <c r="K389" s="59" t="str">
        <f t="shared" si="142"/>
        <v>WB39A6898</v>
      </c>
      <c r="L389" s="26">
        <v>46107</v>
      </c>
      <c r="M389" s="34" t="s">
        <v>2089</v>
      </c>
      <c r="N389" s="27" t="s">
        <v>2090</v>
      </c>
      <c r="O389" s="28">
        <v>0</v>
      </c>
      <c r="P389" s="27" t="s">
        <v>2091</v>
      </c>
      <c r="Q389" s="29">
        <v>2525377892</v>
      </c>
      <c r="R389" s="30">
        <v>2110827486</v>
      </c>
      <c r="S389" s="60" t="s">
        <v>73</v>
      </c>
      <c r="T389" s="24" t="s">
        <v>74</v>
      </c>
      <c r="U389" s="24" t="s">
        <v>75</v>
      </c>
      <c r="V389" s="32" t="s">
        <v>1165</v>
      </c>
      <c r="W389" s="32" t="s">
        <v>415</v>
      </c>
      <c r="X389" s="32" t="s">
        <v>2092</v>
      </c>
      <c r="Y389" s="24">
        <v>499</v>
      </c>
      <c r="Z389" s="24">
        <v>19</v>
      </c>
      <c r="AA389" s="24">
        <f t="shared" si="143"/>
        <v>474.05</v>
      </c>
      <c r="AB389" s="24">
        <f t="shared" ref="AB389:AB452" si="162">+Z389*Y389</f>
        <v>9481</v>
      </c>
      <c r="AC389" s="24">
        <f t="shared" ref="AC389:AC452" si="163">+AB389/100*95</f>
        <v>9006.9500000000007</v>
      </c>
      <c r="AD389" s="24">
        <f t="shared" ref="AD389:AD452" si="164">+AA389*Z389</f>
        <v>9006.9500000000007</v>
      </c>
      <c r="AE389" s="24">
        <f t="shared" ref="AE389:AE452" si="165">+AB389-AD389</f>
        <v>474.04999999999927</v>
      </c>
      <c r="AF389" s="24">
        <f t="shared" si="157"/>
        <v>90.069500000000005</v>
      </c>
      <c r="AG389" s="33">
        <v>4000</v>
      </c>
      <c r="AH389" s="24"/>
      <c r="AI389" s="24"/>
      <c r="AJ389" s="24"/>
      <c r="AK389" s="24"/>
      <c r="AL389" s="24"/>
      <c r="AM389" s="24" t="s">
        <v>79</v>
      </c>
      <c r="AN389" s="34" t="s">
        <v>2093</v>
      </c>
      <c r="AO389" s="35" t="s">
        <v>1673</v>
      </c>
      <c r="AP389" s="24">
        <f>84*2</f>
        <v>168</v>
      </c>
      <c r="AQ389" s="36">
        <f t="shared" si="144"/>
        <v>51.692307692307693</v>
      </c>
      <c r="AR389" s="80">
        <v>61</v>
      </c>
      <c r="AS389" s="47">
        <f t="shared" si="145"/>
        <v>9.3076923076923066</v>
      </c>
      <c r="AT389" s="31"/>
      <c r="AU389" s="47">
        <f t="shared" si="146"/>
        <v>9.3076923076923066</v>
      </c>
      <c r="AV389" s="81">
        <v>91.99</v>
      </c>
      <c r="AW389" s="24">
        <f t="shared" ref="AW389:AW452" si="166">+AR389*AV389</f>
        <v>5611.3899999999994</v>
      </c>
      <c r="AX389" s="24">
        <f t="shared" si="152"/>
        <v>106.71081775739843</v>
      </c>
      <c r="AY389" s="24">
        <v>120</v>
      </c>
      <c r="AZ389" s="24"/>
      <c r="BA389" s="24"/>
      <c r="BB389" s="24">
        <f t="shared" si="147"/>
        <v>0</v>
      </c>
      <c r="BC389" s="24">
        <f t="shared" si="148"/>
        <v>-814.5094999999983</v>
      </c>
      <c r="BD389" s="24">
        <v>110</v>
      </c>
      <c r="BE389" s="24">
        <v>110</v>
      </c>
      <c r="BF389" s="24"/>
      <c r="BG389" s="24">
        <f>+AD389*8.5%</f>
        <v>765.59075000000007</v>
      </c>
      <c r="BH389" s="24">
        <f t="shared" ref="BH389" si="167">+AD389*8.5%</f>
        <v>765.59075000000007</v>
      </c>
      <c r="BI389" s="24"/>
      <c r="BJ389" s="24">
        <f t="shared" si="149"/>
        <v>15.311815000000001</v>
      </c>
      <c r="BK389" s="24">
        <f t="shared" si="150"/>
        <v>921.36018500000182</v>
      </c>
      <c r="BL389" s="24" t="s">
        <v>163</v>
      </c>
      <c r="BM389" s="42">
        <f t="shared" ref="BM389:BM452" si="168">+L389-B389+1</f>
        <v>2</v>
      </c>
      <c r="BN389" s="24" t="s">
        <v>83</v>
      </c>
      <c r="BO389" s="2" t="s">
        <v>84</v>
      </c>
    </row>
    <row r="390" spans="1:67" s="1" customFormat="1" ht="15" customHeight="1" x14ac:dyDescent="0.3">
      <c r="A390" s="20">
        <v>386</v>
      </c>
      <c r="B390" s="21">
        <v>46106</v>
      </c>
      <c r="C390" s="21">
        <v>46111</v>
      </c>
      <c r="D390" s="50" t="s">
        <v>1837</v>
      </c>
      <c r="E390" s="23">
        <v>46111</v>
      </c>
      <c r="F390" s="23" t="s">
        <v>7</v>
      </c>
      <c r="G390" s="24" t="s">
        <v>68</v>
      </c>
      <c r="H390" s="24" t="s">
        <v>69</v>
      </c>
      <c r="I390" s="24" t="s">
        <v>263</v>
      </c>
      <c r="J390" s="25" t="s">
        <v>264</v>
      </c>
      <c r="K390" s="45" t="str">
        <f t="shared" ref="K390:K453" si="169">CONCATENATE(H390,I390,J390)</f>
        <v>WB41G1024</v>
      </c>
      <c r="L390" s="26">
        <v>46107</v>
      </c>
      <c r="M390" s="34" t="s">
        <v>2094</v>
      </c>
      <c r="N390" s="27" t="s">
        <v>2095</v>
      </c>
      <c r="O390" s="28">
        <v>0</v>
      </c>
      <c r="P390" s="27" t="s">
        <v>2096</v>
      </c>
      <c r="Q390" s="29">
        <v>2525377868</v>
      </c>
      <c r="R390" s="30">
        <v>2110827356</v>
      </c>
      <c r="S390" s="31" t="s">
        <v>73</v>
      </c>
      <c r="T390" s="24" t="s">
        <v>91</v>
      </c>
      <c r="U390" s="24" t="s">
        <v>75</v>
      </c>
      <c r="V390" s="32" t="s">
        <v>483</v>
      </c>
      <c r="W390" s="32" t="s">
        <v>484</v>
      </c>
      <c r="X390" s="32" t="s">
        <v>2097</v>
      </c>
      <c r="Y390" s="24">
        <v>1063</v>
      </c>
      <c r="Z390" s="24">
        <v>25</v>
      </c>
      <c r="AA390" s="24">
        <f t="shared" ref="AA390:AA453" si="170">+Y390/100*95</f>
        <v>1009.85</v>
      </c>
      <c r="AB390" s="24">
        <f t="shared" si="162"/>
        <v>26575</v>
      </c>
      <c r="AC390" s="24">
        <f t="shared" si="163"/>
        <v>25246.25</v>
      </c>
      <c r="AD390" s="24">
        <f t="shared" si="164"/>
        <v>25246.25</v>
      </c>
      <c r="AE390" s="24">
        <f t="shared" si="165"/>
        <v>1328.75</v>
      </c>
      <c r="AF390" s="24">
        <v>0</v>
      </c>
      <c r="AG390" s="33">
        <v>3700</v>
      </c>
      <c r="AH390" s="24"/>
      <c r="AI390" s="24"/>
      <c r="AJ390" s="24"/>
      <c r="AK390" s="24"/>
      <c r="AL390" s="24"/>
      <c r="AM390" s="24" t="s">
        <v>79</v>
      </c>
      <c r="AN390" s="34" t="s">
        <v>2098</v>
      </c>
      <c r="AO390" s="35" t="s">
        <v>1673</v>
      </c>
      <c r="AP390" s="24">
        <f>258*2</f>
        <v>516</v>
      </c>
      <c r="AQ390" s="36">
        <f t="shared" ref="AQ390:AQ453" si="171">+AP390/3.25</f>
        <v>158.76923076923077</v>
      </c>
      <c r="AR390" s="80">
        <v>165</v>
      </c>
      <c r="AS390" s="47">
        <f t="shared" ref="AS390:AS453" si="172">+AR390-AQ390</f>
        <v>6.2307692307692264</v>
      </c>
      <c r="AT390" s="31"/>
      <c r="AU390" s="47">
        <f t="shared" ref="AU390:AU453" si="173">+AS390-AT390</f>
        <v>6.2307692307692264</v>
      </c>
      <c r="AV390" s="81">
        <v>91.99</v>
      </c>
      <c r="AW390" s="24">
        <f t="shared" si="166"/>
        <v>15178.349999999999</v>
      </c>
      <c r="AX390" s="24">
        <f t="shared" si="152"/>
        <v>74.776848046739602</v>
      </c>
      <c r="AY390" s="24"/>
      <c r="AZ390" s="24"/>
      <c r="BA390" s="24"/>
      <c r="BB390" s="24">
        <f t="shared" ref="BB390:BB453" si="174">+AZ390*BA390</f>
        <v>0</v>
      </c>
      <c r="BC390" s="24">
        <f t="shared" ref="BC390:BC453" si="175">+AD390-AF390-AG390-AH390-AI390-AJ390-AK390-AW390-AY390-BB390-AL390</f>
        <v>6367.9000000000015</v>
      </c>
      <c r="BD390" s="24"/>
      <c r="BE390" s="24"/>
      <c r="BF390" s="24"/>
      <c r="BG390" s="24">
        <f t="shared" ref="BG390:BG397" si="176">+AB390*9.5%</f>
        <v>2524.625</v>
      </c>
      <c r="BH390" s="24"/>
      <c r="BI390" s="24"/>
      <c r="BJ390" s="24">
        <f t="shared" ref="BJ390:BJ453" si="177">+(+BF390+BG390+BH390+BI390)*1%</f>
        <v>25.24625</v>
      </c>
      <c r="BK390" s="24">
        <f t="shared" ref="BK390:BK453" si="178">+BC390+BD390+BE390+BF390+BG390+BH390+BI390-BJ390</f>
        <v>8867.2787500000013</v>
      </c>
      <c r="BL390" s="24" t="s">
        <v>96</v>
      </c>
      <c r="BM390" s="42">
        <f t="shared" si="168"/>
        <v>2</v>
      </c>
      <c r="BN390" s="24" t="s">
        <v>83</v>
      </c>
      <c r="BO390" s="2" t="s">
        <v>84</v>
      </c>
    </row>
    <row r="391" spans="1:67" s="1" customFormat="1" ht="15" customHeight="1" x14ac:dyDescent="0.3">
      <c r="A391" s="20">
        <v>387</v>
      </c>
      <c r="B391" s="21">
        <v>46106</v>
      </c>
      <c r="C391" s="21">
        <v>46111</v>
      </c>
      <c r="D391" s="50" t="s">
        <v>1837</v>
      </c>
      <c r="E391" s="23">
        <v>46111</v>
      </c>
      <c r="F391" s="23" t="s">
        <v>7</v>
      </c>
      <c r="G391" s="24" t="s">
        <v>68</v>
      </c>
      <c r="H391" s="24" t="s">
        <v>69</v>
      </c>
      <c r="I391" s="24" t="s">
        <v>729</v>
      </c>
      <c r="J391" s="25" t="s">
        <v>730</v>
      </c>
      <c r="K391" s="45" t="str">
        <f t="shared" si="169"/>
        <v>WB53B7628</v>
      </c>
      <c r="L391" s="26">
        <v>46108</v>
      </c>
      <c r="M391" s="34" t="s">
        <v>2099</v>
      </c>
      <c r="N391" s="27" t="s">
        <v>2100</v>
      </c>
      <c r="O391" s="28">
        <v>0</v>
      </c>
      <c r="P391" s="27" t="s">
        <v>2101</v>
      </c>
      <c r="Q391" s="29">
        <v>2525377891</v>
      </c>
      <c r="R391" s="30">
        <v>2110827485</v>
      </c>
      <c r="S391" s="82" t="s">
        <v>73</v>
      </c>
      <c r="T391" s="24" t="s">
        <v>91</v>
      </c>
      <c r="U391" s="24" t="s">
        <v>75</v>
      </c>
      <c r="V391" s="32" t="s">
        <v>491</v>
      </c>
      <c r="W391" s="32" t="s">
        <v>838</v>
      </c>
      <c r="X391" s="32" t="s">
        <v>2102</v>
      </c>
      <c r="Y391" s="24">
        <v>1047</v>
      </c>
      <c r="Z391" s="24">
        <v>25</v>
      </c>
      <c r="AA391" s="24">
        <f t="shared" si="170"/>
        <v>994.65000000000009</v>
      </c>
      <c r="AB391" s="24">
        <f t="shared" si="162"/>
        <v>26175</v>
      </c>
      <c r="AC391" s="24">
        <f t="shared" si="163"/>
        <v>24866.25</v>
      </c>
      <c r="AD391" s="24">
        <f t="shared" si="164"/>
        <v>24866.250000000004</v>
      </c>
      <c r="AE391" s="24">
        <f t="shared" si="165"/>
        <v>1308.7499999999964</v>
      </c>
      <c r="AF391" s="24">
        <v>0</v>
      </c>
      <c r="AG391" s="33">
        <v>3500</v>
      </c>
      <c r="AH391" s="24"/>
      <c r="AI391" s="24"/>
      <c r="AJ391" s="24"/>
      <c r="AK391" s="24"/>
      <c r="AL391" s="24"/>
      <c r="AM391" s="24" t="s">
        <v>79</v>
      </c>
      <c r="AN391" s="34" t="s">
        <v>2103</v>
      </c>
      <c r="AO391" s="35" t="s">
        <v>1673</v>
      </c>
      <c r="AP391" s="24">
        <f>240*2</f>
        <v>480</v>
      </c>
      <c r="AQ391" s="36">
        <f t="shared" si="171"/>
        <v>147.69230769230768</v>
      </c>
      <c r="AR391" s="80">
        <v>150</v>
      </c>
      <c r="AS391" s="47">
        <f t="shared" si="172"/>
        <v>2.3076923076923208</v>
      </c>
      <c r="AT391" s="31"/>
      <c r="AU391" s="47">
        <f t="shared" si="173"/>
        <v>2.3076923076923208</v>
      </c>
      <c r="AV391" s="81">
        <v>91.99</v>
      </c>
      <c r="AW391" s="24">
        <f t="shared" si="166"/>
        <v>13798.5</v>
      </c>
      <c r="AX391" s="24">
        <f t="shared" si="152"/>
        <v>69.566179057960071</v>
      </c>
      <c r="AY391" s="24"/>
      <c r="AZ391" s="24"/>
      <c r="BA391" s="24"/>
      <c r="BB391" s="24">
        <f t="shared" si="174"/>
        <v>0</v>
      </c>
      <c r="BC391" s="24">
        <f t="shared" si="175"/>
        <v>7567.7500000000036</v>
      </c>
      <c r="BD391" s="24"/>
      <c r="BE391" s="24"/>
      <c r="BF391" s="24"/>
      <c r="BG391" s="24">
        <f t="shared" si="176"/>
        <v>2486.625</v>
      </c>
      <c r="BH391" s="24"/>
      <c r="BI391" s="24"/>
      <c r="BJ391" s="24">
        <f t="shared" si="177"/>
        <v>24.866250000000001</v>
      </c>
      <c r="BK391" s="24">
        <f t="shared" si="178"/>
        <v>10029.508750000005</v>
      </c>
      <c r="BL391" s="24" t="s">
        <v>735</v>
      </c>
      <c r="BM391" s="42">
        <f t="shared" si="168"/>
        <v>3</v>
      </c>
      <c r="BN391" s="24" t="s">
        <v>139</v>
      </c>
      <c r="BO391" s="2" t="s">
        <v>424</v>
      </c>
    </row>
    <row r="392" spans="1:67" s="1" customFormat="1" ht="15" customHeight="1" x14ac:dyDescent="0.3">
      <c r="A392" s="20">
        <v>388</v>
      </c>
      <c r="B392" s="21">
        <v>46106</v>
      </c>
      <c r="C392" s="21">
        <v>46119</v>
      </c>
      <c r="D392" s="50" t="s">
        <v>223</v>
      </c>
      <c r="E392" s="23">
        <v>46130</v>
      </c>
      <c r="F392" s="23" t="s">
        <v>7</v>
      </c>
      <c r="G392" s="24" t="s">
        <v>68</v>
      </c>
      <c r="H392" s="24" t="s">
        <v>69</v>
      </c>
      <c r="I392" s="24">
        <v>81</v>
      </c>
      <c r="J392" s="25" t="s">
        <v>186</v>
      </c>
      <c r="K392" s="45" t="str">
        <f t="shared" si="169"/>
        <v>WB813467</v>
      </c>
      <c r="L392" s="26">
        <v>46107</v>
      </c>
      <c r="M392" s="34" t="s">
        <v>2104</v>
      </c>
      <c r="N392" s="27" t="s">
        <v>2105</v>
      </c>
      <c r="O392" s="28">
        <v>0</v>
      </c>
      <c r="P392" s="27" t="s">
        <v>2106</v>
      </c>
      <c r="Q392" s="29">
        <v>2525378295</v>
      </c>
      <c r="R392" s="30">
        <v>2110828245</v>
      </c>
      <c r="S392" s="31" t="s">
        <v>73</v>
      </c>
      <c r="T392" s="24" t="s">
        <v>188</v>
      </c>
      <c r="U392" s="24" t="s">
        <v>75</v>
      </c>
      <c r="V392" s="32" t="s">
        <v>2107</v>
      </c>
      <c r="W392" s="32" t="s">
        <v>791</v>
      </c>
      <c r="X392" s="32" t="s">
        <v>2108</v>
      </c>
      <c r="Y392" s="24">
        <v>642</v>
      </c>
      <c r="Z392" s="24">
        <v>13</v>
      </c>
      <c r="AA392" s="24">
        <f t="shared" si="170"/>
        <v>609.9</v>
      </c>
      <c r="AB392" s="24">
        <f t="shared" si="162"/>
        <v>8346</v>
      </c>
      <c r="AC392" s="24">
        <f t="shared" si="163"/>
        <v>7928.7</v>
      </c>
      <c r="AD392" s="24">
        <f t="shared" si="164"/>
        <v>7928.7</v>
      </c>
      <c r="AE392" s="24">
        <f t="shared" si="165"/>
        <v>417.30000000000018</v>
      </c>
      <c r="AF392" s="24">
        <f t="shared" ref="AF392:AF403" si="179">+AD392*1%</f>
        <v>79.287000000000006</v>
      </c>
      <c r="AG392" s="33">
        <v>1450</v>
      </c>
      <c r="AH392" s="24"/>
      <c r="AI392" s="24"/>
      <c r="AJ392" s="24"/>
      <c r="AK392" s="24"/>
      <c r="AL392" s="24"/>
      <c r="AM392" s="24" t="s">
        <v>79</v>
      </c>
      <c r="AN392" s="34" t="s">
        <v>2109</v>
      </c>
      <c r="AO392" s="35" t="s">
        <v>1673</v>
      </c>
      <c r="AP392" s="24">
        <f>124*2</f>
        <v>248</v>
      </c>
      <c r="AQ392" s="36">
        <f t="shared" si="171"/>
        <v>76.307692307692307</v>
      </c>
      <c r="AR392" s="80">
        <v>36</v>
      </c>
      <c r="AS392" s="47">
        <f t="shared" si="172"/>
        <v>-40.307692307692307</v>
      </c>
      <c r="AT392" s="31"/>
      <c r="AU392" s="47">
        <f t="shared" si="173"/>
        <v>-40.307692307692307</v>
      </c>
      <c r="AV392" s="81">
        <v>91.99</v>
      </c>
      <c r="AW392" s="24">
        <f t="shared" si="166"/>
        <v>3311.64</v>
      </c>
      <c r="AX392" s="24">
        <f t="shared" si="152"/>
        <v>60.05574684374487</v>
      </c>
      <c r="AY392" s="24">
        <v>120</v>
      </c>
      <c r="AZ392" s="24"/>
      <c r="BA392" s="24"/>
      <c r="BB392" s="24">
        <f t="shared" si="174"/>
        <v>0</v>
      </c>
      <c r="BC392" s="24">
        <f t="shared" si="175"/>
        <v>2967.7729999999997</v>
      </c>
      <c r="BD392" s="24"/>
      <c r="BE392" s="24"/>
      <c r="BF392" s="24"/>
      <c r="BG392" s="24">
        <f t="shared" si="176"/>
        <v>792.87</v>
      </c>
      <c r="BH392" s="24"/>
      <c r="BI392" s="24"/>
      <c r="BJ392" s="24">
        <f t="shared" si="177"/>
        <v>7.9287000000000001</v>
      </c>
      <c r="BK392" s="24">
        <f t="shared" si="178"/>
        <v>3752.7142999999996</v>
      </c>
      <c r="BL392" s="24" t="s">
        <v>192</v>
      </c>
      <c r="BM392" s="42">
        <f t="shared" si="168"/>
        <v>2</v>
      </c>
      <c r="BN392" s="24" t="s">
        <v>83</v>
      </c>
      <c r="BO392" s="2" t="s">
        <v>175</v>
      </c>
    </row>
    <row r="393" spans="1:67" s="1" customFormat="1" ht="15" customHeight="1" x14ac:dyDescent="0.3">
      <c r="A393" s="20">
        <v>389</v>
      </c>
      <c r="B393" s="21">
        <v>46106</v>
      </c>
      <c r="C393" s="21">
        <v>46111</v>
      </c>
      <c r="D393" s="50" t="s">
        <v>704</v>
      </c>
      <c r="E393" s="23">
        <v>46158</v>
      </c>
      <c r="F393" s="23" t="s">
        <v>7</v>
      </c>
      <c r="G393" s="24" t="s">
        <v>68</v>
      </c>
      <c r="H393" s="24" t="s">
        <v>69</v>
      </c>
      <c r="I393" s="24" t="s">
        <v>2110</v>
      </c>
      <c r="J393" s="25" t="s">
        <v>2111</v>
      </c>
      <c r="K393" s="45" t="str">
        <f t="shared" si="169"/>
        <v>WB81B4456</v>
      </c>
      <c r="L393" s="26">
        <v>46107</v>
      </c>
      <c r="M393" s="34" t="s">
        <v>2112</v>
      </c>
      <c r="N393" s="27" t="s">
        <v>2113</v>
      </c>
      <c r="O393" s="28">
        <v>0</v>
      </c>
      <c r="P393" s="27" t="s">
        <v>2114</v>
      </c>
      <c r="Q393" s="29">
        <v>2525378333</v>
      </c>
      <c r="R393" s="30">
        <v>2110828286</v>
      </c>
      <c r="S393" s="31" t="s">
        <v>73</v>
      </c>
      <c r="T393" s="24" t="s">
        <v>188</v>
      </c>
      <c r="U393" s="24" t="s">
        <v>75</v>
      </c>
      <c r="V393" s="32" t="s">
        <v>2115</v>
      </c>
      <c r="W393" s="32" t="s">
        <v>709</v>
      </c>
      <c r="X393" s="32" t="s">
        <v>2116</v>
      </c>
      <c r="Y393" s="24">
        <v>770</v>
      </c>
      <c r="Z393" s="24">
        <v>13</v>
      </c>
      <c r="AA393" s="24">
        <f t="shared" si="170"/>
        <v>731.5</v>
      </c>
      <c r="AB393" s="24">
        <f t="shared" si="162"/>
        <v>10010</v>
      </c>
      <c r="AC393" s="24">
        <f t="shared" si="163"/>
        <v>9509.5</v>
      </c>
      <c r="AD393" s="24">
        <f t="shared" si="164"/>
        <v>9509.5</v>
      </c>
      <c r="AE393" s="24">
        <f t="shared" si="165"/>
        <v>500.5</v>
      </c>
      <c r="AF393" s="24">
        <f t="shared" si="179"/>
        <v>95.094999999999999</v>
      </c>
      <c r="AG393" s="33">
        <v>1550</v>
      </c>
      <c r="AH393" s="24"/>
      <c r="AI393" s="24"/>
      <c r="AJ393" s="24"/>
      <c r="AK393" s="24">
        <v>115</v>
      </c>
      <c r="AL393" s="24"/>
      <c r="AM393" s="24" t="s">
        <v>79</v>
      </c>
      <c r="AN393" s="34" t="s">
        <v>2117</v>
      </c>
      <c r="AO393" s="35" t="s">
        <v>1673</v>
      </c>
      <c r="AP393" s="24">
        <f>168*2</f>
        <v>336</v>
      </c>
      <c r="AQ393" s="36">
        <f t="shared" si="171"/>
        <v>103.38461538461539</v>
      </c>
      <c r="AR393" s="80">
        <v>35</v>
      </c>
      <c r="AS393" s="47">
        <f t="shared" si="172"/>
        <v>-68.384615384615387</v>
      </c>
      <c r="AT393" s="31"/>
      <c r="AU393" s="47">
        <f t="shared" si="173"/>
        <v>-68.384615384615387</v>
      </c>
      <c r="AV393" s="81">
        <v>91.99</v>
      </c>
      <c r="AW393" s="24">
        <f t="shared" si="166"/>
        <v>3219.6499999999996</v>
      </c>
      <c r="AX393" s="24">
        <f t="shared" si="152"/>
        <v>50.156685419843306</v>
      </c>
      <c r="AY393" s="24">
        <v>120</v>
      </c>
      <c r="AZ393" s="24"/>
      <c r="BA393" s="24"/>
      <c r="BB393" s="24">
        <f t="shared" si="174"/>
        <v>0</v>
      </c>
      <c r="BC393" s="24">
        <f t="shared" si="175"/>
        <v>4409.755000000001</v>
      </c>
      <c r="BD393" s="24"/>
      <c r="BE393" s="24"/>
      <c r="BF393" s="24"/>
      <c r="BG393" s="24">
        <f t="shared" si="176"/>
        <v>950.95</v>
      </c>
      <c r="BH393" s="24"/>
      <c r="BI393" s="24"/>
      <c r="BJ393" s="24">
        <f t="shared" si="177"/>
        <v>9.509500000000001</v>
      </c>
      <c r="BK393" s="24">
        <f t="shared" si="178"/>
        <v>5351.1955000000007</v>
      </c>
      <c r="BL393" s="24" t="s">
        <v>2118</v>
      </c>
      <c r="BM393" s="42">
        <f t="shared" si="168"/>
        <v>2</v>
      </c>
      <c r="BN393" s="24" t="s">
        <v>83</v>
      </c>
      <c r="BO393" s="2" t="s">
        <v>175</v>
      </c>
    </row>
    <row r="394" spans="1:67" s="1" customFormat="1" ht="15" customHeight="1" x14ac:dyDescent="0.3">
      <c r="A394" s="20">
        <v>390</v>
      </c>
      <c r="B394" s="21">
        <v>46106</v>
      </c>
      <c r="C394" s="21">
        <v>46111</v>
      </c>
      <c r="D394" s="73" t="s">
        <v>1993</v>
      </c>
      <c r="E394" s="23">
        <v>46111</v>
      </c>
      <c r="F394" s="23" t="s">
        <v>7</v>
      </c>
      <c r="G394" s="24" t="s">
        <v>68</v>
      </c>
      <c r="H394" s="24" t="s">
        <v>69</v>
      </c>
      <c r="I394" s="24" t="s">
        <v>166</v>
      </c>
      <c r="J394" s="25" t="s">
        <v>360</v>
      </c>
      <c r="K394" s="45" t="str">
        <f t="shared" si="169"/>
        <v>WB41H6585</v>
      </c>
      <c r="L394" s="26">
        <v>46107</v>
      </c>
      <c r="M394" s="34" t="s">
        <v>2119</v>
      </c>
      <c r="N394" s="27" t="s">
        <v>2120</v>
      </c>
      <c r="O394" s="28">
        <v>0</v>
      </c>
      <c r="P394" s="27" t="s">
        <v>2121</v>
      </c>
      <c r="Q394" s="29">
        <v>2525378503</v>
      </c>
      <c r="R394" s="30">
        <v>2110828411</v>
      </c>
      <c r="S394" s="31" t="s">
        <v>73</v>
      </c>
      <c r="T394" s="24" t="s">
        <v>91</v>
      </c>
      <c r="U394" s="24" t="s">
        <v>75</v>
      </c>
      <c r="V394" s="32" t="s">
        <v>573</v>
      </c>
      <c r="W394" s="32" t="s">
        <v>1451</v>
      </c>
      <c r="X394" s="32"/>
      <c r="Y394" s="24">
        <v>1150</v>
      </c>
      <c r="Z394" s="24">
        <v>15</v>
      </c>
      <c r="AA394" s="24">
        <f t="shared" si="170"/>
        <v>1092.5</v>
      </c>
      <c r="AB394" s="24">
        <f t="shared" si="162"/>
        <v>17250</v>
      </c>
      <c r="AC394" s="24">
        <f t="shared" si="163"/>
        <v>16387.5</v>
      </c>
      <c r="AD394" s="24">
        <f t="shared" si="164"/>
        <v>16387.5</v>
      </c>
      <c r="AE394" s="24">
        <f t="shared" si="165"/>
        <v>862.5</v>
      </c>
      <c r="AF394" s="24">
        <v>0</v>
      </c>
      <c r="AG394" s="33">
        <v>3500</v>
      </c>
      <c r="AH394" s="24"/>
      <c r="AI394" s="24"/>
      <c r="AJ394" s="24"/>
      <c r="AK394" s="24"/>
      <c r="AL394" s="24"/>
      <c r="AM394" s="24" t="s">
        <v>79</v>
      </c>
      <c r="AN394" s="34" t="s">
        <v>2122</v>
      </c>
      <c r="AO394" s="35" t="s">
        <v>1673</v>
      </c>
      <c r="AP394" s="24">
        <f>273*2</f>
        <v>546</v>
      </c>
      <c r="AQ394" s="36">
        <f t="shared" si="171"/>
        <v>168</v>
      </c>
      <c r="AR394" s="80">
        <v>155</v>
      </c>
      <c r="AS394" s="47">
        <f t="shared" si="172"/>
        <v>-13</v>
      </c>
      <c r="AT394" s="31"/>
      <c r="AU394" s="47">
        <f t="shared" si="173"/>
        <v>-13</v>
      </c>
      <c r="AV394" s="83">
        <v>91.88</v>
      </c>
      <c r="AW394" s="24">
        <f t="shared" si="166"/>
        <v>14241.4</v>
      </c>
      <c r="AX394" s="24">
        <f t="shared" si="152"/>
        <v>108.26178489702518</v>
      </c>
      <c r="AY394" s="24"/>
      <c r="AZ394" s="24"/>
      <c r="BA394" s="24"/>
      <c r="BB394" s="24">
        <f t="shared" si="174"/>
        <v>0</v>
      </c>
      <c r="BC394" s="24">
        <f t="shared" si="175"/>
        <v>-1353.8999999999996</v>
      </c>
      <c r="BD394" s="24"/>
      <c r="BE394" s="24"/>
      <c r="BF394" s="24"/>
      <c r="BG394" s="24">
        <f t="shared" si="176"/>
        <v>1638.75</v>
      </c>
      <c r="BH394" s="24"/>
      <c r="BI394" s="24"/>
      <c r="BJ394" s="24">
        <f t="shared" si="177"/>
        <v>16.387499999999999</v>
      </c>
      <c r="BK394" s="24">
        <f t="shared" si="178"/>
        <v>268.46250000000038</v>
      </c>
      <c r="BL394" s="24" t="s">
        <v>365</v>
      </c>
      <c r="BM394" s="42">
        <f t="shared" si="168"/>
        <v>2</v>
      </c>
      <c r="BN394" s="24" t="s">
        <v>83</v>
      </c>
      <c r="BO394" s="2" t="s">
        <v>175</v>
      </c>
    </row>
    <row r="395" spans="1:67" s="1" customFormat="1" ht="15" customHeight="1" x14ac:dyDescent="0.3">
      <c r="A395" s="20">
        <v>391</v>
      </c>
      <c r="B395" s="21">
        <v>46106</v>
      </c>
      <c r="C395" s="21">
        <v>46111</v>
      </c>
      <c r="D395" s="73" t="s">
        <v>1993</v>
      </c>
      <c r="E395" s="23">
        <v>46111</v>
      </c>
      <c r="F395" s="23" t="s">
        <v>7</v>
      </c>
      <c r="G395" s="24" t="s">
        <v>68</v>
      </c>
      <c r="H395" s="24" t="s">
        <v>69</v>
      </c>
      <c r="I395" s="24" t="s">
        <v>166</v>
      </c>
      <c r="J395" s="25" t="s">
        <v>360</v>
      </c>
      <c r="K395" s="45" t="str">
        <f t="shared" si="169"/>
        <v>WB41H6585</v>
      </c>
      <c r="L395" s="26">
        <v>46107</v>
      </c>
      <c r="M395" s="34" t="s">
        <v>2123</v>
      </c>
      <c r="N395" s="27" t="s">
        <v>2124</v>
      </c>
      <c r="O395" s="28">
        <v>0</v>
      </c>
      <c r="P395" s="27" t="s">
        <v>2125</v>
      </c>
      <c r="Q395" s="29">
        <v>2525378499</v>
      </c>
      <c r="R395" s="30">
        <v>2110828368</v>
      </c>
      <c r="S395" s="31" t="s">
        <v>73</v>
      </c>
      <c r="T395" s="24" t="s">
        <v>91</v>
      </c>
      <c r="U395" s="24" t="s">
        <v>75</v>
      </c>
      <c r="V395" s="32" t="s">
        <v>386</v>
      </c>
      <c r="W395" s="32" t="s">
        <v>1451</v>
      </c>
      <c r="X395" s="32"/>
      <c r="Y395" s="24">
        <v>1149</v>
      </c>
      <c r="Z395" s="24">
        <v>10</v>
      </c>
      <c r="AA395" s="24">
        <f t="shared" si="170"/>
        <v>1091.55</v>
      </c>
      <c r="AB395" s="24">
        <f t="shared" si="162"/>
        <v>11490</v>
      </c>
      <c r="AC395" s="24">
        <f t="shared" si="163"/>
        <v>10915.5</v>
      </c>
      <c r="AD395" s="24">
        <f t="shared" si="164"/>
        <v>10915.5</v>
      </c>
      <c r="AE395" s="24">
        <f t="shared" si="165"/>
        <v>574.5</v>
      </c>
      <c r="AF395" s="24">
        <v>0</v>
      </c>
      <c r="AG395" s="31">
        <v>0</v>
      </c>
      <c r="AH395" s="24"/>
      <c r="AI395" s="24"/>
      <c r="AJ395" s="24"/>
      <c r="AK395" s="24"/>
      <c r="AL395" s="24"/>
      <c r="AM395" s="24">
        <v>0</v>
      </c>
      <c r="AN395" s="34" t="s">
        <v>213</v>
      </c>
      <c r="AO395" s="35"/>
      <c r="AP395" s="24"/>
      <c r="AQ395" s="36">
        <f t="shared" si="171"/>
        <v>0</v>
      </c>
      <c r="AR395" s="16">
        <v>0</v>
      </c>
      <c r="AS395" s="47">
        <f t="shared" si="172"/>
        <v>0</v>
      </c>
      <c r="AT395" s="31"/>
      <c r="AU395" s="47">
        <f t="shared" si="173"/>
        <v>0</v>
      </c>
      <c r="AV395" s="48">
        <v>91.99</v>
      </c>
      <c r="AW395" s="24">
        <f t="shared" si="166"/>
        <v>0</v>
      </c>
      <c r="AX395" s="24">
        <f t="shared" si="152"/>
        <v>0</v>
      </c>
      <c r="AY395" s="24"/>
      <c r="AZ395" s="24"/>
      <c r="BA395" s="24"/>
      <c r="BB395" s="24">
        <f t="shared" si="174"/>
        <v>0</v>
      </c>
      <c r="BC395" s="24">
        <f t="shared" si="175"/>
        <v>10915.5</v>
      </c>
      <c r="BD395" s="24"/>
      <c r="BE395" s="24"/>
      <c r="BF395" s="24"/>
      <c r="BG395" s="24">
        <f t="shared" si="176"/>
        <v>1091.55</v>
      </c>
      <c r="BH395" s="24"/>
      <c r="BI395" s="24"/>
      <c r="BJ395" s="24">
        <f t="shared" si="177"/>
        <v>10.9155</v>
      </c>
      <c r="BK395" s="24">
        <f t="shared" si="178"/>
        <v>11996.1345</v>
      </c>
      <c r="BL395" s="24" t="s">
        <v>365</v>
      </c>
      <c r="BM395" s="42">
        <f t="shared" si="168"/>
        <v>2</v>
      </c>
      <c r="BN395" s="24" t="s">
        <v>83</v>
      </c>
      <c r="BO395" s="2" t="s">
        <v>175</v>
      </c>
    </row>
    <row r="396" spans="1:67" s="1" customFormat="1" ht="15" customHeight="1" x14ac:dyDescent="0.3">
      <c r="A396" s="20">
        <v>392</v>
      </c>
      <c r="B396" s="21">
        <v>46106</v>
      </c>
      <c r="C396" s="21">
        <v>46111</v>
      </c>
      <c r="D396" s="62" t="s">
        <v>1769</v>
      </c>
      <c r="E396" s="23">
        <v>46116</v>
      </c>
      <c r="F396" s="23" t="s">
        <v>7</v>
      </c>
      <c r="G396" s="24" t="s">
        <v>68</v>
      </c>
      <c r="H396" s="24" t="s">
        <v>69</v>
      </c>
      <c r="I396" s="24" t="s">
        <v>166</v>
      </c>
      <c r="J396" s="25" t="s">
        <v>255</v>
      </c>
      <c r="K396" s="45" t="str">
        <f t="shared" si="169"/>
        <v>WB41H0177</v>
      </c>
      <c r="L396" s="26">
        <v>46107</v>
      </c>
      <c r="M396" s="34" t="s">
        <v>2126</v>
      </c>
      <c r="N396" s="27" t="s">
        <v>2127</v>
      </c>
      <c r="O396" s="28">
        <v>0</v>
      </c>
      <c r="P396" s="27" t="s">
        <v>2128</v>
      </c>
      <c r="Q396" s="29">
        <v>2525378579</v>
      </c>
      <c r="R396" s="30">
        <v>2110828455</v>
      </c>
      <c r="S396" s="63" t="s">
        <v>73</v>
      </c>
      <c r="T396" s="24" t="s">
        <v>91</v>
      </c>
      <c r="U396" s="24" t="s">
        <v>75</v>
      </c>
      <c r="V396" s="32" t="s">
        <v>281</v>
      </c>
      <c r="W396" s="32" t="s">
        <v>2129</v>
      </c>
      <c r="X396" s="32" t="s">
        <v>2130</v>
      </c>
      <c r="Y396" s="24">
        <v>790</v>
      </c>
      <c r="Z396" s="24">
        <v>25</v>
      </c>
      <c r="AA396" s="24">
        <f t="shared" si="170"/>
        <v>750.5</v>
      </c>
      <c r="AB396" s="24">
        <f t="shared" si="162"/>
        <v>19750</v>
      </c>
      <c r="AC396" s="24">
        <f t="shared" si="163"/>
        <v>18762.5</v>
      </c>
      <c r="AD396" s="24">
        <f t="shared" si="164"/>
        <v>18762.5</v>
      </c>
      <c r="AE396" s="24">
        <f t="shared" si="165"/>
        <v>987.5</v>
      </c>
      <c r="AF396" s="24">
        <f t="shared" si="179"/>
        <v>187.625</v>
      </c>
      <c r="AG396" s="33">
        <v>3300</v>
      </c>
      <c r="AH396" s="24"/>
      <c r="AI396" s="24"/>
      <c r="AJ396" s="24"/>
      <c r="AK396" s="24"/>
      <c r="AL396" s="24"/>
      <c r="AM396" s="24" t="s">
        <v>79</v>
      </c>
      <c r="AN396" s="34" t="s">
        <v>2131</v>
      </c>
      <c r="AO396" s="35" t="s">
        <v>1673</v>
      </c>
      <c r="AP396" s="24">
        <f>164*2</f>
        <v>328</v>
      </c>
      <c r="AQ396" s="36">
        <f t="shared" si="171"/>
        <v>100.92307692307692</v>
      </c>
      <c r="AR396" s="80">
        <v>101</v>
      </c>
      <c r="AS396" s="47">
        <f t="shared" si="172"/>
        <v>7.6923076923080203E-2</v>
      </c>
      <c r="AT396" s="31"/>
      <c r="AU396" s="47">
        <f t="shared" si="173"/>
        <v>7.6923076923080203E-2</v>
      </c>
      <c r="AV396" s="81">
        <v>91.99</v>
      </c>
      <c r="AW396" s="24">
        <f t="shared" si="166"/>
        <v>9290.99</v>
      </c>
      <c r="AX396" s="24">
        <f t="shared" si="152"/>
        <v>67.107208527648226</v>
      </c>
      <c r="AY396" s="24"/>
      <c r="AZ396" s="24"/>
      <c r="BA396" s="24"/>
      <c r="BB396" s="24">
        <f t="shared" si="174"/>
        <v>0</v>
      </c>
      <c r="BC396" s="24">
        <f t="shared" si="175"/>
        <v>5983.8850000000002</v>
      </c>
      <c r="BD396" s="24">
        <v>135</v>
      </c>
      <c r="BE396" s="24">
        <v>135</v>
      </c>
      <c r="BF396" s="24"/>
      <c r="BG396" s="24">
        <f t="shared" si="176"/>
        <v>1876.25</v>
      </c>
      <c r="BH396" s="24"/>
      <c r="BI396" s="24"/>
      <c r="BJ396" s="24">
        <f t="shared" si="177"/>
        <v>18.762499999999999</v>
      </c>
      <c r="BK396" s="24">
        <f t="shared" si="178"/>
        <v>8111.3725000000004</v>
      </c>
      <c r="BL396" s="24" t="s">
        <v>261</v>
      </c>
      <c r="BM396" s="42">
        <f t="shared" si="168"/>
        <v>2</v>
      </c>
      <c r="BN396" s="24" t="s">
        <v>83</v>
      </c>
      <c r="BO396" s="2" t="s">
        <v>84</v>
      </c>
    </row>
    <row r="397" spans="1:67" s="1" customFormat="1" ht="15" customHeight="1" x14ac:dyDescent="0.3">
      <c r="A397" s="20">
        <v>393</v>
      </c>
      <c r="B397" s="21">
        <v>46106</v>
      </c>
      <c r="C397" s="21">
        <v>46126</v>
      </c>
      <c r="D397" s="50" t="s">
        <v>2132</v>
      </c>
      <c r="E397" s="23">
        <v>46129</v>
      </c>
      <c r="F397" s="23" t="s">
        <v>7</v>
      </c>
      <c r="G397" s="24" t="s">
        <v>68</v>
      </c>
      <c r="H397" s="24" t="s">
        <v>69</v>
      </c>
      <c r="I397" s="24" t="s">
        <v>88</v>
      </c>
      <c r="J397" s="25" t="s">
        <v>278</v>
      </c>
      <c r="K397" s="45" t="str">
        <f t="shared" si="169"/>
        <v>WB67A4475</v>
      </c>
      <c r="L397" s="26">
        <v>46109</v>
      </c>
      <c r="M397" s="34" t="s">
        <v>2133</v>
      </c>
      <c r="N397" s="27" t="s">
        <v>2134</v>
      </c>
      <c r="O397" s="28">
        <v>0</v>
      </c>
      <c r="P397" s="27" t="s">
        <v>2135</v>
      </c>
      <c r="Q397" s="29">
        <v>2525378652</v>
      </c>
      <c r="R397" s="30">
        <v>2110828553</v>
      </c>
      <c r="S397" s="31" t="s">
        <v>73</v>
      </c>
      <c r="T397" s="24" t="s">
        <v>91</v>
      </c>
      <c r="U397" s="24" t="s">
        <v>75</v>
      </c>
      <c r="V397" s="32" t="s">
        <v>483</v>
      </c>
      <c r="W397" s="32" t="s">
        <v>492</v>
      </c>
      <c r="X397" s="32" t="s">
        <v>492</v>
      </c>
      <c r="Y397" s="24">
        <v>1063</v>
      </c>
      <c r="Z397" s="24">
        <v>25</v>
      </c>
      <c r="AA397" s="24">
        <f t="shared" si="170"/>
        <v>1009.85</v>
      </c>
      <c r="AB397" s="24">
        <f t="shared" si="162"/>
        <v>26575</v>
      </c>
      <c r="AC397" s="24">
        <f t="shared" si="163"/>
        <v>25246.25</v>
      </c>
      <c r="AD397" s="24">
        <f t="shared" si="164"/>
        <v>25246.25</v>
      </c>
      <c r="AE397" s="24">
        <f t="shared" si="165"/>
        <v>1328.75</v>
      </c>
      <c r="AF397" s="24">
        <v>0</v>
      </c>
      <c r="AG397" s="33">
        <v>3000</v>
      </c>
      <c r="AH397" s="24"/>
      <c r="AI397" s="24"/>
      <c r="AJ397" s="24"/>
      <c r="AK397" s="24"/>
      <c r="AL397" s="24"/>
      <c r="AM397" s="24" t="s">
        <v>79</v>
      </c>
      <c r="AN397" s="34" t="s">
        <v>2136</v>
      </c>
      <c r="AO397" s="35" t="s">
        <v>1673</v>
      </c>
      <c r="AP397" s="24">
        <f>258*2</f>
        <v>516</v>
      </c>
      <c r="AQ397" s="36">
        <f t="shared" si="171"/>
        <v>158.76923076923077</v>
      </c>
      <c r="AR397" s="80">
        <v>160</v>
      </c>
      <c r="AS397" s="47">
        <f t="shared" si="172"/>
        <v>1.2307692307692264</v>
      </c>
      <c r="AT397" s="31"/>
      <c r="AU397" s="47">
        <f t="shared" si="173"/>
        <v>1.2307692307692264</v>
      </c>
      <c r="AV397" s="81">
        <v>91.99</v>
      </c>
      <c r="AW397" s="24">
        <f t="shared" si="166"/>
        <v>14718.4</v>
      </c>
      <c r="AX397" s="24">
        <f t="shared" si="152"/>
        <v>70.182304302619201</v>
      </c>
      <c r="AY397" s="24"/>
      <c r="AZ397" s="24"/>
      <c r="BA397" s="24"/>
      <c r="BB397" s="24">
        <f t="shared" si="174"/>
        <v>0</v>
      </c>
      <c r="BC397" s="24">
        <f t="shared" si="175"/>
        <v>7527.85</v>
      </c>
      <c r="BD397" s="24"/>
      <c r="BE397" s="24"/>
      <c r="BF397" s="24"/>
      <c r="BG397" s="24">
        <f t="shared" si="176"/>
        <v>2524.625</v>
      </c>
      <c r="BH397" s="24"/>
      <c r="BI397" s="24"/>
      <c r="BJ397" s="24">
        <f t="shared" si="177"/>
        <v>25.24625</v>
      </c>
      <c r="BK397" s="24">
        <f t="shared" si="178"/>
        <v>10027.22875</v>
      </c>
      <c r="BL397" s="24" t="s">
        <v>283</v>
      </c>
      <c r="BM397" s="42">
        <f t="shared" si="168"/>
        <v>4</v>
      </c>
      <c r="BN397" s="24" t="s">
        <v>174</v>
      </c>
      <c r="BO397" s="2" t="s">
        <v>129</v>
      </c>
    </row>
    <row r="398" spans="1:67" s="1" customFormat="1" ht="15" customHeight="1" x14ac:dyDescent="0.3">
      <c r="A398" s="20">
        <v>394</v>
      </c>
      <c r="B398" s="21">
        <v>46106</v>
      </c>
      <c r="C398" s="21">
        <v>46111</v>
      </c>
      <c r="D398" s="50" t="s">
        <v>1837</v>
      </c>
      <c r="E398" s="23">
        <v>46111</v>
      </c>
      <c r="F398" s="23" t="s">
        <v>7</v>
      </c>
      <c r="G398" s="24" t="s">
        <v>68</v>
      </c>
      <c r="H398" s="24" t="s">
        <v>69</v>
      </c>
      <c r="I398" s="24" t="s">
        <v>70</v>
      </c>
      <c r="J398" s="25" t="s">
        <v>674</v>
      </c>
      <c r="K398" s="45" t="str">
        <f t="shared" si="169"/>
        <v>WB39B3049</v>
      </c>
      <c r="L398" s="26">
        <v>46108</v>
      </c>
      <c r="M398" s="34" t="s">
        <v>2137</v>
      </c>
      <c r="N398" s="27" t="s">
        <v>2138</v>
      </c>
      <c r="O398" s="28">
        <v>0</v>
      </c>
      <c r="P398" s="27" t="s">
        <v>2139</v>
      </c>
      <c r="Q398" s="29">
        <v>2525378639</v>
      </c>
      <c r="R398" s="30">
        <v>2110828517</v>
      </c>
      <c r="S398" s="82" t="s">
        <v>73</v>
      </c>
      <c r="T398" s="24" t="s">
        <v>91</v>
      </c>
      <c r="U398" s="24" t="s">
        <v>75</v>
      </c>
      <c r="V398" s="32" t="s">
        <v>483</v>
      </c>
      <c r="W398" s="32" t="s">
        <v>2140</v>
      </c>
      <c r="X398" s="32" t="s">
        <v>2141</v>
      </c>
      <c r="Y398" s="24">
        <v>1063</v>
      </c>
      <c r="Z398" s="24">
        <v>15</v>
      </c>
      <c r="AA398" s="24">
        <f t="shared" si="170"/>
        <v>1009.85</v>
      </c>
      <c r="AB398" s="24">
        <f t="shared" si="162"/>
        <v>15945</v>
      </c>
      <c r="AC398" s="24">
        <f t="shared" si="163"/>
        <v>15147.749999999998</v>
      </c>
      <c r="AD398" s="24">
        <f t="shared" si="164"/>
        <v>15147.75</v>
      </c>
      <c r="AE398" s="24">
        <f t="shared" si="165"/>
        <v>797.25</v>
      </c>
      <c r="AF398" s="24">
        <f t="shared" si="179"/>
        <v>151.47749999999999</v>
      </c>
      <c r="AG398" s="33">
        <v>4300</v>
      </c>
      <c r="AH398" s="24"/>
      <c r="AI398" s="24"/>
      <c r="AJ398" s="24"/>
      <c r="AK398" s="24"/>
      <c r="AL398" s="24"/>
      <c r="AM398" s="24" t="s">
        <v>79</v>
      </c>
      <c r="AN398" s="34" t="s">
        <v>2142</v>
      </c>
      <c r="AO398" s="35" t="s">
        <v>1673</v>
      </c>
      <c r="AP398" s="24">
        <f>258*2</f>
        <v>516</v>
      </c>
      <c r="AQ398" s="36">
        <f t="shared" si="171"/>
        <v>158.76923076923077</v>
      </c>
      <c r="AR398" s="80">
        <v>165</v>
      </c>
      <c r="AS398" s="47">
        <f t="shared" si="172"/>
        <v>6.2307692307692264</v>
      </c>
      <c r="AT398" s="31"/>
      <c r="AU398" s="47">
        <f t="shared" si="173"/>
        <v>6.2307692307692264</v>
      </c>
      <c r="AV398" s="81">
        <v>91.99</v>
      </c>
      <c r="AW398" s="24">
        <f t="shared" si="166"/>
        <v>15178.349999999999</v>
      </c>
      <c r="AX398" s="24">
        <f t="shared" si="152"/>
        <v>128.58906438249903</v>
      </c>
      <c r="AY398" s="24"/>
      <c r="AZ398" s="24"/>
      <c r="BA398" s="24"/>
      <c r="BB398" s="24">
        <f t="shared" si="174"/>
        <v>0</v>
      </c>
      <c r="BC398" s="24">
        <f t="shared" si="175"/>
        <v>-4482.0774999999994</v>
      </c>
      <c r="BD398" s="24"/>
      <c r="BE398" s="24"/>
      <c r="BF398" s="24"/>
      <c r="BG398" s="24">
        <f t="shared" ref="BG398:BG399" si="180">+AD398*9.5%</f>
        <v>1439.0362500000001</v>
      </c>
      <c r="BH398" s="24"/>
      <c r="BI398" s="24"/>
      <c r="BJ398" s="24">
        <f t="shared" si="177"/>
        <v>14.390362500000002</v>
      </c>
      <c r="BK398" s="24">
        <f t="shared" si="178"/>
        <v>-3057.4316124999991</v>
      </c>
      <c r="BL398" s="24" t="s">
        <v>680</v>
      </c>
      <c r="BM398" s="42">
        <f t="shared" si="168"/>
        <v>3</v>
      </c>
      <c r="BN398" s="24" t="s">
        <v>139</v>
      </c>
      <c r="BO398" s="2" t="s">
        <v>129</v>
      </c>
    </row>
    <row r="399" spans="1:67" s="1" customFormat="1" ht="15" customHeight="1" x14ac:dyDescent="0.3">
      <c r="A399" s="20">
        <v>395</v>
      </c>
      <c r="B399" s="21">
        <v>46106</v>
      </c>
      <c r="C399" s="21">
        <v>46111</v>
      </c>
      <c r="D399" s="50" t="s">
        <v>1837</v>
      </c>
      <c r="E399" s="23">
        <v>46111</v>
      </c>
      <c r="F399" s="23" t="s">
        <v>7</v>
      </c>
      <c r="G399" s="24" t="s">
        <v>68</v>
      </c>
      <c r="H399" s="24" t="s">
        <v>69</v>
      </c>
      <c r="I399" s="24" t="s">
        <v>70</v>
      </c>
      <c r="J399" s="25" t="s">
        <v>674</v>
      </c>
      <c r="K399" s="45" t="str">
        <f t="shared" si="169"/>
        <v>WB39B3049</v>
      </c>
      <c r="L399" s="26">
        <v>46108</v>
      </c>
      <c r="M399" s="34" t="s">
        <v>2143</v>
      </c>
      <c r="N399" s="27" t="s">
        <v>2144</v>
      </c>
      <c r="O399" s="28">
        <v>0</v>
      </c>
      <c r="P399" s="27" t="s">
        <v>2145</v>
      </c>
      <c r="Q399" s="29">
        <v>2525378638</v>
      </c>
      <c r="R399" s="30">
        <v>2110828516</v>
      </c>
      <c r="S399" s="82" t="s">
        <v>73</v>
      </c>
      <c r="T399" s="24" t="s">
        <v>91</v>
      </c>
      <c r="U399" s="24" t="s">
        <v>75</v>
      </c>
      <c r="V399" s="32" t="s">
        <v>483</v>
      </c>
      <c r="W399" s="32" t="s">
        <v>2140</v>
      </c>
      <c r="X399" s="32" t="s">
        <v>753</v>
      </c>
      <c r="Y399" s="24">
        <v>1063</v>
      </c>
      <c r="Z399" s="24">
        <v>10</v>
      </c>
      <c r="AA399" s="24">
        <f t="shared" si="170"/>
        <v>1009.85</v>
      </c>
      <c r="AB399" s="24">
        <f t="shared" si="162"/>
        <v>10630</v>
      </c>
      <c r="AC399" s="24">
        <f t="shared" si="163"/>
        <v>10098.5</v>
      </c>
      <c r="AD399" s="24">
        <f t="shared" si="164"/>
        <v>10098.5</v>
      </c>
      <c r="AE399" s="24">
        <f t="shared" si="165"/>
        <v>531.5</v>
      </c>
      <c r="AF399" s="24">
        <f t="shared" si="179"/>
        <v>100.985</v>
      </c>
      <c r="AG399" s="31">
        <v>0</v>
      </c>
      <c r="AH399" s="24">
        <v>1000</v>
      </c>
      <c r="AI399" s="24"/>
      <c r="AJ399" s="24"/>
      <c r="AK399" s="24"/>
      <c r="AL399" s="24"/>
      <c r="AM399" s="24">
        <v>0</v>
      </c>
      <c r="AN399" s="34" t="s">
        <v>213</v>
      </c>
      <c r="AO399" s="35"/>
      <c r="AP399" s="24"/>
      <c r="AQ399" s="36">
        <f t="shared" si="171"/>
        <v>0</v>
      </c>
      <c r="AR399" s="16">
        <v>0</v>
      </c>
      <c r="AS399" s="47">
        <f t="shared" si="172"/>
        <v>0</v>
      </c>
      <c r="AT399" s="31"/>
      <c r="AU399" s="47">
        <f t="shared" si="173"/>
        <v>0</v>
      </c>
      <c r="AV399" s="48">
        <v>91.99</v>
      </c>
      <c r="AW399" s="24">
        <f t="shared" si="166"/>
        <v>0</v>
      </c>
      <c r="AX399" s="24">
        <f t="shared" si="152"/>
        <v>0</v>
      </c>
      <c r="AY399" s="24"/>
      <c r="AZ399" s="24"/>
      <c r="BA399" s="24"/>
      <c r="BB399" s="24">
        <f t="shared" si="174"/>
        <v>0</v>
      </c>
      <c r="BC399" s="24">
        <f t="shared" si="175"/>
        <v>8997.5149999999994</v>
      </c>
      <c r="BD399" s="24"/>
      <c r="BE399" s="24"/>
      <c r="BF399" s="24"/>
      <c r="BG399" s="24">
        <f t="shared" si="180"/>
        <v>959.35749999999996</v>
      </c>
      <c r="BH399" s="24"/>
      <c r="BI399" s="24"/>
      <c r="BJ399" s="24">
        <f t="shared" si="177"/>
        <v>9.5935749999999995</v>
      </c>
      <c r="BK399" s="24">
        <f t="shared" si="178"/>
        <v>9947.2789249999987</v>
      </c>
      <c r="BL399" s="24" t="s">
        <v>680</v>
      </c>
      <c r="BM399" s="42">
        <f t="shared" si="168"/>
        <v>3</v>
      </c>
      <c r="BN399" s="24" t="s">
        <v>139</v>
      </c>
      <c r="BO399" s="2" t="s">
        <v>129</v>
      </c>
    </row>
    <row r="400" spans="1:67" s="1" customFormat="1" ht="15" customHeight="1" x14ac:dyDescent="0.3">
      <c r="A400" s="20">
        <v>396</v>
      </c>
      <c r="B400" s="21">
        <v>46106</v>
      </c>
      <c r="C400" s="21">
        <v>46114</v>
      </c>
      <c r="D400" s="73" t="s">
        <v>2146</v>
      </c>
      <c r="E400" s="23">
        <v>46116</v>
      </c>
      <c r="F400" s="23" t="s">
        <v>7</v>
      </c>
      <c r="G400" s="24" t="s">
        <v>87</v>
      </c>
      <c r="H400" s="24" t="s">
        <v>69</v>
      </c>
      <c r="I400" s="24" t="s">
        <v>513</v>
      </c>
      <c r="J400" s="25" t="s">
        <v>514</v>
      </c>
      <c r="K400" s="45" t="str">
        <f t="shared" si="169"/>
        <v>WB67B3669</v>
      </c>
      <c r="L400" s="26">
        <v>46107</v>
      </c>
      <c r="M400" s="34" t="s">
        <v>2147</v>
      </c>
      <c r="N400" s="27" t="s">
        <v>2148</v>
      </c>
      <c r="O400" s="28">
        <v>0</v>
      </c>
      <c r="P400" s="27"/>
      <c r="Q400" s="29">
        <v>2525378886</v>
      </c>
      <c r="R400" s="30">
        <v>2110828606</v>
      </c>
      <c r="S400" s="31" t="s">
        <v>73</v>
      </c>
      <c r="T400" s="24" t="s">
        <v>241</v>
      </c>
      <c r="U400" s="24" t="s">
        <v>75</v>
      </c>
      <c r="V400" s="32" t="s">
        <v>2149</v>
      </c>
      <c r="W400" s="32" t="s">
        <v>2150</v>
      </c>
      <c r="X400" s="32"/>
      <c r="Y400" s="24">
        <v>939</v>
      </c>
      <c r="Z400" s="24">
        <v>30</v>
      </c>
      <c r="AA400" s="24">
        <f t="shared" si="170"/>
        <v>892.05000000000007</v>
      </c>
      <c r="AB400" s="24">
        <f t="shared" si="162"/>
        <v>28170</v>
      </c>
      <c r="AC400" s="24">
        <f t="shared" si="163"/>
        <v>26761.5</v>
      </c>
      <c r="AD400" s="24">
        <f t="shared" si="164"/>
        <v>26761.500000000004</v>
      </c>
      <c r="AE400" s="24">
        <f t="shared" si="165"/>
        <v>1408.4999999999964</v>
      </c>
      <c r="AF400" s="24">
        <v>0</v>
      </c>
      <c r="AG400" s="33">
        <v>3500</v>
      </c>
      <c r="AH400" s="24"/>
      <c r="AI400" s="24"/>
      <c r="AJ400" s="24"/>
      <c r="AK400" s="24"/>
      <c r="AL400" s="24"/>
      <c r="AM400" s="24" t="s">
        <v>79</v>
      </c>
      <c r="AN400" s="34" t="s">
        <v>2151</v>
      </c>
      <c r="AO400" s="35" t="s">
        <v>1673</v>
      </c>
      <c r="AP400" s="24">
        <f>204*2</f>
        <v>408</v>
      </c>
      <c r="AQ400" s="36">
        <f t="shared" si="171"/>
        <v>125.53846153846153</v>
      </c>
      <c r="AR400" s="80">
        <v>189</v>
      </c>
      <c r="AS400" s="47">
        <f t="shared" si="172"/>
        <v>63.461538461538467</v>
      </c>
      <c r="AT400" s="31"/>
      <c r="AU400" s="47">
        <f t="shared" si="173"/>
        <v>63.461538461538467</v>
      </c>
      <c r="AV400" s="81">
        <v>91.99</v>
      </c>
      <c r="AW400" s="24">
        <f t="shared" si="166"/>
        <v>17386.11</v>
      </c>
      <c r="AX400" s="24">
        <f t="shared" si="152"/>
        <v>78.045363675429243</v>
      </c>
      <c r="AY400" s="24"/>
      <c r="AZ400" s="24"/>
      <c r="BA400" s="24"/>
      <c r="BB400" s="24">
        <f t="shared" si="174"/>
        <v>0</v>
      </c>
      <c r="BC400" s="24">
        <f t="shared" si="175"/>
        <v>5875.3900000000031</v>
      </c>
      <c r="BD400" s="24"/>
      <c r="BE400" s="24"/>
      <c r="BF400" s="24"/>
      <c r="BG400" s="24">
        <f>+AB400*9.5%</f>
        <v>2676.15</v>
      </c>
      <c r="BH400" s="24"/>
      <c r="BI400" s="24"/>
      <c r="BJ400" s="24">
        <f t="shared" si="177"/>
        <v>26.761500000000002</v>
      </c>
      <c r="BK400" s="24">
        <f t="shared" si="178"/>
        <v>8524.7785000000022</v>
      </c>
      <c r="BL400" s="24" t="s">
        <v>173</v>
      </c>
      <c r="BM400" s="42">
        <f t="shared" si="168"/>
        <v>2</v>
      </c>
      <c r="BN400" s="24" t="s">
        <v>83</v>
      </c>
      <c r="BO400" s="2" t="s">
        <v>175</v>
      </c>
    </row>
    <row r="401" spans="1:67" s="1" customFormat="1" ht="15" customHeight="1" x14ac:dyDescent="0.3">
      <c r="A401" s="20">
        <v>397</v>
      </c>
      <c r="B401" s="21">
        <v>46106</v>
      </c>
      <c r="C401" s="21">
        <v>46112</v>
      </c>
      <c r="D401" s="50" t="s">
        <v>2152</v>
      </c>
      <c r="E401" s="23">
        <v>46175</v>
      </c>
      <c r="F401" s="23" t="s">
        <v>7</v>
      </c>
      <c r="G401" s="24" t="s">
        <v>87</v>
      </c>
      <c r="H401" s="24" t="s">
        <v>69</v>
      </c>
      <c r="I401" s="24" t="s">
        <v>70</v>
      </c>
      <c r="J401" s="25" t="s">
        <v>630</v>
      </c>
      <c r="K401" s="45" t="str">
        <f t="shared" si="169"/>
        <v>WB39B8879</v>
      </c>
      <c r="L401" s="26">
        <v>46107</v>
      </c>
      <c r="M401" s="34" t="s">
        <v>2153</v>
      </c>
      <c r="N401" s="27" t="s">
        <v>2154</v>
      </c>
      <c r="O401" s="28">
        <v>0</v>
      </c>
      <c r="P401" s="27"/>
      <c r="Q401" s="29">
        <v>2525378957</v>
      </c>
      <c r="R401" s="30">
        <v>2110828266</v>
      </c>
      <c r="S401" s="31" t="s">
        <v>308</v>
      </c>
      <c r="T401" s="24" t="s">
        <v>91</v>
      </c>
      <c r="U401" s="24" t="s">
        <v>75</v>
      </c>
      <c r="V401" s="32" t="s">
        <v>281</v>
      </c>
      <c r="W401" s="32" t="s">
        <v>2155</v>
      </c>
      <c r="X401" s="32" t="s">
        <v>2156</v>
      </c>
      <c r="Y401" s="24">
        <v>790</v>
      </c>
      <c r="Z401" s="24">
        <v>25</v>
      </c>
      <c r="AA401" s="24">
        <f t="shared" si="170"/>
        <v>750.5</v>
      </c>
      <c r="AB401" s="24">
        <f t="shared" si="162"/>
        <v>19750</v>
      </c>
      <c r="AC401" s="24">
        <f t="shared" si="163"/>
        <v>18762.5</v>
      </c>
      <c r="AD401" s="24">
        <f t="shared" si="164"/>
        <v>18762.5</v>
      </c>
      <c r="AE401" s="24">
        <f t="shared" si="165"/>
        <v>987.5</v>
      </c>
      <c r="AF401" s="24">
        <f t="shared" si="179"/>
        <v>187.625</v>
      </c>
      <c r="AG401" s="33">
        <v>3600</v>
      </c>
      <c r="AH401" s="24"/>
      <c r="AI401" s="24"/>
      <c r="AJ401" s="24"/>
      <c r="AK401" s="24"/>
      <c r="AL401" s="24"/>
      <c r="AM401" s="24" t="s">
        <v>79</v>
      </c>
      <c r="AN401" s="34" t="s">
        <v>2157</v>
      </c>
      <c r="AO401" s="35" t="s">
        <v>1673</v>
      </c>
      <c r="AP401" s="24">
        <f>164*2</f>
        <v>328</v>
      </c>
      <c r="AQ401" s="36">
        <f t="shared" si="171"/>
        <v>100.92307692307692</v>
      </c>
      <c r="AR401" s="80">
        <v>100</v>
      </c>
      <c r="AS401" s="47">
        <f t="shared" si="172"/>
        <v>-0.9230769230769198</v>
      </c>
      <c r="AT401" s="31"/>
      <c r="AU401" s="47">
        <f t="shared" si="173"/>
        <v>-0.9230769230769198</v>
      </c>
      <c r="AV401" s="81">
        <v>91.99</v>
      </c>
      <c r="AW401" s="24">
        <f t="shared" si="166"/>
        <v>9199</v>
      </c>
      <c r="AX401" s="24">
        <f t="shared" si="152"/>
        <v>68.215856095936047</v>
      </c>
      <c r="AY401" s="24"/>
      <c r="AZ401" s="24"/>
      <c r="BA401" s="24"/>
      <c r="BB401" s="24">
        <f t="shared" si="174"/>
        <v>0</v>
      </c>
      <c r="BC401" s="24">
        <f t="shared" si="175"/>
        <v>5775.875</v>
      </c>
      <c r="BD401" s="24"/>
      <c r="BE401" s="24"/>
      <c r="BF401" s="24"/>
      <c r="BG401" s="24">
        <f>+AD401*9.5%</f>
        <v>1782.4375</v>
      </c>
      <c r="BH401" s="24"/>
      <c r="BI401" s="24"/>
      <c r="BJ401" s="24">
        <f t="shared" si="177"/>
        <v>17.824375</v>
      </c>
      <c r="BK401" s="24">
        <f t="shared" si="178"/>
        <v>7540.4881249999999</v>
      </c>
      <c r="BL401" s="24" t="s">
        <v>638</v>
      </c>
      <c r="BM401" s="42">
        <f t="shared" si="168"/>
        <v>2</v>
      </c>
      <c r="BN401" s="24" t="s">
        <v>83</v>
      </c>
      <c r="BO401" s="2" t="s">
        <v>84</v>
      </c>
    </row>
    <row r="402" spans="1:67" s="1" customFormat="1" ht="15" customHeight="1" x14ac:dyDescent="0.3">
      <c r="A402" s="20">
        <v>398</v>
      </c>
      <c r="B402" s="21">
        <v>46107</v>
      </c>
      <c r="C402" s="21">
        <v>46111</v>
      </c>
      <c r="D402" s="50" t="s">
        <v>1662</v>
      </c>
      <c r="E402" s="23">
        <v>46120</v>
      </c>
      <c r="F402" s="23" t="s">
        <v>7</v>
      </c>
      <c r="G402" s="24" t="s">
        <v>68</v>
      </c>
      <c r="H402" s="24" t="s">
        <v>69</v>
      </c>
      <c r="I402" s="24" t="s">
        <v>2110</v>
      </c>
      <c r="J402" s="25" t="s">
        <v>2158</v>
      </c>
      <c r="K402" s="45" t="str">
        <f t="shared" si="169"/>
        <v>WB81B7588</v>
      </c>
      <c r="L402" s="26">
        <v>46108</v>
      </c>
      <c r="M402" s="34" t="s">
        <v>2159</v>
      </c>
      <c r="N402" s="27" t="s">
        <v>2160</v>
      </c>
      <c r="O402" s="28">
        <v>0</v>
      </c>
      <c r="P402" s="27" t="s">
        <v>2161</v>
      </c>
      <c r="Q402" s="29">
        <v>2525379151</v>
      </c>
      <c r="R402" s="30">
        <v>2110829230</v>
      </c>
      <c r="S402" s="63" t="s">
        <v>73</v>
      </c>
      <c r="T402" s="24" t="s">
        <v>188</v>
      </c>
      <c r="U402" s="24" t="s">
        <v>75</v>
      </c>
      <c r="V402" s="32" t="s">
        <v>2162</v>
      </c>
      <c r="W402" s="32" t="s">
        <v>694</v>
      </c>
      <c r="X402" s="32" t="s">
        <v>2163</v>
      </c>
      <c r="Y402" s="24">
        <v>749</v>
      </c>
      <c r="Z402" s="24">
        <v>13</v>
      </c>
      <c r="AA402" s="24">
        <f t="shared" si="170"/>
        <v>711.55000000000007</v>
      </c>
      <c r="AB402" s="61">
        <f t="shared" si="162"/>
        <v>9737</v>
      </c>
      <c r="AC402" s="24">
        <f t="shared" si="163"/>
        <v>9250.15</v>
      </c>
      <c r="AD402" s="24">
        <f t="shared" si="164"/>
        <v>9250.1500000000015</v>
      </c>
      <c r="AE402" s="24">
        <f t="shared" si="165"/>
        <v>486.84999999999854</v>
      </c>
      <c r="AF402" s="24">
        <f t="shared" si="179"/>
        <v>92.501500000000021</v>
      </c>
      <c r="AG402" s="33">
        <v>1450</v>
      </c>
      <c r="AH402" s="24"/>
      <c r="AI402" s="24"/>
      <c r="AJ402" s="24"/>
      <c r="AK402" s="24">
        <v>115</v>
      </c>
      <c r="AL402" s="24"/>
      <c r="AM402" s="24" t="s">
        <v>79</v>
      </c>
      <c r="AN402" s="34" t="s">
        <v>2164</v>
      </c>
      <c r="AO402" s="35" t="s">
        <v>1673</v>
      </c>
      <c r="AP402" s="24">
        <f>165*2</f>
        <v>330</v>
      </c>
      <c r="AQ402" s="36">
        <f t="shared" si="171"/>
        <v>101.53846153846153</v>
      </c>
      <c r="AR402" s="80">
        <v>54</v>
      </c>
      <c r="AS402" s="47">
        <f t="shared" si="172"/>
        <v>-47.538461538461533</v>
      </c>
      <c r="AT402" s="31"/>
      <c r="AU402" s="47">
        <f t="shared" si="173"/>
        <v>-47.538461538461533</v>
      </c>
      <c r="AV402" s="81">
        <v>91.99</v>
      </c>
      <c r="AW402" s="24">
        <f t="shared" si="166"/>
        <v>4967.46</v>
      </c>
      <c r="AX402" s="24">
        <f t="shared" si="152"/>
        <v>69.376820916417557</v>
      </c>
      <c r="AY402" s="24">
        <v>120</v>
      </c>
      <c r="AZ402" s="24"/>
      <c r="BA402" s="24"/>
      <c r="BB402" s="24">
        <f t="shared" si="174"/>
        <v>0</v>
      </c>
      <c r="BC402" s="24">
        <f t="shared" si="175"/>
        <v>2505.1885000000011</v>
      </c>
      <c r="BD402" s="24"/>
      <c r="BE402" s="24"/>
      <c r="BF402" s="24"/>
      <c r="BG402" s="24">
        <f>+AB402*9.5%</f>
        <v>925.01499999999999</v>
      </c>
      <c r="BH402" s="24"/>
      <c r="BI402" s="24"/>
      <c r="BJ402" s="24">
        <f t="shared" si="177"/>
        <v>9.2501499999999997</v>
      </c>
      <c r="BK402" s="24">
        <f t="shared" si="178"/>
        <v>3420.9533500000011</v>
      </c>
      <c r="BL402" s="24" t="s">
        <v>2118</v>
      </c>
      <c r="BM402" s="42">
        <f t="shared" si="168"/>
        <v>2</v>
      </c>
      <c r="BN402" s="24" t="s">
        <v>83</v>
      </c>
      <c r="BO402" s="2" t="s">
        <v>175</v>
      </c>
    </row>
    <row r="403" spans="1:67" s="1" customFormat="1" ht="15" customHeight="1" x14ac:dyDescent="0.3">
      <c r="A403" s="20">
        <v>399</v>
      </c>
      <c r="B403" s="21">
        <v>46107</v>
      </c>
      <c r="C403" s="21">
        <v>46119</v>
      </c>
      <c r="D403" s="50" t="s">
        <v>2000</v>
      </c>
      <c r="E403" s="23">
        <v>46120</v>
      </c>
      <c r="F403" s="23" t="s">
        <v>7</v>
      </c>
      <c r="G403" s="24" t="s">
        <v>87</v>
      </c>
      <c r="H403" s="24" t="s">
        <v>69</v>
      </c>
      <c r="I403" s="24" t="s">
        <v>70</v>
      </c>
      <c r="J403" s="25" t="s">
        <v>287</v>
      </c>
      <c r="K403" s="45" t="str">
        <f t="shared" si="169"/>
        <v>WB39B1080</v>
      </c>
      <c r="L403" s="26">
        <v>46108</v>
      </c>
      <c r="M403" s="34" t="s">
        <v>2165</v>
      </c>
      <c r="N403" s="27" t="s">
        <v>2166</v>
      </c>
      <c r="O403" s="28">
        <v>0</v>
      </c>
      <c r="P403" s="27"/>
      <c r="Q403" s="29">
        <v>2525379306</v>
      </c>
      <c r="R403" s="30">
        <v>2110829003</v>
      </c>
      <c r="S403" s="31" t="s">
        <v>73</v>
      </c>
      <c r="T403" s="31" t="s">
        <v>91</v>
      </c>
      <c r="U403" s="31" t="s">
        <v>75</v>
      </c>
      <c r="V403" s="46" t="s">
        <v>1070</v>
      </c>
      <c r="W403" s="46" t="s">
        <v>2004</v>
      </c>
      <c r="X403" s="32" t="s">
        <v>2167</v>
      </c>
      <c r="Y403" s="24">
        <v>1058</v>
      </c>
      <c r="Z403" s="24">
        <v>25</v>
      </c>
      <c r="AA403" s="24">
        <f t="shared" si="170"/>
        <v>1005.1</v>
      </c>
      <c r="AB403" s="24">
        <f t="shared" si="162"/>
        <v>26450</v>
      </c>
      <c r="AC403" s="24">
        <f t="shared" si="163"/>
        <v>25127.5</v>
      </c>
      <c r="AD403" s="24">
        <f t="shared" si="164"/>
        <v>25127.5</v>
      </c>
      <c r="AE403" s="24">
        <f t="shared" si="165"/>
        <v>1322.5</v>
      </c>
      <c r="AF403" s="24">
        <f t="shared" si="179"/>
        <v>251.27500000000001</v>
      </c>
      <c r="AG403" s="33">
        <v>3700</v>
      </c>
      <c r="AH403" s="24"/>
      <c r="AI403" s="24"/>
      <c r="AJ403" s="24"/>
      <c r="AK403" s="24"/>
      <c r="AL403" s="24"/>
      <c r="AM403" s="24" t="s">
        <v>79</v>
      </c>
      <c r="AN403" s="34" t="s">
        <v>2168</v>
      </c>
      <c r="AO403" s="35" t="s">
        <v>1673</v>
      </c>
      <c r="AP403" s="24">
        <f>239*2</f>
        <v>478</v>
      </c>
      <c r="AQ403" s="36">
        <f t="shared" si="171"/>
        <v>147.07692307692307</v>
      </c>
      <c r="AR403" s="80">
        <v>175</v>
      </c>
      <c r="AS403" s="47">
        <f t="shared" si="172"/>
        <v>27.923076923076934</v>
      </c>
      <c r="AT403" s="31"/>
      <c r="AU403" s="47">
        <f t="shared" si="173"/>
        <v>27.923076923076934</v>
      </c>
      <c r="AV403" s="81">
        <v>91.99</v>
      </c>
      <c r="AW403" s="24">
        <f t="shared" si="166"/>
        <v>16098.25</v>
      </c>
      <c r="AX403" s="24">
        <f t="shared" si="152"/>
        <v>78.791165058203163</v>
      </c>
      <c r="AY403" s="24"/>
      <c r="AZ403" s="24"/>
      <c r="BA403" s="24"/>
      <c r="BB403" s="24">
        <f t="shared" si="174"/>
        <v>0</v>
      </c>
      <c r="BC403" s="24">
        <f t="shared" si="175"/>
        <v>5077.9749999999985</v>
      </c>
      <c r="BD403" s="24"/>
      <c r="BE403" s="24"/>
      <c r="BF403" s="24"/>
      <c r="BG403" s="24">
        <f>+AD403*9.5%</f>
        <v>2387.1125000000002</v>
      </c>
      <c r="BH403" s="24"/>
      <c r="BI403" s="24"/>
      <c r="BJ403" s="24">
        <f t="shared" si="177"/>
        <v>23.871125000000003</v>
      </c>
      <c r="BK403" s="24">
        <f t="shared" si="178"/>
        <v>7441.2163749999991</v>
      </c>
      <c r="BL403" s="24" t="s">
        <v>292</v>
      </c>
      <c r="BM403" s="42">
        <f t="shared" si="168"/>
        <v>2</v>
      </c>
      <c r="BN403" s="24" t="s">
        <v>83</v>
      </c>
      <c r="BO403" s="2" t="s">
        <v>129</v>
      </c>
    </row>
    <row r="404" spans="1:67" s="1" customFormat="1" ht="15" customHeight="1" x14ac:dyDescent="0.3">
      <c r="A404" s="20">
        <v>400</v>
      </c>
      <c r="B404" s="21">
        <v>46107</v>
      </c>
      <c r="C404" s="21">
        <v>46111</v>
      </c>
      <c r="D404" s="50" t="s">
        <v>1837</v>
      </c>
      <c r="E404" s="23">
        <v>46111</v>
      </c>
      <c r="F404" s="23" t="s">
        <v>7</v>
      </c>
      <c r="G404" s="24" t="s">
        <v>68</v>
      </c>
      <c r="H404" s="24" t="s">
        <v>1752</v>
      </c>
      <c r="I404" s="24" t="s">
        <v>1753</v>
      </c>
      <c r="J404" s="25" t="s">
        <v>1754</v>
      </c>
      <c r="K404" s="45" t="str">
        <f t="shared" si="169"/>
        <v>JH10BY9023</v>
      </c>
      <c r="L404" s="26">
        <v>46109</v>
      </c>
      <c r="M404" s="34" t="s">
        <v>2169</v>
      </c>
      <c r="N404" s="27" t="s">
        <v>2170</v>
      </c>
      <c r="O404" s="28">
        <v>0</v>
      </c>
      <c r="P404" s="27" t="s">
        <v>2171</v>
      </c>
      <c r="Q404" s="29">
        <v>2525379246</v>
      </c>
      <c r="R404" s="30">
        <v>2110829394</v>
      </c>
      <c r="S404" s="82" t="s">
        <v>73</v>
      </c>
      <c r="T404" s="24" t="s">
        <v>241</v>
      </c>
      <c r="U404" s="24" t="s">
        <v>75</v>
      </c>
      <c r="V404" s="32" t="s">
        <v>491</v>
      </c>
      <c r="W404" s="32" t="s">
        <v>838</v>
      </c>
      <c r="X404" s="32" t="s">
        <v>2172</v>
      </c>
      <c r="Y404" s="24">
        <v>1047</v>
      </c>
      <c r="Z404" s="24">
        <v>30</v>
      </c>
      <c r="AA404" s="24">
        <f t="shared" si="170"/>
        <v>994.65000000000009</v>
      </c>
      <c r="AB404" s="24">
        <f t="shared" si="162"/>
        <v>31410</v>
      </c>
      <c r="AC404" s="24">
        <f t="shared" si="163"/>
        <v>29839.500000000004</v>
      </c>
      <c r="AD404" s="24">
        <f t="shared" si="164"/>
        <v>29839.500000000004</v>
      </c>
      <c r="AE404" s="24">
        <f t="shared" si="165"/>
        <v>1570.4999999999964</v>
      </c>
      <c r="AF404" s="24">
        <v>0</v>
      </c>
      <c r="AG404" s="33">
        <v>4000</v>
      </c>
      <c r="AH404" s="24"/>
      <c r="AI404" s="24"/>
      <c r="AJ404" s="24"/>
      <c r="AK404" s="24"/>
      <c r="AL404" s="24"/>
      <c r="AM404" s="24" t="s">
        <v>79</v>
      </c>
      <c r="AN404" s="34" t="s">
        <v>2173</v>
      </c>
      <c r="AO404" s="35" t="s">
        <v>1673</v>
      </c>
      <c r="AP404" s="24">
        <f>240*2</f>
        <v>480</v>
      </c>
      <c r="AQ404" s="36">
        <f t="shared" si="171"/>
        <v>147.69230769230768</v>
      </c>
      <c r="AR404" s="80">
        <v>150</v>
      </c>
      <c r="AS404" s="47">
        <f t="shared" si="172"/>
        <v>2.3076923076923208</v>
      </c>
      <c r="AT404" s="31"/>
      <c r="AU404" s="47">
        <f t="shared" si="173"/>
        <v>2.3076923076923208</v>
      </c>
      <c r="AV404" s="81">
        <v>91.99</v>
      </c>
      <c r="AW404" s="24">
        <f t="shared" si="166"/>
        <v>13798.5</v>
      </c>
      <c r="AX404" s="24">
        <f t="shared" si="152"/>
        <v>59.647447175723443</v>
      </c>
      <c r="AY404" s="24"/>
      <c r="AZ404" s="24"/>
      <c r="BA404" s="24"/>
      <c r="BB404" s="24">
        <f t="shared" si="174"/>
        <v>0</v>
      </c>
      <c r="BC404" s="24">
        <f t="shared" si="175"/>
        <v>12041.000000000004</v>
      </c>
      <c r="BD404" s="24">
        <v>135</v>
      </c>
      <c r="BE404" s="24">
        <v>135</v>
      </c>
      <c r="BF404" s="24"/>
      <c r="BG404" s="24">
        <f>+AB404*9.5%</f>
        <v>2983.95</v>
      </c>
      <c r="BH404" s="24"/>
      <c r="BI404" s="24"/>
      <c r="BJ404" s="24">
        <f t="shared" si="177"/>
        <v>29.839499999999997</v>
      </c>
      <c r="BK404" s="24">
        <f t="shared" si="178"/>
        <v>15265.110500000004</v>
      </c>
      <c r="BL404" s="24" t="s">
        <v>155</v>
      </c>
      <c r="BM404" s="42">
        <f t="shared" si="168"/>
        <v>3</v>
      </c>
      <c r="BN404" s="24" t="s">
        <v>139</v>
      </c>
      <c r="BO404" s="2" t="s">
        <v>175</v>
      </c>
    </row>
    <row r="405" spans="1:67" s="1" customFormat="1" ht="15" customHeight="1" x14ac:dyDescent="0.3">
      <c r="A405" s="20">
        <v>401</v>
      </c>
      <c r="B405" s="21">
        <v>46107</v>
      </c>
      <c r="C405" s="21">
        <v>46111</v>
      </c>
      <c r="D405" s="50" t="s">
        <v>2174</v>
      </c>
      <c r="E405" s="23">
        <v>46111</v>
      </c>
      <c r="F405" s="23" t="s">
        <v>7</v>
      </c>
      <c r="G405" s="24" t="s">
        <v>68</v>
      </c>
      <c r="H405" s="24" t="s">
        <v>69</v>
      </c>
      <c r="I405" s="24" t="s">
        <v>88</v>
      </c>
      <c r="J405" s="25" t="s">
        <v>89</v>
      </c>
      <c r="K405" s="45" t="str">
        <f t="shared" si="169"/>
        <v>WB67A9375</v>
      </c>
      <c r="L405" s="26">
        <v>46108</v>
      </c>
      <c r="M405" s="34" t="s">
        <v>2175</v>
      </c>
      <c r="N405" s="27" t="s">
        <v>2176</v>
      </c>
      <c r="O405" s="28">
        <v>0</v>
      </c>
      <c r="P405" s="27" t="s">
        <v>2177</v>
      </c>
      <c r="Q405" s="29">
        <v>2525379486</v>
      </c>
      <c r="R405" s="30">
        <v>2110829707</v>
      </c>
      <c r="S405" s="31" t="s">
        <v>73</v>
      </c>
      <c r="T405" s="24" t="s">
        <v>91</v>
      </c>
      <c r="U405" s="24" t="s">
        <v>75</v>
      </c>
      <c r="V405" s="32" t="s">
        <v>1077</v>
      </c>
      <c r="W405" s="32" t="s">
        <v>1243</v>
      </c>
      <c r="X405" s="32" t="s">
        <v>2178</v>
      </c>
      <c r="Y405" s="24">
        <v>1081</v>
      </c>
      <c r="Z405" s="24">
        <v>25</v>
      </c>
      <c r="AA405" s="24">
        <f t="shared" si="170"/>
        <v>1026.95</v>
      </c>
      <c r="AB405" s="24">
        <f t="shared" si="162"/>
        <v>27025</v>
      </c>
      <c r="AC405" s="24">
        <f t="shared" si="163"/>
        <v>25673.75</v>
      </c>
      <c r="AD405" s="24">
        <f t="shared" si="164"/>
        <v>25673.75</v>
      </c>
      <c r="AE405" s="24">
        <f t="shared" si="165"/>
        <v>1351.25</v>
      </c>
      <c r="AF405" s="24">
        <v>0</v>
      </c>
      <c r="AG405" s="33">
        <v>3500</v>
      </c>
      <c r="AH405" s="24"/>
      <c r="AI405" s="24"/>
      <c r="AJ405" s="24"/>
      <c r="AK405" s="24"/>
      <c r="AL405" s="24"/>
      <c r="AM405" s="24" t="s">
        <v>79</v>
      </c>
      <c r="AN405" s="34" t="s">
        <v>2179</v>
      </c>
      <c r="AO405" s="35" t="s">
        <v>1673</v>
      </c>
      <c r="AP405" s="24">
        <f>247*2</f>
        <v>494</v>
      </c>
      <c r="AQ405" s="36">
        <f t="shared" si="171"/>
        <v>152</v>
      </c>
      <c r="AR405" s="80">
        <v>155</v>
      </c>
      <c r="AS405" s="47">
        <f t="shared" si="172"/>
        <v>3</v>
      </c>
      <c r="AT405" s="31"/>
      <c r="AU405" s="47">
        <f t="shared" si="173"/>
        <v>3</v>
      </c>
      <c r="AV405" s="81">
        <v>91.99</v>
      </c>
      <c r="AW405" s="24">
        <f t="shared" si="166"/>
        <v>14258.449999999999</v>
      </c>
      <c r="AX405" s="24">
        <f t="shared" si="152"/>
        <v>69.169677199474151</v>
      </c>
      <c r="AY405" s="24"/>
      <c r="AZ405" s="24"/>
      <c r="BA405" s="24"/>
      <c r="BB405" s="24">
        <f t="shared" si="174"/>
        <v>0</v>
      </c>
      <c r="BC405" s="24">
        <f t="shared" si="175"/>
        <v>7915.3000000000011</v>
      </c>
      <c r="BD405" s="24"/>
      <c r="BE405" s="24"/>
      <c r="BF405" s="24"/>
      <c r="BG405" s="24">
        <f>+AB405*9.5%</f>
        <v>2567.375</v>
      </c>
      <c r="BH405" s="24"/>
      <c r="BI405" s="24"/>
      <c r="BJ405" s="24">
        <f t="shared" si="177"/>
        <v>25.673750000000002</v>
      </c>
      <c r="BK405" s="24">
        <f t="shared" si="178"/>
        <v>10457.001250000001</v>
      </c>
      <c r="BL405" s="24" t="s">
        <v>96</v>
      </c>
      <c r="BM405" s="42">
        <f t="shared" si="168"/>
        <v>2</v>
      </c>
      <c r="BN405" s="24" t="s">
        <v>83</v>
      </c>
      <c r="BO405" s="2" t="s">
        <v>175</v>
      </c>
    </row>
    <row r="406" spans="1:67" s="1" customFormat="1" ht="15" customHeight="1" x14ac:dyDescent="0.3">
      <c r="A406" s="20">
        <v>402</v>
      </c>
      <c r="B406" s="21">
        <v>46107</v>
      </c>
      <c r="C406" s="21">
        <v>46111</v>
      </c>
      <c r="D406" s="50" t="s">
        <v>1674</v>
      </c>
      <c r="E406" s="23">
        <v>46139</v>
      </c>
      <c r="F406" s="23" t="s">
        <v>7</v>
      </c>
      <c r="G406" s="24" t="s">
        <v>68</v>
      </c>
      <c r="H406" s="24" t="s">
        <v>69</v>
      </c>
      <c r="I406" s="24" t="s">
        <v>141</v>
      </c>
      <c r="J406" s="25" t="s">
        <v>246</v>
      </c>
      <c r="K406" s="45" t="str">
        <f t="shared" si="169"/>
        <v>WB41F4393</v>
      </c>
      <c r="L406" s="26">
        <v>46108</v>
      </c>
      <c r="M406" s="34" t="s">
        <v>2180</v>
      </c>
      <c r="N406" s="27" t="s">
        <v>2181</v>
      </c>
      <c r="O406" s="28">
        <v>0</v>
      </c>
      <c r="P406" s="27" t="s">
        <v>2182</v>
      </c>
      <c r="Q406" s="29">
        <v>2525379590</v>
      </c>
      <c r="R406" s="30">
        <v>2110829836</v>
      </c>
      <c r="S406" s="31" t="s">
        <v>73</v>
      </c>
      <c r="T406" s="24" t="s">
        <v>91</v>
      </c>
      <c r="U406" s="24" t="s">
        <v>75</v>
      </c>
      <c r="V406" s="32" t="s">
        <v>2183</v>
      </c>
      <c r="W406" s="32" t="s">
        <v>2184</v>
      </c>
      <c r="X406" s="32" t="s">
        <v>2185</v>
      </c>
      <c r="Y406" s="24">
        <v>982</v>
      </c>
      <c r="Z406" s="24">
        <v>25</v>
      </c>
      <c r="AA406" s="24">
        <f t="shared" si="170"/>
        <v>932.9</v>
      </c>
      <c r="AB406" s="24">
        <f t="shared" si="162"/>
        <v>24550</v>
      </c>
      <c r="AC406" s="24">
        <f t="shared" si="163"/>
        <v>23322.5</v>
      </c>
      <c r="AD406" s="24">
        <f t="shared" si="164"/>
        <v>23322.5</v>
      </c>
      <c r="AE406" s="24">
        <f t="shared" si="165"/>
        <v>1227.5</v>
      </c>
      <c r="AF406" s="24">
        <f t="shared" ref="AF406:AF419" si="181">+AD406*1%</f>
        <v>233.22499999999999</v>
      </c>
      <c r="AG406" s="33">
        <v>3950</v>
      </c>
      <c r="AH406" s="24"/>
      <c r="AI406" s="24"/>
      <c r="AJ406" s="24"/>
      <c r="AK406" s="24"/>
      <c r="AL406" s="24"/>
      <c r="AM406" s="24" t="s">
        <v>79</v>
      </c>
      <c r="AN406" s="34" t="s">
        <v>2186</v>
      </c>
      <c r="AO406" s="35" t="s">
        <v>1673</v>
      </c>
      <c r="AP406" s="24">
        <f>212*2</f>
        <v>424</v>
      </c>
      <c r="AQ406" s="36">
        <f t="shared" si="171"/>
        <v>130.46153846153845</v>
      </c>
      <c r="AR406" s="80">
        <v>130</v>
      </c>
      <c r="AS406" s="47">
        <f t="shared" si="172"/>
        <v>-0.46153846153845279</v>
      </c>
      <c r="AT406" s="31"/>
      <c r="AU406" s="47">
        <f t="shared" si="173"/>
        <v>-0.46153846153845279</v>
      </c>
      <c r="AV406" s="81">
        <v>91.99</v>
      </c>
      <c r="AW406" s="24">
        <f t="shared" si="166"/>
        <v>11958.699999999999</v>
      </c>
      <c r="AX406" s="24">
        <f t="shared" si="152"/>
        <v>68.211812627291238</v>
      </c>
      <c r="AY406" s="24"/>
      <c r="AZ406" s="24"/>
      <c r="BA406" s="24"/>
      <c r="BB406" s="24">
        <f t="shared" si="174"/>
        <v>0</v>
      </c>
      <c r="BC406" s="24">
        <f t="shared" si="175"/>
        <v>7180.5750000000025</v>
      </c>
      <c r="BD406" s="24">
        <f>100+100</f>
        <v>200</v>
      </c>
      <c r="BE406" s="24">
        <f>100+100</f>
        <v>200</v>
      </c>
      <c r="BF406" s="24"/>
      <c r="BG406" s="24">
        <f>+AB406*9.5%</f>
        <v>2332.25</v>
      </c>
      <c r="BH406" s="24"/>
      <c r="BI406" s="24"/>
      <c r="BJ406" s="24">
        <f t="shared" si="177"/>
        <v>23.322500000000002</v>
      </c>
      <c r="BK406" s="24">
        <f t="shared" si="178"/>
        <v>9889.5025000000023</v>
      </c>
      <c r="BL406" s="24" t="s">
        <v>253</v>
      </c>
      <c r="BM406" s="42">
        <f t="shared" si="168"/>
        <v>2</v>
      </c>
      <c r="BN406" s="24" t="s">
        <v>83</v>
      </c>
      <c r="BO406" s="2" t="s">
        <v>2187</v>
      </c>
    </row>
    <row r="407" spans="1:67" s="1" customFormat="1" ht="15" customHeight="1" x14ac:dyDescent="0.3">
      <c r="A407" s="20">
        <v>403</v>
      </c>
      <c r="B407" s="21">
        <v>46107</v>
      </c>
      <c r="C407" s="21">
        <v>46111</v>
      </c>
      <c r="D407" s="84" t="s">
        <v>2188</v>
      </c>
      <c r="E407" s="23">
        <v>46116</v>
      </c>
      <c r="F407" s="23" t="s">
        <v>7</v>
      </c>
      <c r="G407" s="24" t="s">
        <v>68</v>
      </c>
      <c r="H407" s="24" t="s">
        <v>69</v>
      </c>
      <c r="I407" s="24" t="s">
        <v>141</v>
      </c>
      <c r="J407" s="25" t="s">
        <v>142</v>
      </c>
      <c r="K407" s="45" t="str">
        <f t="shared" si="169"/>
        <v>WB41F2315</v>
      </c>
      <c r="L407" s="26">
        <v>46108</v>
      </c>
      <c r="M407" s="34" t="s">
        <v>2189</v>
      </c>
      <c r="N407" s="27" t="s">
        <v>2190</v>
      </c>
      <c r="O407" s="28">
        <v>0</v>
      </c>
      <c r="P407" s="27" t="s">
        <v>2191</v>
      </c>
      <c r="Q407" s="29">
        <v>2525379580</v>
      </c>
      <c r="R407" s="30">
        <v>2110829832</v>
      </c>
      <c r="S407" s="31" t="s">
        <v>73</v>
      </c>
      <c r="T407" s="24" t="s">
        <v>91</v>
      </c>
      <c r="U407" s="24" t="s">
        <v>75</v>
      </c>
      <c r="V407" s="32" t="s">
        <v>1522</v>
      </c>
      <c r="W407" s="32" t="s">
        <v>528</v>
      </c>
      <c r="X407" s="32" t="s">
        <v>2192</v>
      </c>
      <c r="Y407" s="24">
        <v>1023</v>
      </c>
      <c r="Z407" s="24">
        <v>25</v>
      </c>
      <c r="AA407" s="24">
        <f t="shared" si="170"/>
        <v>971.85</v>
      </c>
      <c r="AB407" s="24">
        <f t="shared" si="162"/>
        <v>25575</v>
      </c>
      <c r="AC407" s="24">
        <f t="shared" si="163"/>
        <v>24296.25</v>
      </c>
      <c r="AD407" s="24">
        <f t="shared" si="164"/>
        <v>24296.25</v>
      </c>
      <c r="AE407" s="24">
        <f t="shared" si="165"/>
        <v>1278.75</v>
      </c>
      <c r="AF407" s="24">
        <v>0</v>
      </c>
      <c r="AG407" s="33">
        <v>6200</v>
      </c>
      <c r="AH407" s="24"/>
      <c r="AI407" s="24"/>
      <c r="AJ407" s="24"/>
      <c r="AK407" s="24"/>
      <c r="AL407" s="24"/>
      <c r="AM407" s="24" t="s">
        <v>79</v>
      </c>
      <c r="AN407" s="34" t="s">
        <v>2193</v>
      </c>
      <c r="AO407" s="35" t="s">
        <v>1673</v>
      </c>
      <c r="AP407" s="24">
        <f>245*2</f>
        <v>490</v>
      </c>
      <c r="AQ407" s="36">
        <f t="shared" si="171"/>
        <v>150.76923076923077</v>
      </c>
      <c r="AR407" s="80">
        <v>150</v>
      </c>
      <c r="AS407" s="47">
        <f t="shared" si="172"/>
        <v>-0.7692307692307736</v>
      </c>
      <c r="AT407" s="31"/>
      <c r="AU407" s="47">
        <f t="shared" si="173"/>
        <v>-0.7692307692307736</v>
      </c>
      <c r="AV407" s="81">
        <v>91.99</v>
      </c>
      <c r="AW407" s="24">
        <f t="shared" si="166"/>
        <v>13798.5</v>
      </c>
      <c r="AX407" s="24">
        <f t="shared" ref="AX407:AX470" si="182">((AG407+AW407)/AD407)*100</f>
        <v>82.311056232957753</v>
      </c>
      <c r="AY407" s="24"/>
      <c r="AZ407" s="24"/>
      <c r="BA407" s="24"/>
      <c r="BB407" s="24">
        <f t="shared" si="174"/>
        <v>0</v>
      </c>
      <c r="BC407" s="24">
        <f t="shared" si="175"/>
        <v>4297.75</v>
      </c>
      <c r="BD407" s="24">
        <v>135</v>
      </c>
      <c r="BE407" s="24">
        <v>135</v>
      </c>
      <c r="BF407" s="24"/>
      <c r="BG407" s="24">
        <f>+AB407*9.5%</f>
        <v>2429.625</v>
      </c>
      <c r="BH407" s="24"/>
      <c r="BI407" s="24"/>
      <c r="BJ407" s="24">
        <f t="shared" si="177"/>
        <v>24.296250000000001</v>
      </c>
      <c r="BK407" s="24">
        <f t="shared" si="178"/>
        <v>6973.0787499999997</v>
      </c>
      <c r="BL407" s="24" t="s">
        <v>147</v>
      </c>
      <c r="BM407" s="42">
        <f t="shared" si="168"/>
        <v>2</v>
      </c>
      <c r="BN407" s="24" t="s">
        <v>83</v>
      </c>
      <c r="BO407" s="2" t="s">
        <v>175</v>
      </c>
    </row>
    <row r="408" spans="1:67" s="1" customFormat="1" ht="15" customHeight="1" x14ac:dyDescent="0.3">
      <c r="A408" s="20">
        <v>404</v>
      </c>
      <c r="B408" s="21">
        <v>46107</v>
      </c>
      <c r="C408" s="21">
        <v>46111</v>
      </c>
      <c r="D408" s="50" t="s">
        <v>2058</v>
      </c>
      <c r="E408" s="23">
        <v>46123</v>
      </c>
      <c r="F408" s="23" t="s">
        <v>7</v>
      </c>
      <c r="G408" s="24" t="s">
        <v>68</v>
      </c>
      <c r="H408" s="24" t="s">
        <v>69</v>
      </c>
      <c r="I408" s="24">
        <v>35</v>
      </c>
      <c r="J408" s="25" t="s">
        <v>451</v>
      </c>
      <c r="K408" s="59" t="str">
        <f t="shared" si="169"/>
        <v>WB351813</v>
      </c>
      <c r="L408" s="26">
        <v>46108</v>
      </c>
      <c r="M408" s="34" t="s">
        <v>2194</v>
      </c>
      <c r="N408" s="27" t="s">
        <v>2195</v>
      </c>
      <c r="O408" s="28">
        <v>0</v>
      </c>
      <c r="P408" s="27" t="s">
        <v>2196</v>
      </c>
      <c r="Q408" s="29">
        <v>2525379671</v>
      </c>
      <c r="R408" s="30">
        <v>2110829971</v>
      </c>
      <c r="S408" s="60" t="s">
        <v>73</v>
      </c>
      <c r="T408" s="24" t="s">
        <v>91</v>
      </c>
      <c r="U408" s="24" t="s">
        <v>75</v>
      </c>
      <c r="V408" s="32" t="s">
        <v>414</v>
      </c>
      <c r="W408" s="32" t="s">
        <v>415</v>
      </c>
      <c r="X408" s="32" t="s">
        <v>2197</v>
      </c>
      <c r="Y408" s="24">
        <v>654</v>
      </c>
      <c r="Z408" s="24">
        <v>25</v>
      </c>
      <c r="AA408" s="24">
        <f t="shared" si="170"/>
        <v>621.29999999999995</v>
      </c>
      <c r="AB408" s="24">
        <f t="shared" si="162"/>
        <v>16350</v>
      </c>
      <c r="AC408" s="24">
        <f t="shared" si="163"/>
        <v>15532.5</v>
      </c>
      <c r="AD408" s="24">
        <f t="shared" si="164"/>
        <v>15532.499999999998</v>
      </c>
      <c r="AE408" s="24">
        <f t="shared" si="165"/>
        <v>817.50000000000182</v>
      </c>
      <c r="AF408" s="24">
        <v>0</v>
      </c>
      <c r="AG408" s="33">
        <v>3000</v>
      </c>
      <c r="AH408" s="24"/>
      <c r="AI408" s="24"/>
      <c r="AJ408" s="24"/>
      <c r="AK408" s="24"/>
      <c r="AL408" s="24"/>
      <c r="AM408" s="24" t="s">
        <v>79</v>
      </c>
      <c r="AN408" s="34" t="s">
        <v>2198</v>
      </c>
      <c r="AO408" s="35" t="s">
        <v>1673</v>
      </c>
      <c r="AP408" s="24">
        <f>124*2</f>
        <v>248</v>
      </c>
      <c r="AQ408" s="36">
        <f t="shared" si="171"/>
        <v>76.307692307692307</v>
      </c>
      <c r="AR408" s="80">
        <v>75</v>
      </c>
      <c r="AS408" s="47">
        <f t="shared" si="172"/>
        <v>-1.3076923076923066</v>
      </c>
      <c r="AT408" s="31"/>
      <c r="AU408" s="47">
        <f t="shared" si="173"/>
        <v>-1.3076923076923066</v>
      </c>
      <c r="AV408" s="81">
        <v>91.99</v>
      </c>
      <c r="AW408" s="24">
        <f t="shared" si="166"/>
        <v>6899.25</v>
      </c>
      <c r="AX408" s="24">
        <f t="shared" si="182"/>
        <v>63.732496378561088</v>
      </c>
      <c r="AY408" s="24"/>
      <c r="AZ408" s="24"/>
      <c r="BA408" s="24"/>
      <c r="BB408" s="24">
        <f t="shared" si="174"/>
        <v>0</v>
      </c>
      <c r="BC408" s="24">
        <f t="shared" si="175"/>
        <v>5633.2499999999982</v>
      </c>
      <c r="BD408" s="24">
        <v>135</v>
      </c>
      <c r="BE408" s="24">
        <v>135</v>
      </c>
      <c r="BF408" s="24"/>
      <c r="BG408" s="24">
        <f>+AB408*9.5%</f>
        <v>1553.25</v>
      </c>
      <c r="BH408" s="24"/>
      <c r="BI408" s="24"/>
      <c r="BJ408" s="24">
        <f t="shared" si="177"/>
        <v>15.532500000000001</v>
      </c>
      <c r="BK408" s="24">
        <f t="shared" si="178"/>
        <v>7440.9674999999979</v>
      </c>
      <c r="BL408" s="24" t="s">
        <v>155</v>
      </c>
      <c r="BM408" s="42">
        <f t="shared" si="168"/>
        <v>2</v>
      </c>
      <c r="BN408" s="24" t="s">
        <v>83</v>
      </c>
      <c r="BO408" s="2" t="s">
        <v>129</v>
      </c>
    </row>
    <row r="409" spans="1:67" s="1" customFormat="1" ht="15" customHeight="1" x14ac:dyDescent="0.3">
      <c r="A409" s="20">
        <v>405</v>
      </c>
      <c r="B409" s="21">
        <v>46107</v>
      </c>
      <c r="C409" s="21">
        <v>46111</v>
      </c>
      <c r="D409" s="50" t="s">
        <v>668</v>
      </c>
      <c r="E409" s="23">
        <v>46160</v>
      </c>
      <c r="F409" s="23" t="s">
        <v>7</v>
      </c>
      <c r="G409" s="24" t="s">
        <v>68</v>
      </c>
      <c r="H409" s="24" t="s">
        <v>69</v>
      </c>
      <c r="I409" s="24" t="s">
        <v>70</v>
      </c>
      <c r="J409" s="25" t="s">
        <v>71</v>
      </c>
      <c r="K409" s="45" t="str">
        <f t="shared" si="169"/>
        <v>WB39B0034</v>
      </c>
      <c r="L409" s="26">
        <v>46108</v>
      </c>
      <c r="M409" s="34" t="s">
        <v>2199</v>
      </c>
      <c r="N409" s="27" t="s">
        <v>2200</v>
      </c>
      <c r="O409" s="28">
        <v>0</v>
      </c>
      <c r="P409" s="27" t="s">
        <v>2201</v>
      </c>
      <c r="Q409" s="29">
        <v>2525379706</v>
      </c>
      <c r="R409" s="30">
        <v>211082996</v>
      </c>
      <c r="S409" s="31" t="s">
        <v>73</v>
      </c>
      <c r="T409" s="24" t="s">
        <v>74</v>
      </c>
      <c r="U409" s="24" t="s">
        <v>75</v>
      </c>
      <c r="V409" s="32" t="s">
        <v>2202</v>
      </c>
      <c r="W409" s="32" t="s">
        <v>2203</v>
      </c>
      <c r="X409" s="32" t="s">
        <v>2204</v>
      </c>
      <c r="Y409" s="24">
        <v>847</v>
      </c>
      <c r="Z409" s="24">
        <v>19</v>
      </c>
      <c r="AA409" s="24">
        <f t="shared" si="170"/>
        <v>804.65000000000009</v>
      </c>
      <c r="AB409" s="24">
        <f t="shared" si="162"/>
        <v>16093</v>
      </c>
      <c r="AC409" s="24">
        <f t="shared" si="163"/>
        <v>15288.35</v>
      </c>
      <c r="AD409" s="24">
        <f t="shared" si="164"/>
        <v>15288.350000000002</v>
      </c>
      <c r="AE409" s="24">
        <f t="shared" si="165"/>
        <v>804.64999999999782</v>
      </c>
      <c r="AF409" s="24">
        <f t="shared" si="181"/>
        <v>152.88350000000003</v>
      </c>
      <c r="AG409" s="33">
        <v>2900</v>
      </c>
      <c r="AH409" s="24"/>
      <c r="AI409" s="24"/>
      <c r="AJ409" s="24"/>
      <c r="AK409" s="24"/>
      <c r="AL409" s="24"/>
      <c r="AM409" s="24" t="s">
        <v>79</v>
      </c>
      <c r="AN409" s="34" t="s">
        <v>2205</v>
      </c>
      <c r="AO409" s="35" t="s">
        <v>1673</v>
      </c>
      <c r="AP409" s="24">
        <f>189*2</f>
        <v>378</v>
      </c>
      <c r="AQ409" s="36">
        <f t="shared" si="171"/>
        <v>116.30769230769231</v>
      </c>
      <c r="AR409" s="80">
        <v>110</v>
      </c>
      <c r="AS409" s="47">
        <f t="shared" si="172"/>
        <v>-6.3076923076923066</v>
      </c>
      <c r="AT409" s="31"/>
      <c r="AU409" s="47">
        <f t="shared" si="173"/>
        <v>-6.3076923076923066</v>
      </c>
      <c r="AV409" s="81">
        <v>91.99</v>
      </c>
      <c r="AW409" s="24">
        <f t="shared" si="166"/>
        <v>10118.9</v>
      </c>
      <c r="AX409" s="24">
        <f t="shared" si="182"/>
        <v>85.155690444030895</v>
      </c>
      <c r="AY409" s="24">
        <v>120</v>
      </c>
      <c r="AZ409" s="24"/>
      <c r="BA409" s="24"/>
      <c r="BB409" s="24">
        <f t="shared" si="174"/>
        <v>0</v>
      </c>
      <c r="BC409" s="24">
        <f t="shared" si="175"/>
        <v>1996.5665000000026</v>
      </c>
      <c r="BD409" s="24">
        <v>100</v>
      </c>
      <c r="BE409" s="24">
        <v>100</v>
      </c>
      <c r="BF409" s="24"/>
      <c r="BG409" s="24">
        <f>+AD409*8.5%</f>
        <v>1299.5097500000002</v>
      </c>
      <c r="BH409" s="24">
        <f t="shared" ref="BH409:BH411" si="183">+AD409*8.5%</f>
        <v>1299.5097500000002</v>
      </c>
      <c r="BI409" s="24"/>
      <c r="BJ409" s="24">
        <f t="shared" si="177"/>
        <v>25.990195000000003</v>
      </c>
      <c r="BK409" s="24">
        <f t="shared" si="178"/>
        <v>4769.5958050000027</v>
      </c>
      <c r="BL409" s="24" t="s">
        <v>82</v>
      </c>
      <c r="BM409" s="42">
        <f t="shared" si="168"/>
        <v>2</v>
      </c>
      <c r="BN409" s="24" t="s">
        <v>83</v>
      </c>
      <c r="BO409" s="2" t="s">
        <v>84</v>
      </c>
    </row>
    <row r="410" spans="1:67" s="1" customFormat="1" ht="15" customHeight="1" x14ac:dyDescent="0.3">
      <c r="A410" s="20">
        <v>406</v>
      </c>
      <c r="B410" s="21">
        <v>46107</v>
      </c>
      <c r="C410" s="21">
        <v>46114</v>
      </c>
      <c r="D410" s="50" t="s">
        <v>2206</v>
      </c>
      <c r="E410" s="23">
        <v>46139</v>
      </c>
      <c r="F410" s="23" t="s">
        <v>7</v>
      </c>
      <c r="G410" s="24" t="s">
        <v>68</v>
      </c>
      <c r="H410" s="24" t="s">
        <v>69</v>
      </c>
      <c r="I410" s="24" t="s">
        <v>88</v>
      </c>
      <c r="J410" s="25" t="s">
        <v>194</v>
      </c>
      <c r="K410" s="45" t="str">
        <f t="shared" si="169"/>
        <v>WB67A2373</v>
      </c>
      <c r="L410" s="26">
        <v>46109</v>
      </c>
      <c r="M410" s="34" t="s">
        <v>2207</v>
      </c>
      <c r="N410" s="27" t="s">
        <v>2208</v>
      </c>
      <c r="O410" s="28">
        <v>0</v>
      </c>
      <c r="P410" s="27" t="s">
        <v>2209</v>
      </c>
      <c r="Q410" s="29">
        <v>2525379719</v>
      </c>
      <c r="R410" s="30">
        <v>2110830022</v>
      </c>
      <c r="S410" s="31" t="s">
        <v>73</v>
      </c>
      <c r="T410" s="24" t="s">
        <v>74</v>
      </c>
      <c r="U410" s="24" t="s">
        <v>75</v>
      </c>
      <c r="V410" s="32" t="s">
        <v>2210</v>
      </c>
      <c r="W410" s="32" t="s">
        <v>2211</v>
      </c>
      <c r="X410" s="32" t="s">
        <v>2212</v>
      </c>
      <c r="Y410" s="24">
        <v>790</v>
      </c>
      <c r="Z410" s="24">
        <v>19</v>
      </c>
      <c r="AA410" s="24">
        <f t="shared" si="170"/>
        <v>750.5</v>
      </c>
      <c r="AB410" s="24">
        <f t="shared" si="162"/>
        <v>15010</v>
      </c>
      <c r="AC410" s="24">
        <f t="shared" si="163"/>
        <v>14259.5</v>
      </c>
      <c r="AD410" s="24">
        <f t="shared" si="164"/>
        <v>14259.5</v>
      </c>
      <c r="AE410" s="24">
        <f t="shared" si="165"/>
        <v>750.5</v>
      </c>
      <c r="AF410" s="24">
        <f t="shared" si="181"/>
        <v>142.595</v>
      </c>
      <c r="AG410" s="33">
        <v>3600</v>
      </c>
      <c r="AH410" s="24"/>
      <c r="AI410" s="24"/>
      <c r="AJ410" s="24"/>
      <c r="AK410" s="24"/>
      <c r="AL410" s="24"/>
      <c r="AM410" s="24" t="s">
        <v>79</v>
      </c>
      <c r="AN410" s="34" t="s">
        <v>2213</v>
      </c>
      <c r="AO410" s="35" t="s">
        <v>1673</v>
      </c>
      <c r="AP410" s="24">
        <f>180*2</f>
        <v>360</v>
      </c>
      <c r="AQ410" s="36">
        <f t="shared" si="171"/>
        <v>110.76923076923077</v>
      </c>
      <c r="AR410" s="80">
        <v>105</v>
      </c>
      <c r="AS410" s="47">
        <f t="shared" si="172"/>
        <v>-5.7692307692307736</v>
      </c>
      <c r="AT410" s="31"/>
      <c r="AU410" s="47">
        <f t="shared" si="173"/>
        <v>-5.7692307692307736</v>
      </c>
      <c r="AV410" s="81">
        <v>91.99</v>
      </c>
      <c r="AW410" s="24">
        <f t="shared" si="166"/>
        <v>9658.9499999999989</v>
      </c>
      <c r="AX410" s="24">
        <f t="shared" si="182"/>
        <v>92.983274308355817</v>
      </c>
      <c r="AY410" s="24">
        <v>120</v>
      </c>
      <c r="AZ410" s="24"/>
      <c r="BA410" s="24"/>
      <c r="BB410" s="24">
        <f t="shared" si="174"/>
        <v>0</v>
      </c>
      <c r="BC410" s="24">
        <f t="shared" si="175"/>
        <v>737.95500000000175</v>
      </c>
      <c r="BD410" s="24">
        <v>100</v>
      </c>
      <c r="BE410" s="24">
        <v>110</v>
      </c>
      <c r="BF410" s="24"/>
      <c r="BG410" s="24">
        <f>+AD410*8.5%</f>
        <v>1212.0575000000001</v>
      </c>
      <c r="BH410" s="24">
        <f t="shared" si="183"/>
        <v>1212.0575000000001</v>
      </c>
      <c r="BI410" s="24"/>
      <c r="BJ410" s="24">
        <f t="shared" si="177"/>
        <v>24.241150000000005</v>
      </c>
      <c r="BK410" s="24">
        <f t="shared" si="178"/>
        <v>3347.8288500000017</v>
      </c>
      <c r="BL410" s="24" t="s">
        <v>82</v>
      </c>
      <c r="BM410" s="42">
        <f t="shared" si="168"/>
        <v>3</v>
      </c>
      <c r="BN410" s="24" t="s">
        <v>139</v>
      </c>
      <c r="BO410" s="2" t="s">
        <v>129</v>
      </c>
    </row>
    <row r="411" spans="1:67" s="1" customFormat="1" ht="15" customHeight="1" x14ac:dyDescent="0.3">
      <c r="A411" s="20">
        <v>407</v>
      </c>
      <c r="B411" s="21">
        <v>46107</v>
      </c>
      <c r="C411" s="21">
        <v>46111</v>
      </c>
      <c r="D411" s="50" t="s">
        <v>2058</v>
      </c>
      <c r="E411" s="23">
        <v>46123</v>
      </c>
      <c r="F411" s="23" t="s">
        <v>7</v>
      </c>
      <c r="G411" s="24" t="s">
        <v>68</v>
      </c>
      <c r="H411" s="24" t="s">
        <v>69</v>
      </c>
      <c r="I411" s="24" t="s">
        <v>70</v>
      </c>
      <c r="J411" s="25" t="s">
        <v>215</v>
      </c>
      <c r="K411" s="59" t="str">
        <f t="shared" si="169"/>
        <v>WB39B0802</v>
      </c>
      <c r="L411" s="26">
        <v>46108</v>
      </c>
      <c r="M411" s="34" t="s">
        <v>2214</v>
      </c>
      <c r="N411" s="27" t="s">
        <v>2215</v>
      </c>
      <c r="O411" s="28">
        <v>0</v>
      </c>
      <c r="P411" s="27" t="s">
        <v>2216</v>
      </c>
      <c r="Q411" s="29">
        <v>2525379718</v>
      </c>
      <c r="R411" s="30">
        <v>2110830021</v>
      </c>
      <c r="S411" s="60" t="s">
        <v>73</v>
      </c>
      <c r="T411" s="24" t="s">
        <v>74</v>
      </c>
      <c r="U411" s="24" t="s">
        <v>75</v>
      </c>
      <c r="V411" s="32" t="s">
        <v>1165</v>
      </c>
      <c r="W411" s="32" t="s">
        <v>415</v>
      </c>
      <c r="X411" s="32" t="s">
        <v>2217</v>
      </c>
      <c r="Y411" s="24">
        <v>499</v>
      </c>
      <c r="Z411" s="24">
        <v>19</v>
      </c>
      <c r="AA411" s="24">
        <f t="shared" si="170"/>
        <v>474.05</v>
      </c>
      <c r="AB411" s="24">
        <f t="shared" si="162"/>
        <v>9481</v>
      </c>
      <c r="AC411" s="24">
        <f t="shared" si="163"/>
        <v>9006.9500000000007</v>
      </c>
      <c r="AD411" s="24">
        <f t="shared" si="164"/>
        <v>9006.9500000000007</v>
      </c>
      <c r="AE411" s="24">
        <f t="shared" si="165"/>
        <v>474.04999999999927</v>
      </c>
      <c r="AF411" s="24">
        <f t="shared" si="181"/>
        <v>90.069500000000005</v>
      </c>
      <c r="AG411" s="33">
        <v>3000</v>
      </c>
      <c r="AH411" s="24">
        <v>100</v>
      </c>
      <c r="AI411" s="24"/>
      <c r="AJ411" s="24"/>
      <c r="AK411" s="24"/>
      <c r="AL411" s="24"/>
      <c r="AM411" s="24" t="s">
        <v>79</v>
      </c>
      <c r="AN411" s="34" t="s">
        <v>2218</v>
      </c>
      <c r="AO411" s="35" t="s">
        <v>1673</v>
      </c>
      <c r="AP411" s="24">
        <f>84*2</f>
        <v>168</v>
      </c>
      <c r="AQ411" s="36">
        <f t="shared" si="171"/>
        <v>51.692307692307693</v>
      </c>
      <c r="AR411" s="80">
        <v>50</v>
      </c>
      <c r="AS411" s="47">
        <f t="shared" si="172"/>
        <v>-1.6923076923076934</v>
      </c>
      <c r="AT411" s="31"/>
      <c r="AU411" s="47">
        <f t="shared" si="173"/>
        <v>-1.6923076923076934</v>
      </c>
      <c r="AV411" s="81">
        <v>91.99</v>
      </c>
      <c r="AW411" s="24">
        <f t="shared" si="166"/>
        <v>4599.5</v>
      </c>
      <c r="AX411" s="24">
        <f t="shared" si="182"/>
        <v>84.373733616818114</v>
      </c>
      <c r="AY411" s="24">
        <v>120</v>
      </c>
      <c r="AZ411" s="24"/>
      <c r="BA411" s="24"/>
      <c r="BB411" s="24">
        <f t="shared" si="174"/>
        <v>0</v>
      </c>
      <c r="BC411" s="24">
        <f t="shared" si="175"/>
        <v>1097.3805000000011</v>
      </c>
      <c r="BD411" s="24">
        <v>110</v>
      </c>
      <c r="BE411" s="24">
        <v>110</v>
      </c>
      <c r="BF411" s="24"/>
      <c r="BG411" s="24">
        <f>+AD411*8.5%</f>
        <v>765.59075000000007</v>
      </c>
      <c r="BH411" s="24">
        <f t="shared" si="183"/>
        <v>765.59075000000007</v>
      </c>
      <c r="BI411" s="24"/>
      <c r="BJ411" s="24">
        <f t="shared" si="177"/>
        <v>15.311815000000001</v>
      </c>
      <c r="BK411" s="24">
        <f t="shared" si="178"/>
        <v>2833.2501850000017</v>
      </c>
      <c r="BL411" s="24" t="s">
        <v>82</v>
      </c>
      <c r="BM411" s="42">
        <f t="shared" si="168"/>
        <v>2</v>
      </c>
      <c r="BN411" s="24" t="s">
        <v>83</v>
      </c>
      <c r="BO411" s="2" t="s">
        <v>424</v>
      </c>
    </row>
    <row r="412" spans="1:67" s="1" customFormat="1" ht="15" customHeight="1" x14ac:dyDescent="0.3">
      <c r="A412" s="20">
        <v>408</v>
      </c>
      <c r="B412" s="21">
        <v>46107</v>
      </c>
      <c r="C412" s="21">
        <v>46111</v>
      </c>
      <c r="D412" s="50" t="s">
        <v>2219</v>
      </c>
      <c r="E412" s="23">
        <v>46111</v>
      </c>
      <c r="F412" s="23" t="s">
        <v>7</v>
      </c>
      <c r="G412" s="24" t="s">
        <v>68</v>
      </c>
      <c r="H412" s="24" t="s">
        <v>69</v>
      </c>
      <c r="I412" s="24" t="s">
        <v>166</v>
      </c>
      <c r="J412" s="25" t="s">
        <v>167</v>
      </c>
      <c r="K412" s="45" t="str">
        <f t="shared" si="169"/>
        <v>WB41H0254</v>
      </c>
      <c r="L412" s="26">
        <v>46109</v>
      </c>
      <c r="M412" s="34" t="s">
        <v>2220</v>
      </c>
      <c r="N412" s="27" t="s">
        <v>2221</v>
      </c>
      <c r="O412" s="28">
        <v>0</v>
      </c>
      <c r="P412" s="27" t="s">
        <v>2222</v>
      </c>
      <c r="Q412" s="29">
        <v>2525379738</v>
      </c>
      <c r="R412" s="30">
        <v>2110830027</v>
      </c>
      <c r="S412" s="31" t="s">
        <v>73</v>
      </c>
      <c r="T412" s="24" t="s">
        <v>91</v>
      </c>
      <c r="U412" s="24" t="s">
        <v>75</v>
      </c>
      <c r="V412" s="32" t="s">
        <v>281</v>
      </c>
      <c r="W412" s="32" t="s">
        <v>635</v>
      </c>
      <c r="X412" s="32"/>
      <c r="Y412" s="24">
        <v>790</v>
      </c>
      <c r="Z412" s="24">
        <v>25</v>
      </c>
      <c r="AA412" s="24">
        <f t="shared" si="170"/>
        <v>750.5</v>
      </c>
      <c r="AB412" s="24">
        <f t="shared" si="162"/>
        <v>19750</v>
      </c>
      <c r="AC412" s="24">
        <f t="shared" si="163"/>
        <v>18762.5</v>
      </c>
      <c r="AD412" s="24">
        <f t="shared" si="164"/>
        <v>18762.5</v>
      </c>
      <c r="AE412" s="24">
        <f t="shared" si="165"/>
        <v>987.5</v>
      </c>
      <c r="AF412" s="24">
        <v>0</v>
      </c>
      <c r="AG412" s="33">
        <v>3000</v>
      </c>
      <c r="AH412" s="24"/>
      <c r="AI412" s="24"/>
      <c r="AJ412" s="24"/>
      <c r="AK412" s="24"/>
      <c r="AL412" s="24"/>
      <c r="AM412" s="24" t="s">
        <v>79</v>
      </c>
      <c r="AN412" s="34" t="s">
        <v>2223</v>
      </c>
      <c r="AO412" s="35" t="s">
        <v>1673</v>
      </c>
      <c r="AP412" s="24">
        <f>164*2</f>
        <v>328</v>
      </c>
      <c r="AQ412" s="36">
        <f t="shared" si="171"/>
        <v>100.92307692307692</v>
      </c>
      <c r="AR412" s="80">
        <v>95</v>
      </c>
      <c r="AS412" s="47">
        <f t="shared" si="172"/>
        <v>-5.9230769230769198</v>
      </c>
      <c r="AT412" s="31"/>
      <c r="AU412" s="47">
        <f t="shared" si="173"/>
        <v>-5.9230769230769198</v>
      </c>
      <c r="AV412" s="83">
        <v>91.88</v>
      </c>
      <c r="AW412" s="24">
        <f t="shared" si="166"/>
        <v>8728.6</v>
      </c>
      <c r="AX412" s="24">
        <f t="shared" si="182"/>
        <v>62.510859427048636</v>
      </c>
      <c r="AY412" s="24"/>
      <c r="AZ412" s="24"/>
      <c r="BA412" s="24"/>
      <c r="BB412" s="24">
        <f t="shared" si="174"/>
        <v>0</v>
      </c>
      <c r="BC412" s="24">
        <f t="shared" si="175"/>
        <v>7033.9</v>
      </c>
      <c r="BD412" s="24">
        <v>135</v>
      </c>
      <c r="BE412" s="24">
        <v>135</v>
      </c>
      <c r="BF412" s="24"/>
      <c r="BG412" s="24">
        <f>+AB412*9.5%</f>
        <v>1876.25</v>
      </c>
      <c r="BH412" s="24"/>
      <c r="BI412" s="24"/>
      <c r="BJ412" s="24">
        <f t="shared" si="177"/>
        <v>18.762499999999999</v>
      </c>
      <c r="BK412" s="24">
        <f t="shared" si="178"/>
        <v>9161.3874999999989</v>
      </c>
      <c r="BL412" s="24" t="s">
        <v>173</v>
      </c>
      <c r="BM412" s="42">
        <f t="shared" si="168"/>
        <v>3</v>
      </c>
      <c r="BN412" s="24" t="s">
        <v>139</v>
      </c>
      <c r="BO412" s="2" t="s">
        <v>175</v>
      </c>
    </row>
    <row r="413" spans="1:67" s="1" customFormat="1" ht="15" customHeight="1" x14ac:dyDescent="0.3">
      <c r="A413" s="20">
        <v>409</v>
      </c>
      <c r="B413" s="21">
        <v>46107</v>
      </c>
      <c r="C413" s="21">
        <v>46111</v>
      </c>
      <c r="D413" s="50" t="s">
        <v>1461</v>
      </c>
      <c r="E413" s="23">
        <v>46151</v>
      </c>
      <c r="F413" s="23" t="s">
        <v>7</v>
      </c>
      <c r="G413" s="24" t="s">
        <v>68</v>
      </c>
      <c r="H413" s="24" t="s">
        <v>69</v>
      </c>
      <c r="I413" s="24" t="s">
        <v>70</v>
      </c>
      <c r="J413" s="25" t="s">
        <v>336</v>
      </c>
      <c r="K413" s="45" t="str">
        <f t="shared" si="169"/>
        <v>WB39B0801</v>
      </c>
      <c r="L413" s="26">
        <v>46109</v>
      </c>
      <c r="M413" s="34" t="s">
        <v>2224</v>
      </c>
      <c r="N413" s="27" t="s">
        <v>2225</v>
      </c>
      <c r="O413" s="28">
        <v>0</v>
      </c>
      <c r="P413" s="27" t="s">
        <v>2226</v>
      </c>
      <c r="Q413" s="29">
        <v>2525379798</v>
      </c>
      <c r="R413" s="30">
        <v>2110830112</v>
      </c>
      <c r="S413" s="31" t="s">
        <v>73</v>
      </c>
      <c r="T413" s="24" t="s">
        <v>74</v>
      </c>
      <c r="U413" s="24" t="s">
        <v>75</v>
      </c>
      <c r="V413" s="32" t="s">
        <v>2227</v>
      </c>
      <c r="W413" s="32" t="s">
        <v>2228</v>
      </c>
      <c r="X413" s="32" t="s">
        <v>2229</v>
      </c>
      <c r="Y413" s="24">
        <v>858</v>
      </c>
      <c r="Z413" s="24">
        <v>19</v>
      </c>
      <c r="AA413" s="24">
        <f t="shared" si="170"/>
        <v>815.1</v>
      </c>
      <c r="AB413" s="24">
        <f t="shared" si="162"/>
        <v>16302</v>
      </c>
      <c r="AC413" s="24">
        <f t="shared" si="163"/>
        <v>15486.900000000001</v>
      </c>
      <c r="AD413" s="24">
        <f t="shared" si="164"/>
        <v>15486.9</v>
      </c>
      <c r="AE413" s="24">
        <f t="shared" si="165"/>
        <v>815.10000000000036</v>
      </c>
      <c r="AF413" s="24">
        <f t="shared" si="181"/>
        <v>154.869</v>
      </c>
      <c r="AG413" s="33">
        <v>3000</v>
      </c>
      <c r="AH413" s="24"/>
      <c r="AI413" s="24"/>
      <c r="AJ413" s="24"/>
      <c r="AK413" s="24"/>
      <c r="AL413" s="24"/>
      <c r="AM413" s="24" t="s">
        <v>79</v>
      </c>
      <c r="AN413" s="34" t="s">
        <v>2230</v>
      </c>
      <c r="AO413" s="35" t="s">
        <v>1673</v>
      </c>
      <c r="AP413" s="24">
        <f>192*2</f>
        <v>384</v>
      </c>
      <c r="AQ413" s="36">
        <f t="shared" si="171"/>
        <v>118.15384615384616</v>
      </c>
      <c r="AR413" s="80">
        <v>110</v>
      </c>
      <c r="AS413" s="47">
        <f t="shared" si="172"/>
        <v>-8.1538461538461604</v>
      </c>
      <c r="AT413" s="31"/>
      <c r="AU413" s="47">
        <f t="shared" si="173"/>
        <v>-8.1538461538461604</v>
      </c>
      <c r="AV413" s="81">
        <v>91.991</v>
      </c>
      <c r="AW413" s="24">
        <f t="shared" si="166"/>
        <v>10119.01</v>
      </c>
      <c r="AX413" s="24">
        <f t="shared" si="182"/>
        <v>84.71036811757034</v>
      </c>
      <c r="AY413" s="24">
        <v>120</v>
      </c>
      <c r="AZ413" s="24"/>
      <c r="BA413" s="24"/>
      <c r="BB413" s="24">
        <f t="shared" si="174"/>
        <v>0</v>
      </c>
      <c r="BC413" s="24">
        <f t="shared" si="175"/>
        <v>2093.0209999999988</v>
      </c>
      <c r="BD413" s="24">
        <v>110</v>
      </c>
      <c r="BE413" s="24">
        <v>110</v>
      </c>
      <c r="BF413" s="24"/>
      <c r="BG413" s="24">
        <f>+AD413*8.5%</f>
        <v>1316.3865000000001</v>
      </c>
      <c r="BH413" s="24">
        <f>+AD413*8.5%</f>
        <v>1316.3865000000001</v>
      </c>
      <c r="BI413" s="24"/>
      <c r="BJ413" s="24">
        <f t="shared" si="177"/>
        <v>26.327730000000003</v>
      </c>
      <c r="BK413" s="24">
        <f t="shared" si="178"/>
        <v>4919.466269999999</v>
      </c>
      <c r="BL413" s="24" t="s">
        <v>82</v>
      </c>
      <c r="BM413" s="42">
        <f t="shared" si="168"/>
        <v>3</v>
      </c>
      <c r="BN413" s="24" t="s">
        <v>139</v>
      </c>
      <c r="BO413" s="2" t="s">
        <v>175</v>
      </c>
    </row>
    <row r="414" spans="1:67" s="1" customFormat="1" ht="15" customHeight="1" x14ac:dyDescent="0.3">
      <c r="A414" s="20">
        <v>410</v>
      </c>
      <c r="B414" s="21">
        <v>46107</v>
      </c>
      <c r="C414" s="21">
        <v>46119</v>
      </c>
      <c r="D414" s="50" t="s">
        <v>2231</v>
      </c>
      <c r="E414" s="23">
        <v>46120</v>
      </c>
      <c r="F414" s="23" t="s">
        <v>7</v>
      </c>
      <c r="G414" s="24" t="s">
        <v>68</v>
      </c>
      <c r="H414" s="24" t="s">
        <v>69</v>
      </c>
      <c r="I414" s="24" t="s">
        <v>263</v>
      </c>
      <c r="J414" s="25" t="s">
        <v>316</v>
      </c>
      <c r="K414" s="45" t="str">
        <f t="shared" si="169"/>
        <v>WB41G6396</v>
      </c>
      <c r="L414" s="26">
        <v>46108</v>
      </c>
      <c r="M414" s="34" t="s">
        <v>2232</v>
      </c>
      <c r="N414" s="27" t="s">
        <v>2233</v>
      </c>
      <c r="O414" s="28">
        <v>0</v>
      </c>
      <c r="P414" s="27" t="s">
        <v>2234</v>
      </c>
      <c r="Q414" s="29">
        <v>2525379864</v>
      </c>
      <c r="R414" s="30">
        <v>2110830190</v>
      </c>
      <c r="S414" s="31" t="s">
        <v>73</v>
      </c>
      <c r="T414" s="24" t="s">
        <v>91</v>
      </c>
      <c r="U414" s="24" t="s">
        <v>75</v>
      </c>
      <c r="V414" s="32" t="s">
        <v>1095</v>
      </c>
      <c r="W414" s="32" t="s">
        <v>456</v>
      </c>
      <c r="X414" s="32" t="s">
        <v>2235</v>
      </c>
      <c r="Y414" s="24">
        <v>1278</v>
      </c>
      <c r="Z414" s="24">
        <v>15</v>
      </c>
      <c r="AA414" s="24">
        <f t="shared" si="170"/>
        <v>1214.0999999999999</v>
      </c>
      <c r="AB414" s="24">
        <f t="shared" si="162"/>
        <v>19170</v>
      </c>
      <c r="AC414" s="24">
        <f t="shared" si="163"/>
        <v>18211.5</v>
      </c>
      <c r="AD414" s="24">
        <f t="shared" si="164"/>
        <v>18211.5</v>
      </c>
      <c r="AE414" s="24">
        <f t="shared" si="165"/>
        <v>958.5</v>
      </c>
      <c r="AF414" s="24">
        <v>0</v>
      </c>
      <c r="AG414" s="33">
        <v>9000</v>
      </c>
      <c r="AH414" s="24"/>
      <c r="AI414" s="24"/>
      <c r="AJ414" s="24"/>
      <c r="AK414" s="24"/>
      <c r="AL414" s="24"/>
      <c r="AM414" s="24" t="s">
        <v>79</v>
      </c>
      <c r="AN414" s="34" t="s">
        <v>2236</v>
      </c>
      <c r="AO414" s="35" t="s">
        <v>1673</v>
      </c>
      <c r="AP414" s="24">
        <f>315*2</f>
        <v>630</v>
      </c>
      <c r="AQ414" s="36">
        <f t="shared" si="171"/>
        <v>193.84615384615384</v>
      </c>
      <c r="AR414" s="80">
        <v>190</v>
      </c>
      <c r="AS414" s="47">
        <f t="shared" si="172"/>
        <v>-3.8461538461538396</v>
      </c>
      <c r="AT414" s="31"/>
      <c r="AU414" s="47">
        <f t="shared" si="173"/>
        <v>-3.8461538461538396</v>
      </c>
      <c r="AV414" s="81">
        <v>91.99</v>
      </c>
      <c r="AW414" s="24">
        <f t="shared" si="166"/>
        <v>17478.099999999999</v>
      </c>
      <c r="AX414" s="24">
        <f t="shared" si="182"/>
        <v>145.39219723800895</v>
      </c>
      <c r="AY414" s="24"/>
      <c r="AZ414" s="24"/>
      <c r="BA414" s="24"/>
      <c r="BB414" s="24">
        <f t="shared" si="174"/>
        <v>0</v>
      </c>
      <c r="BC414" s="24">
        <f t="shared" si="175"/>
        <v>-8266.5999999999985</v>
      </c>
      <c r="BD414" s="24">
        <v>135</v>
      </c>
      <c r="BE414" s="24">
        <v>135</v>
      </c>
      <c r="BF414" s="24"/>
      <c r="BG414" s="24">
        <f>+AB414*9.5%</f>
        <v>1821.15</v>
      </c>
      <c r="BH414" s="24"/>
      <c r="BI414" s="24"/>
      <c r="BJ414" s="24">
        <f t="shared" si="177"/>
        <v>18.211500000000001</v>
      </c>
      <c r="BK414" s="24">
        <f t="shared" si="178"/>
        <v>-6193.6614999999993</v>
      </c>
      <c r="BL414" s="24" t="s">
        <v>121</v>
      </c>
      <c r="BM414" s="42">
        <f t="shared" si="168"/>
        <v>2</v>
      </c>
      <c r="BN414" s="24" t="s">
        <v>83</v>
      </c>
      <c r="BO414" s="2" t="s">
        <v>175</v>
      </c>
    </row>
    <row r="415" spans="1:67" s="1" customFormat="1" ht="15" customHeight="1" x14ac:dyDescent="0.3">
      <c r="A415" s="20">
        <v>411</v>
      </c>
      <c r="B415" s="21">
        <v>46107</v>
      </c>
      <c r="C415" s="21">
        <v>46119</v>
      </c>
      <c r="D415" s="50" t="s">
        <v>2231</v>
      </c>
      <c r="E415" s="23">
        <v>46120</v>
      </c>
      <c r="F415" s="23" t="s">
        <v>7</v>
      </c>
      <c r="G415" s="24" t="s">
        <v>68</v>
      </c>
      <c r="H415" s="24" t="s">
        <v>69</v>
      </c>
      <c r="I415" s="24" t="s">
        <v>263</v>
      </c>
      <c r="J415" s="25" t="s">
        <v>316</v>
      </c>
      <c r="K415" s="45" t="str">
        <f t="shared" si="169"/>
        <v>WB41G6396</v>
      </c>
      <c r="L415" s="26">
        <v>46108</v>
      </c>
      <c r="M415" s="34" t="s">
        <v>2237</v>
      </c>
      <c r="N415" s="27" t="s">
        <v>2238</v>
      </c>
      <c r="O415" s="28">
        <v>0</v>
      </c>
      <c r="P415" s="27" t="s">
        <v>2239</v>
      </c>
      <c r="Q415" s="29">
        <v>2525379865</v>
      </c>
      <c r="R415" s="30">
        <v>2110830191</v>
      </c>
      <c r="S415" s="31" t="s">
        <v>73</v>
      </c>
      <c r="T415" s="24" t="s">
        <v>91</v>
      </c>
      <c r="U415" s="24" t="s">
        <v>75</v>
      </c>
      <c r="V415" s="32" t="s">
        <v>1095</v>
      </c>
      <c r="W415" s="32" t="s">
        <v>456</v>
      </c>
      <c r="X415" s="32" t="s">
        <v>753</v>
      </c>
      <c r="Y415" s="24">
        <v>1278</v>
      </c>
      <c r="Z415" s="24">
        <v>10</v>
      </c>
      <c r="AA415" s="24">
        <f t="shared" si="170"/>
        <v>1214.0999999999999</v>
      </c>
      <c r="AB415" s="24">
        <f t="shared" si="162"/>
        <v>12780</v>
      </c>
      <c r="AC415" s="24">
        <f t="shared" si="163"/>
        <v>12141</v>
      </c>
      <c r="AD415" s="24">
        <f t="shared" si="164"/>
        <v>12141</v>
      </c>
      <c r="AE415" s="24">
        <f t="shared" si="165"/>
        <v>639</v>
      </c>
      <c r="AF415" s="24">
        <v>0</v>
      </c>
      <c r="AG415" s="31">
        <v>0</v>
      </c>
      <c r="AH415" s="24">
        <v>2000</v>
      </c>
      <c r="AI415" s="24"/>
      <c r="AJ415" s="24"/>
      <c r="AK415" s="24"/>
      <c r="AL415" s="24"/>
      <c r="AM415" s="24">
        <v>0</v>
      </c>
      <c r="AN415" s="34" t="s">
        <v>213</v>
      </c>
      <c r="AO415" s="35"/>
      <c r="AP415" s="24"/>
      <c r="AQ415" s="36">
        <f t="shared" si="171"/>
        <v>0</v>
      </c>
      <c r="AR415" s="16">
        <v>0</v>
      </c>
      <c r="AS415" s="47">
        <f t="shared" si="172"/>
        <v>0</v>
      </c>
      <c r="AT415" s="31"/>
      <c r="AU415" s="47">
        <f t="shared" si="173"/>
        <v>0</v>
      </c>
      <c r="AV415" s="48">
        <v>0</v>
      </c>
      <c r="AW415" s="24">
        <f t="shared" si="166"/>
        <v>0</v>
      </c>
      <c r="AX415" s="24">
        <f t="shared" si="182"/>
        <v>0</v>
      </c>
      <c r="AY415" s="24"/>
      <c r="AZ415" s="24"/>
      <c r="BA415" s="24"/>
      <c r="BB415" s="24">
        <f t="shared" si="174"/>
        <v>0</v>
      </c>
      <c r="BC415" s="24">
        <f t="shared" si="175"/>
        <v>10141</v>
      </c>
      <c r="BD415" s="24"/>
      <c r="BE415" s="24"/>
      <c r="BF415" s="24"/>
      <c r="BG415" s="24">
        <f>+AB415*9.5%</f>
        <v>1214.0999999999999</v>
      </c>
      <c r="BH415" s="24"/>
      <c r="BI415" s="24"/>
      <c r="BJ415" s="24">
        <f t="shared" si="177"/>
        <v>12.141</v>
      </c>
      <c r="BK415" s="24">
        <f t="shared" si="178"/>
        <v>11342.959000000001</v>
      </c>
      <c r="BL415" s="24" t="s">
        <v>121</v>
      </c>
      <c r="BM415" s="42">
        <f t="shared" si="168"/>
        <v>2</v>
      </c>
      <c r="BN415" s="24" t="s">
        <v>83</v>
      </c>
      <c r="BO415" s="2" t="s">
        <v>175</v>
      </c>
    </row>
    <row r="416" spans="1:67" s="1" customFormat="1" ht="15" customHeight="1" x14ac:dyDescent="0.3">
      <c r="A416" s="20">
        <v>412</v>
      </c>
      <c r="B416" s="21">
        <v>46107</v>
      </c>
      <c r="C416" s="21">
        <v>46111</v>
      </c>
      <c r="D416" s="50" t="s">
        <v>2219</v>
      </c>
      <c r="E416" s="23">
        <v>46111</v>
      </c>
      <c r="F416" s="23" t="s">
        <v>7</v>
      </c>
      <c r="G416" s="24" t="s">
        <v>68</v>
      </c>
      <c r="H416" s="24" t="s">
        <v>69</v>
      </c>
      <c r="I416" s="24" t="s">
        <v>122</v>
      </c>
      <c r="J416" s="25" t="s">
        <v>123</v>
      </c>
      <c r="K416" s="45" t="str">
        <f t="shared" si="169"/>
        <v>WB23C9555</v>
      </c>
      <c r="L416" s="26">
        <v>46108</v>
      </c>
      <c r="M416" s="34" t="s">
        <v>2240</v>
      </c>
      <c r="N416" s="27" t="s">
        <v>2241</v>
      </c>
      <c r="O416" s="28">
        <v>0</v>
      </c>
      <c r="P416" s="27" t="s">
        <v>2242</v>
      </c>
      <c r="Q416" s="29">
        <v>2525380055</v>
      </c>
      <c r="R416" s="30">
        <v>2110830360</v>
      </c>
      <c r="S416" s="31" t="s">
        <v>73</v>
      </c>
      <c r="T416" s="24" t="s">
        <v>91</v>
      </c>
      <c r="U416" s="24" t="s">
        <v>75</v>
      </c>
      <c r="V416" s="32" t="s">
        <v>647</v>
      </c>
      <c r="W416" s="32" t="s">
        <v>2243</v>
      </c>
      <c r="X416" s="32"/>
      <c r="Y416" s="24">
        <v>797</v>
      </c>
      <c r="Z416" s="24">
        <v>25</v>
      </c>
      <c r="AA416" s="24">
        <f t="shared" si="170"/>
        <v>757.15</v>
      </c>
      <c r="AB416" s="24">
        <f t="shared" si="162"/>
        <v>19925</v>
      </c>
      <c r="AC416" s="24">
        <f t="shared" si="163"/>
        <v>18928.75</v>
      </c>
      <c r="AD416" s="24">
        <f t="shared" si="164"/>
        <v>18928.75</v>
      </c>
      <c r="AE416" s="24">
        <f t="shared" si="165"/>
        <v>996.25</v>
      </c>
      <c r="AF416" s="24">
        <v>0</v>
      </c>
      <c r="AG416" s="33">
        <v>3700</v>
      </c>
      <c r="AH416" s="24"/>
      <c r="AI416" s="24"/>
      <c r="AJ416" s="24"/>
      <c r="AK416" s="24"/>
      <c r="AL416" s="24"/>
      <c r="AM416" s="24" t="s">
        <v>79</v>
      </c>
      <c r="AN416" s="34" t="s">
        <v>2244</v>
      </c>
      <c r="AO416" s="35" t="s">
        <v>1673</v>
      </c>
      <c r="AP416" s="24">
        <f>168*2</f>
        <v>336</v>
      </c>
      <c r="AQ416" s="36">
        <f t="shared" si="171"/>
        <v>103.38461538461539</v>
      </c>
      <c r="AR416" s="80">
        <v>100</v>
      </c>
      <c r="AS416" s="47">
        <f t="shared" si="172"/>
        <v>-3.3846153846153868</v>
      </c>
      <c r="AT416" s="31"/>
      <c r="AU416" s="47">
        <f t="shared" si="173"/>
        <v>-3.3846153846153868</v>
      </c>
      <c r="AV416" s="81">
        <v>91.99</v>
      </c>
      <c r="AW416" s="24">
        <f t="shared" si="166"/>
        <v>9199</v>
      </c>
      <c r="AX416" s="24">
        <f t="shared" si="182"/>
        <v>68.145017499834907</v>
      </c>
      <c r="AY416" s="24"/>
      <c r="AZ416" s="24"/>
      <c r="BA416" s="24"/>
      <c r="BB416" s="24">
        <f t="shared" si="174"/>
        <v>0</v>
      </c>
      <c r="BC416" s="24">
        <f t="shared" si="175"/>
        <v>6029.75</v>
      </c>
      <c r="BD416" s="24">
        <v>40</v>
      </c>
      <c r="BE416" s="24">
        <v>40</v>
      </c>
      <c r="BF416" s="24"/>
      <c r="BG416" s="24">
        <f>+AB416*9.5%</f>
        <v>1892.875</v>
      </c>
      <c r="BH416" s="24"/>
      <c r="BI416" s="24"/>
      <c r="BJ416" s="24">
        <f t="shared" si="177"/>
        <v>18.928750000000001</v>
      </c>
      <c r="BK416" s="24">
        <f t="shared" si="178"/>
        <v>7983.69625</v>
      </c>
      <c r="BL416" s="24" t="s">
        <v>128</v>
      </c>
      <c r="BM416" s="42">
        <f t="shared" si="168"/>
        <v>2</v>
      </c>
      <c r="BN416" s="24" t="s">
        <v>83</v>
      </c>
      <c r="BO416" s="2" t="s">
        <v>175</v>
      </c>
    </row>
    <row r="417" spans="1:67" s="1" customFormat="1" ht="15" customHeight="1" x14ac:dyDescent="0.3">
      <c r="A417" s="20">
        <v>413</v>
      </c>
      <c r="B417" s="21">
        <v>46108</v>
      </c>
      <c r="C417" s="21">
        <v>46111</v>
      </c>
      <c r="D417" s="84" t="s">
        <v>2188</v>
      </c>
      <c r="E417" s="23">
        <v>46116</v>
      </c>
      <c r="F417" s="23" t="s">
        <v>7</v>
      </c>
      <c r="G417" s="24" t="s">
        <v>68</v>
      </c>
      <c r="H417" s="24" t="s">
        <v>69</v>
      </c>
      <c r="I417" s="24" t="s">
        <v>70</v>
      </c>
      <c r="J417" s="25" t="s">
        <v>177</v>
      </c>
      <c r="K417" s="45" t="str">
        <f t="shared" si="169"/>
        <v>WB39B8916</v>
      </c>
      <c r="L417" s="26">
        <v>46109</v>
      </c>
      <c r="M417" s="34" t="s">
        <v>2245</v>
      </c>
      <c r="N417" s="27" t="s">
        <v>2246</v>
      </c>
      <c r="O417" s="28">
        <v>0</v>
      </c>
      <c r="P417" s="27" t="s">
        <v>2247</v>
      </c>
      <c r="Q417" s="29">
        <v>2525380586</v>
      </c>
      <c r="R417" s="30">
        <v>2110831174</v>
      </c>
      <c r="S417" s="63" t="s">
        <v>73</v>
      </c>
      <c r="T417" s="24" t="s">
        <v>91</v>
      </c>
      <c r="U417" s="24" t="s">
        <v>75</v>
      </c>
      <c r="V417" s="32" t="s">
        <v>1065</v>
      </c>
      <c r="W417" s="32" t="s">
        <v>2248</v>
      </c>
      <c r="X417" s="32" t="s">
        <v>2249</v>
      </c>
      <c r="Y417" s="24">
        <v>936</v>
      </c>
      <c r="Z417" s="24">
        <v>25</v>
      </c>
      <c r="AA417" s="24">
        <f t="shared" si="170"/>
        <v>889.19999999999993</v>
      </c>
      <c r="AB417" s="24">
        <f t="shared" si="162"/>
        <v>23400</v>
      </c>
      <c r="AC417" s="24">
        <f t="shared" si="163"/>
        <v>22230</v>
      </c>
      <c r="AD417" s="24">
        <f t="shared" si="164"/>
        <v>22230</v>
      </c>
      <c r="AE417" s="24">
        <f t="shared" si="165"/>
        <v>1170</v>
      </c>
      <c r="AF417" s="24">
        <f t="shared" si="181"/>
        <v>222.3</v>
      </c>
      <c r="AG417" s="33">
        <v>4200</v>
      </c>
      <c r="AH417" s="24"/>
      <c r="AI417" s="24"/>
      <c r="AJ417" s="24"/>
      <c r="AK417" s="24"/>
      <c r="AL417" s="24"/>
      <c r="AM417" s="24" t="s">
        <v>79</v>
      </c>
      <c r="AN417" s="34" t="s">
        <v>2250</v>
      </c>
      <c r="AO417" s="35" t="s">
        <v>1673</v>
      </c>
      <c r="AP417" s="24">
        <f>213*2</f>
        <v>426</v>
      </c>
      <c r="AQ417" s="36">
        <f t="shared" si="171"/>
        <v>131.07692307692307</v>
      </c>
      <c r="AR417" s="80">
        <v>140</v>
      </c>
      <c r="AS417" s="47">
        <f t="shared" si="172"/>
        <v>8.923076923076934</v>
      </c>
      <c r="AT417" s="31"/>
      <c r="AU417" s="47">
        <f t="shared" si="173"/>
        <v>8.923076923076934</v>
      </c>
      <c r="AV417" s="81">
        <v>91.99</v>
      </c>
      <c r="AW417" s="24">
        <f t="shared" si="166"/>
        <v>12878.599999999999</v>
      </c>
      <c r="AX417" s="24">
        <f t="shared" si="182"/>
        <v>76.826810616284291</v>
      </c>
      <c r="AY417" s="24">
        <v>100</v>
      </c>
      <c r="AZ417" s="24"/>
      <c r="BA417" s="24"/>
      <c r="BB417" s="24">
        <f t="shared" si="174"/>
        <v>0</v>
      </c>
      <c r="BC417" s="24">
        <f t="shared" si="175"/>
        <v>4829.1000000000022</v>
      </c>
      <c r="BD417" s="24">
        <v>135</v>
      </c>
      <c r="BE417" s="24">
        <v>135</v>
      </c>
      <c r="BF417" s="24"/>
      <c r="BG417" s="24">
        <f>+AD417*9.5%</f>
        <v>2111.85</v>
      </c>
      <c r="BH417" s="24"/>
      <c r="BI417" s="24"/>
      <c r="BJ417" s="24">
        <f t="shared" si="177"/>
        <v>21.118500000000001</v>
      </c>
      <c r="BK417" s="24">
        <f t="shared" si="178"/>
        <v>7189.831500000003</v>
      </c>
      <c r="BL417" s="24" t="s">
        <v>182</v>
      </c>
      <c r="BM417" s="42">
        <f t="shared" si="168"/>
        <v>2</v>
      </c>
      <c r="BN417" s="24" t="s">
        <v>83</v>
      </c>
      <c r="BO417" s="2" t="s">
        <v>175</v>
      </c>
    </row>
    <row r="418" spans="1:67" s="1" customFormat="1" ht="15" customHeight="1" x14ac:dyDescent="0.3">
      <c r="A418" s="20">
        <v>414</v>
      </c>
      <c r="B418" s="21">
        <v>46108</v>
      </c>
      <c r="C418" s="21">
        <v>46112</v>
      </c>
      <c r="D418" s="84" t="s">
        <v>2188</v>
      </c>
      <c r="E418" s="23">
        <v>46116</v>
      </c>
      <c r="F418" s="23" t="s">
        <v>7</v>
      </c>
      <c r="G418" s="24" t="s">
        <v>68</v>
      </c>
      <c r="H418" s="24" t="s">
        <v>69</v>
      </c>
      <c r="I418" s="24" t="s">
        <v>70</v>
      </c>
      <c r="J418" s="25" t="s">
        <v>630</v>
      </c>
      <c r="K418" s="45" t="str">
        <f t="shared" si="169"/>
        <v>WB39B8879</v>
      </c>
      <c r="L418" s="26">
        <v>46109</v>
      </c>
      <c r="M418" s="34" t="s">
        <v>2251</v>
      </c>
      <c r="N418" s="27" t="s">
        <v>2252</v>
      </c>
      <c r="O418" s="28">
        <v>0</v>
      </c>
      <c r="P418" s="27" t="s">
        <v>2253</v>
      </c>
      <c r="Q418" s="29">
        <v>2525380616</v>
      </c>
      <c r="R418" s="30">
        <v>2110831238</v>
      </c>
      <c r="S418" s="31" t="s">
        <v>73</v>
      </c>
      <c r="T418" s="24" t="s">
        <v>91</v>
      </c>
      <c r="U418" s="24" t="s">
        <v>75</v>
      </c>
      <c r="V418" s="32" t="s">
        <v>616</v>
      </c>
      <c r="W418" s="32" t="s">
        <v>574</v>
      </c>
      <c r="X418" s="32"/>
      <c r="Y418" s="24">
        <v>934</v>
      </c>
      <c r="Z418" s="24">
        <v>20</v>
      </c>
      <c r="AA418" s="24">
        <f t="shared" si="170"/>
        <v>887.3</v>
      </c>
      <c r="AB418" s="24">
        <f t="shared" si="162"/>
        <v>18680</v>
      </c>
      <c r="AC418" s="24">
        <f t="shared" si="163"/>
        <v>17746</v>
      </c>
      <c r="AD418" s="24">
        <f t="shared" si="164"/>
        <v>17746</v>
      </c>
      <c r="AE418" s="24">
        <f t="shared" si="165"/>
        <v>934</v>
      </c>
      <c r="AF418" s="24">
        <f t="shared" si="181"/>
        <v>177.46</v>
      </c>
      <c r="AG418" s="33">
        <v>3600</v>
      </c>
      <c r="AH418" s="24"/>
      <c r="AI418" s="24"/>
      <c r="AJ418" s="24"/>
      <c r="AK418" s="24"/>
      <c r="AL418" s="24"/>
      <c r="AM418" s="24" t="s">
        <v>79</v>
      </c>
      <c r="AN418" s="34" t="s">
        <v>2254</v>
      </c>
      <c r="AO418" s="35" t="s">
        <v>1673</v>
      </c>
      <c r="AP418" s="24">
        <f>225*2</f>
        <v>450</v>
      </c>
      <c r="AQ418" s="36">
        <f t="shared" si="171"/>
        <v>138.46153846153845</v>
      </c>
      <c r="AR418" s="80">
        <v>150</v>
      </c>
      <c r="AS418" s="47">
        <f t="shared" si="172"/>
        <v>11.538461538461547</v>
      </c>
      <c r="AT418" s="31"/>
      <c r="AU418" s="47">
        <f t="shared" si="173"/>
        <v>11.538461538461547</v>
      </c>
      <c r="AV418" s="81">
        <v>91.99</v>
      </c>
      <c r="AW418" s="24">
        <f t="shared" si="166"/>
        <v>13798.5</v>
      </c>
      <c r="AX418" s="24">
        <f t="shared" si="182"/>
        <v>98.04181223937789</v>
      </c>
      <c r="AY418" s="24"/>
      <c r="AZ418" s="24"/>
      <c r="BA418" s="24"/>
      <c r="BB418" s="24">
        <f t="shared" si="174"/>
        <v>0</v>
      </c>
      <c r="BC418" s="24">
        <f t="shared" si="175"/>
        <v>170.04000000000087</v>
      </c>
      <c r="BD418" s="24"/>
      <c r="BE418" s="24"/>
      <c r="BF418" s="24"/>
      <c r="BG418" s="24">
        <f t="shared" ref="BG418:BG419" si="184">+AD418*9.5%</f>
        <v>1685.8700000000001</v>
      </c>
      <c r="BH418" s="24"/>
      <c r="BI418" s="24"/>
      <c r="BJ418" s="24">
        <f t="shared" si="177"/>
        <v>16.858700000000002</v>
      </c>
      <c r="BK418" s="24">
        <f t="shared" si="178"/>
        <v>1839.051300000001</v>
      </c>
      <c r="BL418" s="24" t="s">
        <v>638</v>
      </c>
      <c r="BM418" s="42">
        <f t="shared" si="168"/>
        <v>2</v>
      </c>
      <c r="BN418" s="24" t="s">
        <v>83</v>
      </c>
      <c r="BO418" s="2" t="s">
        <v>175</v>
      </c>
    </row>
    <row r="419" spans="1:67" s="1" customFormat="1" ht="15" customHeight="1" x14ac:dyDescent="0.3">
      <c r="A419" s="20">
        <v>415</v>
      </c>
      <c r="B419" s="21">
        <v>46108</v>
      </c>
      <c r="C419" s="21">
        <v>46112</v>
      </c>
      <c r="D419" s="84" t="s">
        <v>2188</v>
      </c>
      <c r="E419" s="23">
        <v>46116</v>
      </c>
      <c r="F419" s="23" t="s">
        <v>7</v>
      </c>
      <c r="G419" s="24" t="s">
        <v>68</v>
      </c>
      <c r="H419" s="24" t="s">
        <v>69</v>
      </c>
      <c r="I419" s="24" t="s">
        <v>70</v>
      </c>
      <c r="J419" s="25" t="s">
        <v>630</v>
      </c>
      <c r="K419" s="45" t="str">
        <f t="shared" si="169"/>
        <v>WB39B8879</v>
      </c>
      <c r="L419" s="26">
        <v>46109</v>
      </c>
      <c r="M419" s="34" t="s">
        <v>2255</v>
      </c>
      <c r="N419" s="27" t="s">
        <v>2256</v>
      </c>
      <c r="O419" s="28">
        <v>0</v>
      </c>
      <c r="P419" s="27" t="s">
        <v>2257</v>
      </c>
      <c r="Q419" s="29">
        <v>2525380615</v>
      </c>
      <c r="R419" s="30">
        <v>2110831235</v>
      </c>
      <c r="S419" s="31" t="s">
        <v>73</v>
      </c>
      <c r="T419" s="24" t="s">
        <v>91</v>
      </c>
      <c r="U419" s="24" t="s">
        <v>75</v>
      </c>
      <c r="V419" s="32" t="s">
        <v>616</v>
      </c>
      <c r="W419" s="32" t="s">
        <v>574</v>
      </c>
      <c r="X419" s="32"/>
      <c r="Y419" s="24">
        <v>934</v>
      </c>
      <c r="Z419" s="24">
        <v>5</v>
      </c>
      <c r="AA419" s="24">
        <f t="shared" si="170"/>
        <v>887.3</v>
      </c>
      <c r="AB419" s="24">
        <f t="shared" si="162"/>
        <v>4670</v>
      </c>
      <c r="AC419" s="24">
        <f t="shared" si="163"/>
        <v>4436.5</v>
      </c>
      <c r="AD419" s="24">
        <f t="shared" si="164"/>
        <v>4436.5</v>
      </c>
      <c r="AE419" s="24">
        <f t="shared" si="165"/>
        <v>233.5</v>
      </c>
      <c r="AF419" s="24">
        <f t="shared" si="181"/>
        <v>44.365000000000002</v>
      </c>
      <c r="AG419" s="31">
        <v>0</v>
      </c>
      <c r="AH419" s="24"/>
      <c r="AI419" s="24"/>
      <c r="AJ419" s="24"/>
      <c r="AK419" s="24"/>
      <c r="AL419" s="24"/>
      <c r="AM419" s="24">
        <v>0</v>
      </c>
      <c r="AN419" s="34" t="s">
        <v>213</v>
      </c>
      <c r="AO419" s="35"/>
      <c r="AP419" s="24"/>
      <c r="AQ419" s="36">
        <f t="shared" si="171"/>
        <v>0</v>
      </c>
      <c r="AR419" s="16">
        <v>0</v>
      </c>
      <c r="AS419" s="47">
        <f t="shared" si="172"/>
        <v>0</v>
      </c>
      <c r="AT419" s="31"/>
      <c r="AU419" s="47">
        <f t="shared" si="173"/>
        <v>0</v>
      </c>
      <c r="AV419" s="48">
        <v>0</v>
      </c>
      <c r="AW419" s="24">
        <f t="shared" si="166"/>
        <v>0</v>
      </c>
      <c r="AX419" s="24">
        <f t="shared" si="182"/>
        <v>0</v>
      </c>
      <c r="AY419" s="24"/>
      <c r="AZ419" s="24"/>
      <c r="BA419" s="24"/>
      <c r="BB419" s="24">
        <f t="shared" si="174"/>
        <v>0</v>
      </c>
      <c r="BC419" s="24">
        <f t="shared" si="175"/>
        <v>4392.1350000000002</v>
      </c>
      <c r="BD419" s="24"/>
      <c r="BE419" s="24"/>
      <c r="BF419" s="24"/>
      <c r="BG419" s="24">
        <f t="shared" si="184"/>
        <v>421.46750000000003</v>
      </c>
      <c r="BH419" s="24"/>
      <c r="BI419" s="24"/>
      <c r="BJ419" s="24">
        <f t="shared" si="177"/>
        <v>4.2146750000000006</v>
      </c>
      <c r="BK419" s="24">
        <f t="shared" si="178"/>
        <v>4809.3878249999998</v>
      </c>
      <c r="BL419" s="24" t="s">
        <v>638</v>
      </c>
      <c r="BM419" s="42">
        <f t="shared" si="168"/>
        <v>2</v>
      </c>
      <c r="BN419" s="24" t="s">
        <v>83</v>
      </c>
      <c r="BO419" s="2" t="s">
        <v>175</v>
      </c>
    </row>
    <row r="420" spans="1:67" s="1" customFormat="1" ht="15" customHeight="1" x14ac:dyDescent="0.3">
      <c r="A420" s="20">
        <v>416</v>
      </c>
      <c r="B420" s="21">
        <v>46108</v>
      </c>
      <c r="C420" s="21">
        <v>46111</v>
      </c>
      <c r="D420" s="50" t="s">
        <v>2219</v>
      </c>
      <c r="E420" s="23">
        <v>46111</v>
      </c>
      <c r="F420" s="23" t="s">
        <v>7</v>
      </c>
      <c r="G420" s="24" t="s">
        <v>68</v>
      </c>
      <c r="H420" s="24" t="s">
        <v>69</v>
      </c>
      <c r="I420" s="24" t="s">
        <v>70</v>
      </c>
      <c r="J420" s="25" t="s">
        <v>150</v>
      </c>
      <c r="K420" s="45" t="str">
        <f t="shared" si="169"/>
        <v>WB39B9201</v>
      </c>
      <c r="L420" s="26">
        <v>46109</v>
      </c>
      <c r="M420" s="34" t="s">
        <v>2258</v>
      </c>
      <c r="N420" s="27" t="s">
        <v>2259</v>
      </c>
      <c r="O420" s="28">
        <v>0</v>
      </c>
      <c r="P420" s="27" t="s">
        <v>2260</v>
      </c>
      <c r="Q420" s="29">
        <v>2525380571</v>
      </c>
      <c r="R420" s="30">
        <v>2110831166</v>
      </c>
      <c r="S420" s="31" t="s">
        <v>73</v>
      </c>
      <c r="T420" s="24" t="s">
        <v>91</v>
      </c>
      <c r="U420" s="24" t="s">
        <v>75</v>
      </c>
      <c r="V420" s="32" t="s">
        <v>472</v>
      </c>
      <c r="W420" s="32" t="s">
        <v>473</v>
      </c>
      <c r="X420" s="32"/>
      <c r="Y420" s="24">
        <v>1151</v>
      </c>
      <c r="Z420" s="24">
        <v>25</v>
      </c>
      <c r="AA420" s="24">
        <f t="shared" si="170"/>
        <v>1093.45</v>
      </c>
      <c r="AB420" s="24">
        <f t="shared" si="162"/>
        <v>28775</v>
      </c>
      <c r="AC420" s="24">
        <f t="shared" si="163"/>
        <v>27336.25</v>
      </c>
      <c r="AD420" s="24">
        <f t="shared" si="164"/>
        <v>27336.25</v>
      </c>
      <c r="AE420" s="24">
        <f t="shared" si="165"/>
        <v>1438.75</v>
      </c>
      <c r="AF420" s="24">
        <v>0</v>
      </c>
      <c r="AG420" s="33">
        <v>3800</v>
      </c>
      <c r="AH420" s="24"/>
      <c r="AI420" s="24"/>
      <c r="AJ420" s="24"/>
      <c r="AK420" s="24"/>
      <c r="AL420" s="24"/>
      <c r="AM420" s="24" t="s">
        <v>79</v>
      </c>
      <c r="AN420" s="34" t="s">
        <v>2261</v>
      </c>
      <c r="AO420" s="35" t="s">
        <v>1673</v>
      </c>
      <c r="AP420" s="24">
        <f>297*2</f>
        <v>594</v>
      </c>
      <c r="AQ420" s="36">
        <f t="shared" si="171"/>
        <v>182.76923076923077</v>
      </c>
      <c r="AR420" s="80">
        <v>150</v>
      </c>
      <c r="AS420" s="47">
        <f t="shared" si="172"/>
        <v>-32.769230769230774</v>
      </c>
      <c r="AT420" s="31"/>
      <c r="AU420" s="47">
        <f t="shared" si="173"/>
        <v>-32.769230769230774</v>
      </c>
      <c r="AV420" s="81">
        <v>91.99</v>
      </c>
      <c r="AW420" s="24">
        <f t="shared" si="166"/>
        <v>13798.5</v>
      </c>
      <c r="AX420" s="24">
        <f t="shared" si="182"/>
        <v>64.377886506013084</v>
      </c>
      <c r="AY420" s="24"/>
      <c r="AZ420" s="24"/>
      <c r="BA420" s="24"/>
      <c r="BB420" s="24">
        <f t="shared" si="174"/>
        <v>0</v>
      </c>
      <c r="BC420" s="24">
        <f t="shared" si="175"/>
        <v>9737.75</v>
      </c>
      <c r="BD420" s="24">
        <v>135</v>
      </c>
      <c r="BE420" s="24">
        <v>135</v>
      </c>
      <c r="BF420" s="24"/>
      <c r="BG420" s="24">
        <f>+AB420*9.5%</f>
        <v>2733.625</v>
      </c>
      <c r="BH420" s="24"/>
      <c r="BI420" s="24"/>
      <c r="BJ420" s="24">
        <f t="shared" si="177"/>
        <v>27.33625</v>
      </c>
      <c r="BK420" s="24">
        <f t="shared" si="178"/>
        <v>12714.03875</v>
      </c>
      <c r="BL420" s="24" t="s">
        <v>155</v>
      </c>
      <c r="BM420" s="42">
        <f t="shared" si="168"/>
        <v>2</v>
      </c>
      <c r="BN420" s="24" t="s">
        <v>83</v>
      </c>
      <c r="BO420" s="2" t="s">
        <v>175</v>
      </c>
    </row>
    <row r="421" spans="1:67" s="1" customFormat="1" ht="15" customHeight="1" x14ac:dyDescent="0.3">
      <c r="A421" s="20">
        <v>417</v>
      </c>
      <c r="B421" s="21">
        <v>46108</v>
      </c>
      <c r="C421" s="21">
        <v>46111</v>
      </c>
      <c r="D421" s="84" t="s">
        <v>2188</v>
      </c>
      <c r="E421" s="23">
        <v>46116</v>
      </c>
      <c r="F421" s="23" t="s">
        <v>7</v>
      </c>
      <c r="G421" s="24" t="s">
        <v>68</v>
      </c>
      <c r="H421" s="24" t="s">
        <v>69</v>
      </c>
      <c r="I421" s="24" t="s">
        <v>166</v>
      </c>
      <c r="J421" s="25" t="s">
        <v>255</v>
      </c>
      <c r="K421" s="45" t="str">
        <f t="shared" si="169"/>
        <v>WB41H0177</v>
      </c>
      <c r="L421" s="26">
        <v>46110</v>
      </c>
      <c r="M421" s="34" t="s">
        <v>2262</v>
      </c>
      <c r="N421" s="27" t="s">
        <v>2263</v>
      </c>
      <c r="O421" s="28">
        <v>0</v>
      </c>
      <c r="P421" s="27" t="s">
        <v>2264</v>
      </c>
      <c r="Q421" s="29">
        <v>2525380691</v>
      </c>
      <c r="R421" s="30">
        <v>2110831339</v>
      </c>
      <c r="S421" s="31" t="s">
        <v>73</v>
      </c>
      <c r="T421" s="24" t="s">
        <v>91</v>
      </c>
      <c r="U421" s="24" t="s">
        <v>75</v>
      </c>
      <c r="V421" s="32" t="s">
        <v>2265</v>
      </c>
      <c r="W421" s="32" t="s">
        <v>528</v>
      </c>
      <c r="X421" s="32" t="s">
        <v>2266</v>
      </c>
      <c r="Y421" s="24">
        <v>961</v>
      </c>
      <c r="Z421" s="24">
        <v>25</v>
      </c>
      <c r="AA421" s="24">
        <f t="shared" si="170"/>
        <v>912.94999999999993</v>
      </c>
      <c r="AB421" s="24">
        <f t="shared" si="162"/>
        <v>24025</v>
      </c>
      <c r="AC421" s="24">
        <f t="shared" si="163"/>
        <v>22823.75</v>
      </c>
      <c r="AD421" s="24">
        <f t="shared" si="164"/>
        <v>22823.75</v>
      </c>
      <c r="AE421" s="24">
        <f t="shared" si="165"/>
        <v>1201.25</v>
      </c>
      <c r="AF421" s="24">
        <f t="shared" ref="AF421:AF464" si="185">+AD421*1%</f>
        <v>228.23750000000001</v>
      </c>
      <c r="AG421" s="33">
        <v>3300</v>
      </c>
      <c r="AH421" s="24"/>
      <c r="AI421" s="24"/>
      <c r="AJ421" s="24"/>
      <c r="AK421" s="24"/>
      <c r="AL421" s="24"/>
      <c r="AM421" s="24" t="s">
        <v>79</v>
      </c>
      <c r="AN421" s="34" t="s">
        <v>2267</v>
      </c>
      <c r="AO421" s="35" t="s">
        <v>1673</v>
      </c>
      <c r="AP421" s="24">
        <f>214*2</f>
        <v>428</v>
      </c>
      <c r="AQ421" s="36">
        <f t="shared" si="171"/>
        <v>131.69230769230768</v>
      </c>
      <c r="AR421" s="80">
        <v>135</v>
      </c>
      <c r="AS421" s="47">
        <f t="shared" si="172"/>
        <v>3.3076923076923208</v>
      </c>
      <c r="AT421" s="31"/>
      <c r="AU421" s="47">
        <f t="shared" si="173"/>
        <v>3.3076923076923208</v>
      </c>
      <c r="AV421" s="81">
        <v>91.99</v>
      </c>
      <c r="AW421" s="24">
        <f t="shared" si="166"/>
        <v>12418.65</v>
      </c>
      <c r="AX421" s="24">
        <f t="shared" si="182"/>
        <v>68.869708089161506</v>
      </c>
      <c r="AY421" s="24"/>
      <c r="AZ421" s="24"/>
      <c r="BA421" s="24"/>
      <c r="BB421" s="24">
        <f t="shared" si="174"/>
        <v>0</v>
      </c>
      <c r="BC421" s="24">
        <f t="shared" si="175"/>
        <v>6876.8625000000011</v>
      </c>
      <c r="BD421" s="24">
        <v>135</v>
      </c>
      <c r="BE421" s="24">
        <v>135</v>
      </c>
      <c r="BF421" s="24"/>
      <c r="BG421" s="24">
        <f>+AB421*9.5%</f>
        <v>2282.375</v>
      </c>
      <c r="BH421" s="24"/>
      <c r="BI421" s="24"/>
      <c r="BJ421" s="24">
        <f t="shared" si="177"/>
        <v>22.82375</v>
      </c>
      <c r="BK421" s="24">
        <f t="shared" si="178"/>
        <v>9406.4137500000015</v>
      </c>
      <c r="BL421" s="24" t="s">
        <v>261</v>
      </c>
      <c r="BM421" s="42">
        <f t="shared" si="168"/>
        <v>3</v>
      </c>
      <c r="BN421" s="24" t="s">
        <v>139</v>
      </c>
      <c r="BO421" s="2" t="s">
        <v>175</v>
      </c>
    </row>
    <row r="422" spans="1:67" s="1" customFormat="1" ht="15" customHeight="1" x14ac:dyDescent="0.3">
      <c r="A422" s="20">
        <v>418</v>
      </c>
      <c r="B422" s="21">
        <v>46108</v>
      </c>
      <c r="C422" s="21">
        <v>46119</v>
      </c>
      <c r="D422" s="50" t="s">
        <v>2268</v>
      </c>
      <c r="E422" s="23">
        <v>46120</v>
      </c>
      <c r="F422" s="23" t="s">
        <v>7</v>
      </c>
      <c r="G422" s="24" t="s">
        <v>68</v>
      </c>
      <c r="H422" s="24" t="s">
        <v>69</v>
      </c>
      <c r="I422" s="24" t="s">
        <v>381</v>
      </c>
      <c r="J422" s="25" t="s">
        <v>382</v>
      </c>
      <c r="K422" s="45" t="str">
        <f t="shared" si="169"/>
        <v>WB41K2967</v>
      </c>
      <c r="L422" s="26">
        <v>46113</v>
      </c>
      <c r="M422" s="34" t="s">
        <v>2269</v>
      </c>
      <c r="N422" s="27" t="s">
        <v>2270</v>
      </c>
      <c r="O422" s="28">
        <v>0</v>
      </c>
      <c r="P422" s="27" t="s">
        <v>2271</v>
      </c>
      <c r="Q422" s="29">
        <v>2525380636</v>
      </c>
      <c r="R422" s="30">
        <v>2110831254</v>
      </c>
      <c r="S422" s="31" t="s">
        <v>73</v>
      </c>
      <c r="T422" s="24" t="s">
        <v>241</v>
      </c>
      <c r="U422" s="24" t="s">
        <v>75</v>
      </c>
      <c r="V422" s="32" t="s">
        <v>2272</v>
      </c>
      <c r="W422" s="32" t="s">
        <v>2273</v>
      </c>
      <c r="X422" s="32" t="s">
        <v>2273</v>
      </c>
      <c r="Y422" s="24">
        <v>1433</v>
      </c>
      <c r="Z422" s="24">
        <v>30</v>
      </c>
      <c r="AA422" s="24">
        <f t="shared" si="170"/>
        <v>1361.35</v>
      </c>
      <c r="AB422" s="61">
        <f t="shared" si="162"/>
        <v>42990</v>
      </c>
      <c r="AC422" s="24">
        <f t="shared" si="163"/>
        <v>40840.5</v>
      </c>
      <c r="AD422" s="24">
        <f t="shared" si="164"/>
        <v>40840.5</v>
      </c>
      <c r="AE422" s="24">
        <f t="shared" si="165"/>
        <v>2149.5</v>
      </c>
      <c r="AF422" s="24">
        <f t="shared" si="185"/>
        <v>408.40500000000003</v>
      </c>
      <c r="AG422" s="33">
        <v>4000</v>
      </c>
      <c r="AH422" s="24"/>
      <c r="AI422" s="24"/>
      <c r="AJ422" s="24"/>
      <c r="AK422" s="24"/>
      <c r="AL422" s="24"/>
      <c r="AM422" s="24" t="s">
        <v>79</v>
      </c>
      <c r="AN422" s="34" t="s">
        <v>2274</v>
      </c>
      <c r="AO422" s="35" t="s">
        <v>1673</v>
      </c>
      <c r="AP422" s="24">
        <f>420*2</f>
        <v>840</v>
      </c>
      <c r="AQ422" s="36">
        <f t="shared" si="171"/>
        <v>258.46153846153845</v>
      </c>
      <c r="AR422" s="80">
        <v>249</v>
      </c>
      <c r="AS422" s="47">
        <f t="shared" si="172"/>
        <v>-9.4615384615384528</v>
      </c>
      <c r="AT422" s="31"/>
      <c r="AU422" s="47">
        <f t="shared" si="173"/>
        <v>-9.4615384615384528</v>
      </c>
      <c r="AV422" s="81">
        <v>91.99</v>
      </c>
      <c r="AW422" s="24">
        <f t="shared" si="166"/>
        <v>22905.51</v>
      </c>
      <c r="AX422" s="24">
        <f t="shared" si="182"/>
        <v>65.879482376562478</v>
      </c>
      <c r="AY422" s="24"/>
      <c r="AZ422" s="24"/>
      <c r="BA422" s="24"/>
      <c r="BB422" s="24">
        <f t="shared" si="174"/>
        <v>0</v>
      </c>
      <c r="BC422" s="24">
        <f t="shared" si="175"/>
        <v>13526.585000000003</v>
      </c>
      <c r="BD422" s="24"/>
      <c r="BE422" s="24"/>
      <c r="BF422" s="24"/>
      <c r="BG422" s="24">
        <f>+AB422*9.5%</f>
        <v>4084.05</v>
      </c>
      <c r="BH422" s="24"/>
      <c r="BI422" s="24"/>
      <c r="BJ422" s="24">
        <f t="shared" si="177"/>
        <v>40.840500000000006</v>
      </c>
      <c r="BK422" s="24">
        <f t="shared" si="178"/>
        <v>17569.794500000004</v>
      </c>
      <c r="BL422" s="24" t="s">
        <v>261</v>
      </c>
      <c r="BM422" s="42">
        <f t="shared" si="168"/>
        <v>6</v>
      </c>
      <c r="BN422" s="24" t="s">
        <v>183</v>
      </c>
      <c r="BO422" s="2" t="s">
        <v>424</v>
      </c>
    </row>
    <row r="423" spans="1:67" s="1" customFormat="1" ht="15" customHeight="1" x14ac:dyDescent="0.3">
      <c r="A423" s="20">
        <v>419</v>
      </c>
      <c r="B423" s="21">
        <v>46108</v>
      </c>
      <c r="C423" s="21">
        <v>46111</v>
      </c>
      <c r="D423" s="50" t="s">
        <v>2219</v>
      </c>
      <c r="E423" s="23">
        <v>46111</v>
      </c>
      <c r="F423" s="23" t="s">
        <v>7</v>
      </c>
      <c r="G423" s="24" t="s">
        <v>68</v>
      </c>
      <c r="H423" s="24" t="s">
        <v>69</v>
      </c>
      <c r="I423" s="24" t="s">
        <v>389</v>
      </c>
      <c r="J423" s="25" t="s">
        <v>1423</v>
      </c>
      <c r="K423" s="45" t="str">
        <f t="shared" si="169"/>
        <v>WB39G8384</v>
      </c>
      <c r="L423" s="26">
        <v>46109</v>
      </c>
      <c r="M423" s="34" t="s">
        <v>2275</v>
      </c>
      <c r="N423" s="27" t="s">
        <v>2276</v>
      </c>
      <c r="O423" s="28">
        <v>0</v>
      </c>
      <c r="P423" s="27" t="s">
        <v>2277</v>
      </c>
      <c r="Q423" s="29">
        <v>2525380695</v>
      </c>
      <c r="R423" s="30">
        <v>2110831342</v>
      </c>
      <c r="S423" s="31" t="s">
        <v>73</v>
      </c>
      <c r="T423" s="24" t="s">
        <v>91</v>
      </c>
      <c r="U423" s="24" t="s">
        <v>75</v>
      </c>
      <c r="V423" s="32" t="s">
        <v>2278</v>
      </c>
      <c r="W423" s="32" t="s">
        <v>2279</v>
      </c>
      <c r="X423" s="32"/>
      <c r="Y423" s="24">
        <v>1081</v>
      </c>
      <c r="Z423" s="24">
        <v>25</v>
      </c>
      <c r="AA423" s="24">
        <f t="shared" si="170"/>
        <v>1026.95</v>
      </c>
      <c r="AB423" s="24">
        <f t="shared" si="162"/>
        <v>27025</v>
      </c>
      <c r="AC423" s="24">
        <f t="shared" si="163"/>
        <v>25673.75</v>
      </c>
      <c r="AD423" s="24">
        <f t="shared" si="164"/>
        <v>25673.75</v>
      </c>
      <c r="AE423" s="24">
        <f t="shared" si="165"/>
        <v>1351.25</v>
      </c>
      <c r="AF423" s="24">
        <f t="shared" si="185"/>
        <v>256.73750000000001</v>
      </c>
      <c r="AG423" s="33">
        <v>3200</v>
      </c>
      <c r="AH423" s="24"/>
      <c r="AI423" s="24"/>
      <c r="AJ423" s="24"/>
      <c r="AK423" s="24"/>
      <c r="AL423" s="24"/>
      <c r="AM423" s="24" t="s">
        <v>79</v>
      </c>
      <c r="AN423" s="34" t="s">
        <v>2280</v>
      </c>
      <c r="AO423" s="35" t="s">
        <v>1673</v>
      </c>
      <c r="AP423" s="24">
        <f>302*2</f>
        <v>604</v>
      </c>
      <c r="AQ423" s="36">
        <f t="shared" si="171"/>
        <v>185.84615384615384</v>
      </c>
      <c r="AR423" s="80">
        <v>162</v>
      </c>
      <c r="AS423" s="47">
        <f t="shared" si="172"/>
        <v>-23.84615384615384</v>
      </c>
      <c r="AT423" s="31"/>
      <c r="AU423" s="47">
        <f t="shared" si="173"/>
        <v>-23.84615384615384</v>
      </c>
      <c r="AV423" s="83">
        <v>91.88</v>
      </c>
      <c r="AW423" s="24">
        <f t="shared" si="166"/>
        <v>14884.56</v>
      </c>
      <c r="AX423" s="24">
        <f t="shared" si="182"/>
        <v>70.439885096645398</v>
      </c>
      <c r="AY423" s="24"/>
      <c r="AZ423" s="24"/>
      <c r="BA423" s="24"/>
      <c r="BB423" s="24">
        <f t="shared" si="174"/>
        <v>0</v>
      </c>
      <c r="BC423" s="24">
        <f t="shared" si="175"/>
        <v>7332.4525000000012</v>
      </c>
      <c r="BD423" s="24">
        <v>135</v>
      </c>
      <c r="BE423" s="24">
        <v>135</v>
      </c>
      <c r="BF423" s="24"/>
      <c r="BG423" s="24">
        <f>+AB423*9.5%</f>
        <v>2567.375</v>
      </c>
      <c r="BH423" s="24"/>
      <c r="BI423" s="24"/>
      <c r="BJ423" s="24">
        <f t="shared" si="177"/>
        <v>25.673750000000002</v>
      </c>
      <c r="BK423" s="24">
        <f t="shared" si="178"/>
        <v>10144.153750000001</v>
      </c>
      <c r="BL423" s="24" t="s">
        <v>261</v>
      </c>
      <c r="BM423" s="42">
        <f t="shared" si="168"/>
        <v>2</v>
      </c>
      <c r="BN423" s="24" t="s">
        <v>83</v>
      </c>
      <c r="BO423" s="2" t="s">
        <v>175</v>
      </c>
    </row>
    <row r="424" spans="1:67" s="1" customFormat="1" ht="15" customHeight="1" x14ac:dyDescent="0.3">
      <c r="A424" s="20">
        <v>420</v>
      </c>
      <c r="B424" s="21">
        <v>46108</v>
      </c>
      <c r="C424" s="21">
        <v>46114</v>
      </c>
      <c r="D424" s="84" t="s">
        <v>2188</v>
      </c>
      <c r="E424" s="23">
        <v>46116</v>
      </c>
      <c r="F424" s="23" t="s">
        <v>7</v>
      </c>
      <c r="G424" s="24" t="s">
        <v>68</v>
      </c>
      <c r="H424" s="24" t="s">
        <v>69</v>
      </c>
      <c r="I424" s="24" t="s">
        <v>70</v>
      </c>
      <c r="J424" s="25" t="s">
        <v>650</v>
      </c>
      <c r="K424" s="45" t="str">
        <f t="shared" si="169"/>
        <v>WB39B0926</v>
      </c>
      <c r="L424" s="26">
        <v>46110</v>
      </c>
      <c r="M424" s="34" t="s">
        <v>2281</v>
      </c>
      <c r="N424" s="27" t="s">
        <v>2282</v>
      </c>
      <c r="O424" s="28">
        <v>0</v>
      </c>
      <c r="P424" s="27" t="s">
        <v>2283</v>
      </c>
      <c r="Q424" s="29">
        <v>2525380752</v>
      </c>
      <c r="R424" s="30">
        <v>2110831458</v>
      </c>
      <c r="S424" s="31" t="s">
        <v>73</v>
      </c>
      <c r="T424" s="24" t="s">
        <v>91</v>
      </c>
      <c r="U424" s="24" t="s">
        <v>75</v>
      </c>
      <c r="V424" s="32" t="s">
        <v>1242</v>
      </c>
      <c r="W424" s="32" t="s">
        <v>1243</v>
      </c>
      <c r="X424" s="32" t="s">
        <v>2284</v>
      </c>
      <c r="Y424" s="24">
        <v>1102</v>
      </c>
      <c r="Z424" s="24">
        <v>25</v>
      </c>
      <c r="AA424" s="24">
        <f t="shared" si="170"/>
        <v>1046.8999999999999</v>
      </c>
      <c r="AB424" s="24">
        <f t="shared" si="162"/>
        <v>27550</v>
      </c>
      <c r="AC424" s="24">
        <f t="shared" si="163"/>
        <v>26172.5</v>
      </c>
      <c r="AD424" s="24">
        <f t="shared" si="164"/>
        <v>26172.499999999996</v>
      </c>
      <c r="AE424" s="24">
        <f t="shared" si="165"/>
        <v>1377.5000000000036</v>
      </c>
      <c r="AF424" s="24">
        <v>0</v>
      </c>
      <c r="AG424" s="33">
        <v>8000</v>
      </c>
      <c r="AH424" s="24"/>
      <c r="AI424" s="24"/>
      <c r="AJ424" s="24"/>
      <c r="AK424" s="24"/>
      <c r="AL424" s="24"/>
      <c r="AM424" s="24" t="s">
        <v>79</v>
      </c>
      <c r="AN424" s="34" t="s">
        <v>2285</v>
      </c>
      <c r="AO424" s="35" t="s">
        <v>1673</v>
      </c>
      <c r="AP424" s="24">
        <f>252*2</f>
        <v>504</v>
      </c>
      <c r="AQ424" s="36">
        <f t="shared" si="171"/>
        <v>155.07692307692307</v>
      </c>
      <c r="AR424" s="80">
        <v>150</v>
      </c>
      <c r="AS424" s="47">
        <f t="shared" si="172"/>
        <v>-5.076923076923066</v>
      </c>
      <c r="AT424" s="31"/>
      <c r="AU424" s="47">
        <f t="shared" si="173"/>
        <v>-5.076923076923066</v>
      </c>
      <c r="AV424" s="81">
        <v>91.99</v>
      </c>
      <c r="AW424" s="24">
        <f t="shared" si="166"/>
        <v>13798.5</v>
      </c>
      <c r="AX424" s="24">
        <f t="shared" si="182"/>
        <v>83.287802082338345</v>
      </c>
      <c r="AY424" s="24"/>
      <c r="AZ424" s="24"/>
      <c r="BA424" s="24"/>
      <c r="BB424" s="24">
        <f t="shared" si="174"/>
        <v>0</v>
      </c>
      <c r="BC424" s="24">
        <f t="shared" si="175"/>
        <v>4373.9999999999964</v>
      </c>
      <c r="BD424" s="24"/>
      <c r="BE424" s="24"/>
      <c r="BF424" s="24"/>
      <c r="BG424" s="24">
        <f>+AB424*9.5%</f>
        <v>2617.25</v>
      </c>
      <c r="BH424" s="24"/>
      <c r="BI424" s="24"/>
      <c r="BJ424" s="24">
        <f t="shared" si="177"/>
        <v>26.172499999999999</v>
      </c>
      <c r="BK424" s="24">
        <f t="shared" si="178"/>
        <v>6965.0774999999967</v>
      </c>
      <c r="BL424" s="24" t="s">
        <v>657</v>
      </c>
      <c r="BM424" s="42">
        <f t="shared" si="168"/>
        <v>3</v>
      </c>
      <c r="BN424" s="24" t="s">
        <v>139</v>
      </c>
      <c r="BO424" s="2" t="s">
        <v>129</v>
      </c>
    </row>
    <row r="425" spans="1:67" s="1" customFormat="1" ht="15" customHeight="1" x14ac:dyDescent="0.3">
      <c r="A425" s="20">
        <v>421</v>
      </c>
      <c r="B425" s="21">
        <v>46108</v>
      </c>
      <c r="C425" s="21">
        <v>46111</v>
      </c>
      <c r="D425" s="50" t="s">
        <v>2286</v>
      </c>
      <c r="E425" s="23">
        <v>46161</v>
      </c>
      <c r="F425" s="23" t="s">
        <v>7</v>
      </c>
      <c r="G425" s="24" t="s">
        <v>68</v>
      </c>
      <c r="H425" s="24" t="s">
        <v>69</v>
      </c>
      <c r="I425" s="24" t="s">
        <v>70</v>
      </c>
      <c r="J425" s="25" t="s">
        <v>203</v>
      </c>
      <c r="K425" s="45" t="str">
        <f t="shared" si="169"/>
        <v>WB39B0800</v>
      </c>
      <c r="L425" s="26">
        <v>46109</v>
      </c>
      <c r="M425" s="34" t="s">
        <v>2287</v>
      </c>
      <c r="N425" s="27" t="s">
        <v>2288</v>
      </c>
      <c r="O425" s="28">
        <v>0</v>
      </c>
      <c r="P425" s="27" t="s">
        <v>2289</v>
      </c>
      <c r="Q425" s="29">
        <v>2525380855</v>
      </c>
      <c r="R425" s="30">
        <v>2110831628</v>
      </c>
      <c r="S425" s="31" t="s">
        <v>73</v>
      </c>
      <c r="T425" s="24" t="s">
        <v>74</v>
      </c>
      <c r="U425" s="24" t="s">
        <v>75</v>
      </c>
      <c r="V425" s="32" t="s">
        <v>2290</v>
      </c>
      <c r="W425" s="32" t="s">
        <v>2291</v>
      </c>
      <c r="X425" s="32" t="s">
        <v>2292</v>
      </c>
      <c r="Y425" s="24">
        <v>540</v>
      </c>
      <c r="Z425" s="24">
        <v>19</v>
      </c>
      <c r="AA425" s="24">
        <f t="shared" si="170"/>
        <v>513</v>
      </c>
      <c r="AB425" s="24">
        <f t="shared" si="162"/>
        <v>10260</v>
      </c>
      <c r="AC425" s="24">
        <f t="shared" si="163"/>
        <v>9747</v>
      </c>
      <c r="AD425" s="24">
        <f t="shared" si="164"/>
        <v>9747</v>
      </c>
      <c r="AE425" s="24">
        <f t="shared" si="165"/>
        <v>513</v>
      </c>
      <c r="AF425" s="24">
        <f t="shared" si="185"/>
        <v>97.47</v>
      </c>
      <c r="AG425" s="33">
        <v>2800</v>
      </c>
      <c r="AH425" s="24"/>
      <c r="AI425" s="24"/>
      <c r="AJ425" s="24"/>
      <c r="AK425" s="24"/>
      <c r="AL425" s="24"/>
      <c r="AM425" s="24" t="s">
        <v>79</v>
      </c>
      <c r="AN425" s="34" t="s">
        <v>2293</v>
      </c>
      <c r="AO425" s="35" t="s">
        <v>1673</v>
      </c>
      <c r="AP425" s="24">
        <f>102*2</f>
        <v>204</v>
      </c>
      <c r="AQ425" s="36">
        <f t="shared" si="171"/>
        <v>62.769230769230766</v>
      </c>
      <c r="AR425" s="80">
        <v>55</v>
      </c>
      <c r="AS425" s="47">
        <f t="shared" si="172"/>
        <v>-7.7692307692307665</v>
      </c>
      <c r="AT425" s="31"/>
      <c r="AU425" s="47">
        <f t="shared" si="173"/>
        <v>-7.7692307692307665</v>
      </c>
      <c r="AV425" s="81">
        <v>91.99</v>
      </c>
      <c r="AW425" s="24">
        <f t="shared" si="166"/>
        <v>5059.45</v>
      </c>
      <c r="AX425" s="24">
        <f t="shared" si="182"/>
        <v>80.63455422181184</v>
      </c>
      <c r="AY425" s="24">
        <v>120</v>
      </c>
      <c r="AZ425" s="24"/>
      <c r="BA425" s="24"/>
      <c r="BB425" s="24">
        <f t="shared" si="174"/>
        <v>0</v>
      </c>
      <c r="BC425" s="24">
        <f t="shared" si="175"/>
        <v>1670.0800000000008</v>
      </c>
      <c r="BD425" s="24"/>
      <c r="BE425" s="24"/>
      <c r="BF425" s="24"/>
      <c r="BG425" s="24">
        <f>+AD425*8.5%</f>
        <v>828.495</v>
      </c>
      <c r="BH425" s="24">
        <f t="shared" ref="BH425:BH426" si="186">+AD425*8.5%</f>
        <v>828.495</v>
      </c>
      <c r="BI425" s="24"/>
      <c r="BJ425" s="24">
        <f t="shared" si="177"/>
        <v>16.569900000000001</v>
      </c>
      <c r="BK425" s="24">
        <f t="shared" si="178"/>
        <v>3310.5001000000007</v>
      </c>
      <c r="BL425" s="24" t="s">
        <v>82</v>
      </c>
      <c r="BM425" s="42">
        <f t="shared" si="168"/>
        <v>2</v>
      </c>
      <c r="BN425" s="24" t="s">
        <v>83</v>
      </c>
      <c r="BO425" s="2" t="s">
        <v>175</v>
      </c>
    </row>
    <row r="426" spans="1:67" s="1" customFormat="1" ht="15" customHeight="1" x14ac:dyDescent="0.3">
      <c r="A426" s="20">
        <v>422</v>
      </c>
      <c r="B426" s="21">
        <v>46108</v>
      </c>
      <c r="C426" s="21">
        <v>46114</v>
      </c>
      <c r="D426" s="84" t="s">
        <v>2188</v>
      </c>
      <c r="E426" s="23">
        <v>46116</v>
      </c>
      <c r="F426" s="23" t="s">
        <v>7</v>
      </c>
      <c r="G426" s="24" t="s">
        <v>68</v>
      </c>
      <c r="H426" s="24" t="s">
        <v>69</v>
      </c>
      <c r="I426" s="24" t="s">
        <v>397</v>
      </c>
      <c r="J426" s="25" t="s">
        <v>398</v>
      </c>
      <c r="K426" s="45" t="str">
        <f t="shared" si="169"/>
        <v>WB33C6016</v>
      </c>
      <c r="L426" s="26">
        <v>46109</v>
      </c>
      <c r="M426" s="34" t="s">
        <v>2294</v>
      </c>
      <c r="N426" s="27" t="s">
        <v>2295</v>
      </c>
      <c r="O426" s="28">
        <v>0</v>
      </c>
      <c r="P426" s="27" t="s">
        <v>2296</v>
      </c>
      <c r="Q426" s="29">
        <v>2525381355</v>
      </c>
      <c r="R426" s="30">
        <v>2110832219</v>
      </c>
      <c r="S426" s="31" t="s">
        <v>73</v>
      </c>
      <c r="T426" s="24" t="s">
        <v>74</v>
      </c>
      <c r="U426" s="24" t="s">
        <v>75</v>
      </c>
      <c r="V426" s="32" t="s">
        <v>1587</v>
      </c>
      <c r="W426" s="32" t="s">
        <v>208</v>
      </c>
      <c r="X426" s="32"/>
      <c r="Y426" s="24">
        <v>604</v>
      </c>
      <c r="Z426" s="24">
        <v>19</v>
      </c>
      <c r="AA426" s="24">
        <f t="shared" si="170"/>
        <v>573.79999999999995</v>
      </c>
      <c r="AB426" s="24">
        <f t="shared" si="162"/>
        <v>11476</v>
      </c>
      <c r="AC426" s="24">
        <f t="shared" si="163"/>
        <v>10902.2</v>
      </c>
      <c r="AD426" s="24">
        <f t="shared" si="164"/>
        <v>10902.199999999999</v>
      </c>
      <c r="AE426" s="24">
        <f t="shared" si="165"/>
        <v>573.80000000000109</v>
      </c>
      <c r="AF426" s="24">
        <f t="shared" si="185"/>
        <v>109.02199999999999</v>
      </c>
      <c r="AG426" s="33">
        <v>2900</v>
      </c>
      <c r="AH426" s="24"/>
      <c r="AI426" s="24"/>
      <c r="AJ426" s="24"/>
      <c r="AK426" s="24"/>
      <c r="AL426" s="24"/>
      <c r="AM426" s="24" t="s">
        <v>79</v>
      </c>
      <c r="AN426" s="34" t="s">
        <v>2297</v>
      </c>
      <c r="AO426" s="35" t="s">
        <v>1673</v>
      </c>
      <c r="AP426" s="24">
        <f>108*2</f>
        <v>216</v>
      </c>
      <c r="AQ426" s="36">
        <f t="shared" si="171"/>
        <v>66.461538461538467</v>
      </c>
      <c r="AR426" s="80">
        <v>62</v>
      </c>
      <c r="AS426" s="47">
        <f t="shared" si="172"/>
        <v>-4.461538461538467</v>
      </c>
      <c r="AT426" s="31"/>
      <c r="AU426" s="47">
        <f t="shared" si="173"/>
        <v>-4.461538461538467</v>
      </c>
      <c r="AV426" s="81">
        <v>91.99</v>
      </c>
      <c r="AW426" s="24">
        <f t="shared" si="166"/>
        <v>5703.38</v>
      </c>
      <c r="AX426" s="24">
        <f t="shared" si="182"/>
        <v>78.914164113665151</v>
      </c>
      <c r="AY426" s="24"/>
      <c r="AZ426" s="24"/>
      <c r="BA426" s="24"/>
      <c r="BB426" s="24">
        <f t="shared" si="174"/>
        <v>0</v>
      </c>
      <c r="BC426" s="24">
        <f t="shared" si="175"/>
        <v>2189.797999999998</v>
      </c>
      <c r="BD426" s="24">
        <v>110</v>
      </c>
      <c r="BE426" s="24">
        <v>110</v>
      </c>
      <c r="BF426" s="24"/>
      <c r="BG426" s="24">
        <f>+AD426*8.5%</f>
        <v>926.68700000000001</v>
      </c>
      <c r="BH426" s="24">
        <f t="shared" si="186"/>
        <v>926.68700000000001</v>
      </c>
      <c r="BI426" s="24"/>
      <c r="BJ426" s="24">
        <f t="shared" si="177"/>
        <v>18.533740000000002</v>
      </c>
      <c r="BK426" s="24">
        <f t="shared" si="178"/>
        <v>4244.6382599999979</v>
      </c>
      <c r="BL426" s="24" t="s">
        <v>405</v>
      </c>
      <c r="BM426" s="42">
        <f t="shared" si="168"/>
        <v>2</v>
      </c>
      <c r="BN426" s="24" t="s">
        <v>83</v>
      </c>
      <c r="BO426" s="2" t="s">
        <v>175</v>
      </c>
    </row>
    <row r="427" spans="1:67" s="1" customFormat="1" ht="15" customHeight="1" x14ac:dyDescent="0.3">
      <c r="A427" s="20">
        <v>423</v>
      </c>
      <c r="B427" s="21">
        <v>46108</v>
      </c>
      <c r="C427" s="21">
        <v>46114</v>
      </c>
      <c r="D427" s="84" t="s">
        <v>2188</v>
      </c>
      <c r="E427" s="23">
        <v>46116</v>
      </c>
      <c r="F427" s="23" t="s">
        <v>7</v>
      </c>
      <c r="G427" s="24" t="s">
        <v>68</v>
      </c>
      <c r="H427" s="24" t="s">
        <v>69</v>
      </c>
      <c r="I427" s="24" t="s">
        <v>112</v>
      </c>
      <c r="J427" s="25" t="s">
        <v>487</v>
      </c>
      <c r="K427" s="45" t="str">
        <f t="shared" si="169"/>
        <v>WB39A9434</v>
      </c>
      <c r="L427" s="26">
        <v>46110</v>
      </c>
      <c r="M427" s="34" t="s">
        <v>2298</v>
      </c>
      <c r="N427" s="27" t="s">
        <v>2299</v>
      </c>
      <c r="O427" s="28">
        <v>0</v>
      </c>
      <c r="P427" s="27" t="s">
        <v>2300</v>
      </c>
      <c r="Q427" s="29">
        <v>2525381356</v>
      </c>
      <c r="R427" s="30">
        <v>2110832221</v>
      </c>
      <c r="S427" s="63" t="s">
        <v>73</v>
      </c>
      <c r="T427" s="24" t="s">
        <v>91</v>
      </c>
      <c r="U427" s="24" t="s">
        <v>75</v>
      </c>
      <c r="V427" s="32" t="s">
        <v>1065</v>
      </c>
      <c r="W427" s="32" t="s">
        <v>2248</v>
      </c>
      <c r="X427" s="32" t="s">
        <v>2301</v>
      </c>
      <c r="Y427" s="24">
        <v>936</v>
      </c>
      <c r="Z427" s="24">
        <v>25</v>
      </c>
      <c r="AA427" s="24">
        <f t="shared" si="170"/>
        <v>889.19999999999993</v>
      </c>
      <c r="AB427" s="24">
        <f t="shared" si="162"/>
        <v>23400</v>
      </c>
      <c r="AC427" s="24">
        <f t="shared" si="163"/>
        <v>22230</v>
      </c>
      <c r="AD427" s="24">
        <f t="shared" si="164"/>
        <v>22230</v>
      </c>
      <c r="AE427" s="24">
        <f t="shared" si="165"/>
        <v>1170</v>
      </c>
      <c r="AF427" s="24">
        <f t="shared" si="185"/>
        <v>222.3</v>
      </c>
      <c r="AG427" s="33">
        <v>6000</v>
      </c>
      <c r="AH427" s="24"/>
      <c r="AI427" s="24"/>
      <c r="AJ427" s="24"/>
      <c r="AK427" s="24"/>
      <c r="AL427" s="24"/>
      <c r="AM427" s="24" t="s">
        <v>79</v>
      </c>
      <c r="AN427" s="34" t="s">
        <v>2302</v>
      </c>
      <c r="AO427" s="35" t="s">
        <v>1673</v>
      </c>
      <c r="AP427" s="24">
        <f>213*2</f>
        <v>426</v>
      </c>
      <c r="AQ427" s="36">
        <f t="shared" si="171"/>
        <v>131.07692307692307</v>
      </c>
      <c r="AR427" s="80">
        <v>140</v>
      </c>
      <c r="AS427" s="47">
        <f t="shared" si="172"/>
        <v>8.923076923076934</v>
      </c>
      <c r="AT427" s="31"/>
      <c r="AU427" s="47">
        <f t="shared" si="173"/>
        <v>8.923076923076934</v>
      </c>
      <c r="AV427" s="81">
        <v>91.99</v>
      </c>
      <c r="AW427" s="24">
        <f t="shared" si="166"/>
        <v>12878.599999999999</v>
      </c>
      <c r="AX427" s="24">
        <f t="shared" si="182"/>
        <v>84.923976608187118</v>
      </c>
      <c r="AY427" s="24"/>
      <c r="AZ427" s="24"/>
      <c r="BA427" s="24"/>
      <c r="BB427" s="24">
        <f t="shared" si="174"/>
        <v>0</v>
      </c>
      <c r="BC427" s="24">
        <f t="shared" si="175"/>
        <v>3129.1000000000022</v>
      </c>
      <c r="BD427" s="24">
        <v>135</v>
      </c>
      <c r="BE427" s="24">
        <v>135</v>
      </c>
      <c r="BF427" s="24"/>
      <c r="BG427" s="24">
        <f>+AB427*9.5%</f>
        <v>2223</v>
      </c>
      <c r="BH427" s="24"/>
      <c r="BI427" s="24"/>
      <c r="BJ427" s="24">
        <f t="shared" si="177"/>
        <v>22.23</v>
      </c>
      <c r="BK427" s="24">
        <f t="shared" si="178"/>
        <v>5599.8700000000026</v>
      </c>
      <c r="BL427" s="24" t="s">
        <v>494</v>
      </c>
      <c r="BM427" s="42">
        <f t="shared" si="168"/>
        <v>3</v>
      </c>
      <c r="BN427" s="24" t="s">
        <v>139</v>
      </c>
      <c r="BO427" s="2" t="s">
        <v>175</v>
      </c>
    </row>
    <row r="428" spans="1:67" s="1" customFormat="1" ht="15" customHeight="1" x14ac:dyDescent="0.3">
      <c r="A428" s="20">
        <v>424</v>
      </c>
      <c r="B428" s="21">
        <v>46108</v>
      </c>
      <c r="C428" s="21">
        <v>46114</v>
      </c>
      <c r="D428" s="50" t="s">
        <v>2303</v>
      </c>
      <c r="E428" s="23">
        <v>46116</v>
      </c>
      <c r="F428" s="23" t="s">
        <v>7</v>
      </c>
      <c r="G428" s="24" t="s">
        <v>68</v>
      </c>
      <c r="H428" s="24" t="s">
        <v>69</v>
      </c>
      <c r="I428" s="24" t="s">
        <v>2110</v>
      </c>
      <c r="J428" s="25" t="s">
        <v>2111</v>
      </c>
      <c r="K428" s="45" t="str">
        <f t="shared" si="169"/>
        <v>WB81B4456</v>
      </c>
      <c r="L428" s="26">
        <v>46109</v>
      </c>
      <c r="M428" s="34" t="s">
        <v>2304</v>
      </c>
      <c r="N428" s="27" t="s">
        <v>2305</v>
      </c>
      <c r="O428" s="28">
        <v>0</v>
      </c>
      <c r="P428" s="27" t="s">
        <v>2306</v>
      </c>
      <c r="Q428" s="29">
        <v>2525381451</v>
      </c>
      <c r="R428" s="30">
        <v>2110832269</v>
      </c>
      <c r="S428" s="63" t="s">
        <v>73</v>
      </c>
      <c r="T428" s="24" t="s">
        <v>188</v>
      </c>
      <c r="U428" s="24" t="s">
        <v>75</v>
      </c>
      <c r="V428" s="32" t="s">
        <v>2307</v>
      </c>
      <c r="W428" s="32" t="s">
        <v>701</v>
      </c>
      <c r="X428" s="32"/>
      <c r="Y428" s="24">
        <v>620</v>
      </c>
      <c r="Z428" s="24">
        <v>13</v>
      </c>
      <c r="AA428" s="24">
        <f t="shared" si="170"/>
        <v>589</v>
      </c>
      <c r="AB428" s="24">
        <f t="shared" si="162"/>
        <v>8060</v>
      </c>
      <c r="AC428" s="24">
        <f t="shared" si="163"/>
        <v>7656.9999999999991</v>
      </c>
      <c r="AD428" s="24">
        <f t="shared" si="164"/>
        <v>7657</v>
      </c>
      <c r="AE428" s="24">
        <f t="shared" si="165"/>
        <v>403</v>
      </c>
      <c r="AF428" s="24">
        <f t="shared" si="185"/>
        <v>76.570000000000007</v>
      </c>
      <c r="AG428" s="33">
        <v>1450</v>
      </c>
      <c r="AH428" s="24"/>
      <c r="AI428" s="24"/>
      <c r="AJ428" s="24"/>
      <c r="AK428" s="24"/>
      <c r="AL428" s="24"/>
      <c r="AM428" s="24" t="s">
        <v>79</v>
      </c>
      <c r="AN428" s="34" t="s">
        <v>2308</v>
      </c>
      <c r="AO428" s="35" t="s">
        <v>1673</v>
      </c>
      <c r="AP428" s="24">
        <f>120*2</f>
        <v>240</v>
      </c>
      <c r="AQ428" s="36">
        <f t="shared" si="171"/>
        <v>73.84615384615384</v>
      </c>
      <c r="AR428" s="80">
        <v>20</v>
      </c>
      <c r="AS428" s="47">
        <f t="shared" si="172"/>
        <v>-53.84615384615384</v>
      </c>
      <c r="AT428" s="31"/>
      <c r="AU428" s="47">
        <f t="shared" si="173"/>
        <v>-53.84615384615384</v>
      </c>
      <c r="AV428" s="81">
        <v>91.99</v>
      </c>
      <c r="AW428" s="24">
        <f t="shared" si="166"/>
        <v>1839.8</v>
      </c>
      <c r="AX428" s="24">
        <f t="shared" si="182"/>
        <v>42.964607548648296</v>
      </c>
      <c r="AY428" s="24">
        <v>120</v>
      </c>
      <c r="AZ428" s="24"/>
      <c r="BA428" s="24"/>
      <c r="BB428" s="24">
        <f t="shared" si="174"/>
        <v>0</v>
      </c>
      <c r="BC428" s="24">
        <f t="shared" si="175"/>
        <v>4170.63</v>
      </c>
      <c r="BD428" s="24"/>
      <c r="BE428" s="24"/>
      <c r="BF428" s="24"/>
      <c r="BG428" s="24">
        <f>+AB428*9.5%</f>
        <v>765.7</v>
      </c>
      <c r="BH428" s="24"/>
      <c r="BI428" s="24"/>
      <c r="BJ428" s="24">
        <f t="shared" si="177"/>
        <v>7.6570000000000009</v>
      </c>
      <c r="BK428" s="24">
        <f t="shared" si="178"/>
        <v>4928.6729999999998</v>
      </c>
      <c r="BL428" s="24" t="s">
        <v>2118</v>
      </c>
      <c r="BM428" s="42">
        <f t="shared" si="168"/>
        <v>2</v>
      </c>
      <c r="BN428" s="24" t="s">
        <v>83</v>
      </c>
      <c r="BO428" s="2" t="s">
        <v>175</v>
      </c>
    </row>
    <row r="429" spans="1:67" s="1" customFormat="1" ht="15" customHeight="1" x14ac:dyDescent="0.3">
      <c r="A429" s="20">
        <v>425</v>
      </c>
      <c r="B429" s="21">
        <v>46108</v>
      </c>
      <c r="C429" s="21">
        <v>46111</v>
      </c>
      <c r="D429" s="50" t="s">
        <v>2219</v>
      </c>
      <c r="E429" s="23">
        <v>46111</v>
      </c>
      <c r="F429" s="23" t="s">
        <v>7</v>
      </c>
      <c r="G429" s="24" t="s">
        <v>68</v>
      </c>
      <c r="H429" s="24" t="s">
        <v>69</v>
      </c>
      <c r="I429" s="24" t="s">
        <v>131</v>
      </c>
      <c r="J429" s="25" t="s">
        <v>224</v>
      </c>
      <c r="K429" s="45" t="str">
        <f t="shared" si="169"/>
        <v>WB29A9266</v>
      </c>
      <c r="L429" s="26">
        <v>46109</v>
      </c>
      <c r="M429" s="34" t="s">
        <v>2309</v>
      </c>
      <c r="N429" s="27" t="s">
        <v>2310</v>
      </c>
      <c r="O429" s="28">
        <v>0</v>
      </c>
      <c r="P429" s="27" t="s">
        <v>2311</v>
      </c>
      <c r="Q429" s="29">
        <v>2525381454</v>
      </c>
      <c r="R429" s="30">
        <v>2110832281</v>
      </c>
      <c r="S429" s="31" t="s">
        <v>73</v>
      </c>
      <c r="T429" s="24" t="s">
        <v>91</v>
      </c>
      <c r="U429" s="24" t="s">
        <v>75</v>
      </c>
      <c r="V429" s="32" t="s">
        <v>647</v>
      </c>
      <c r="W429" s="32" t="s">
        <v>648</v>
      </c>
      <c r="X429" s="32"/>
      <c r="Y429" s="24">
        <v>797</v>
      </c>
      <c r="Z429" s="24">
        <v>25</v>
      </c>
      <c r="AA429" s="24">
        <f t="shared" si="170"/>
        <v>757.15</v>
      </c>
      <c r="AB429" s="24">
        <f t="shared" si="162"/>
        <v>19925</v>
      </c>
      <c r="AC429" s="24">
        <f t="shared" si="163"/>
        <v>18928.75</v>
      </c>
      <c r="AD429" s="24">
        <f t="shared" si="164"/>
        <v>18928.75</v>
      </c>
      <c r="AE429" s="24">
        <f t="shared" si="165"/>
        <v>996.25</v>
      </c>
      <c r="AF429" s="24">
        <v>0</v>
      </c>
      <c r="AG429" s="33">
        <v>4700</v>
      </c>
      <c r="AH429" s="24"/>
      <c r="AI429" s="24"/>
      <c r="AJ429" s="24"/>
      <c r="AK429" s="24"/>
      <c r="AL429" s="24"/>
      <c r="AM429" s="24" t="s">
        <v>79</v>
      </c>
      <c r="AN429" s="34" t="s">
        <v>2312</v>
      </c>
      <c r="AO429" s="35" t="s">
        <v>1673</v>
      </c>
      <c r="AP429" s="24">
        <f>168*2</f>
        <v>336</v>
      </c>
      <c r="AQ429" s="36">
        <f t="shared" si="171"/>
        <v>103.38461538461539</v>
      </c>
      <c r="AR429" s="80">
        <v>100</v>
      </c>
      <c r="AS429" s="47">
        <f t="shared" si="172"/>
        <v>-3.3846153846153868</v>
      </c>
      <c r="AT429" s="31"/>
      <c r="AU429" s="47">
        <f t="shared" si="173"/>
        <v>-3.3846153846153868</v>
      </c>
      <c r="AV429" s="81">
        <v>91.99</v>
      </c>
      <c r="AW429" s="24">
        <f t="shared" si="166"/>
        <v>9199</v>
      </c>
      <c r="AX429" s="24">
        <f t="shared" si="182"/>
        <v>73.427986528428974</v>
      </c>
      <c r="AY429" s="24"/>
      <c r="AZ429" s="24"/>
      <c r="BA429" s="24"/>
      <c r="BB429" s="24">
        <f t="shared" si="174"/>
        <v>0</v>
      </c>
      <c r="BC429" s="24">
        <f t="shared" si="175"/>
        <v>5029.75</v>
      </c>
      <c r="BD429" s="24">
        <v>135</v>
      </c>
      <c r="BE429" s="24">
        <v>135</v>
      </c>
      <c r="BF429" s="24"/>
      <c r="BG429" s="24">
        <f>+AD429*9.5%</f>
        <v>1798.23125</v>
      </c>
      <c r="BH429" s="24"/>
      <c r="BI429" s="24"/>
      <c r="BJ429" s="24">
        <f t="shared" si="177"/>
        <v>17.982312500000003</v>
      </c>
      <c r="BK429" s="24">
        <f t="shared" si="178"/>
        <v>7079.9989374999996</v>
      </c>
      <c r="BL429" s="24" t="s">
        <v>232</v>
      </c>
      <c r="BM429" s="42">
        <f t="shared" si="168"/>
        <v>2</v>
      </c>
      <c r="BN429" s="24" t="s">
        <v>83</v>
      </c>
      <c r="BO429" s="2" t="s">
        <v>175</v>
      </c>
    </row>
    <row r="430" spans="1:67" s="1" customFormat="1" ht="15" customHeight="1" x14ac:dyDescent="0.3">
      <c r="A430" s="20">
        <v>426</v>
      </c>
      <c r="B430" s="21">
        <v>46108</v>
      </c>
      <c r="C430" s="21">
        <v>46111</v>
      </c>
      <c r="D430" s="50" t="s">
        <v>2303</v>
      </c>
      <c r="E430" s="23">
        <v>46116</v>
      </c>
      <c r="F430" s="23" t="s">
        <v>7</v>
      </c>
      <c r="G430" s="24" t="s">
        <v>68</v>
      </c>
      <c r="H430" s="24" t="s">
        <v>69</v>
      </c>
      <c r="I430" s="24" t="s">
        <v>117</v>
      </c>
      <c r="J430" s="25" t="s">
        <v>118</v>
      </c>
      <c r="K430" s="45" t="str">
        <f t="shared" si="169"/>
        <v>WB37E6348</v>
      </c>
      <c r="L430" s="26">
        <v>46110</v>
      </c>
      <c r="M430" s="34" t="s">
        <v>2313</v>
      </c>
      <c r="N430" s="27" t="s">
        <v>2314</v>
      </c>
      <c r="O430" s="28">
        <v>0</v>
      </c>
      <c r="P430" s="27" t="s">
        <v>2315</v>
      </c>
      <c r="Q430" s="29">
        <v>2525381598</v>
      </c>
      <c r="R430" s="30">
        <v>2110832400</v>
      </c>
      <c r="S430" s="31" t="s">
        <v>73</v>
      </c>
      <c r="T430" s="24" t="s">
        <v>91</v>
      </c>
      <c r="U430" s="24" t="s">
        <v>75</v>
      </c>
      <c r="V430" s="32" t="s">
        <v>1522</v>
      </c>
      <c r="W430" s="32" t="s">
        <v>528</v>
      </c>
      <c r="X430" s="32" t="s">
        <v>2316</v>
      </c>
      <c r="Y430" s="24">
        <v>1023</v>
      </c>
      <c r="Z430" s="24">
        <v>25</v>
      </c>
      <c r="AA430" s="24">
        <f t="shared" si="170"/>
        <v>971.85</v>
      </c>
      <c r="AB430" s="24">
        <f t="shared" si="162"/>
        <v>25575</v>
      </c>
      <c r="AC430" s="24">
        <f t="shared" si="163"/>
        <v>24296.25</v>
      </c>
      <c r="AD430" s="24">
        <f t="shared" si="164"/>
        <v>24296.25</v>
      </c>
      <c r="AE430" s="24">
        <f t="shared" si="165"/>
        <v>1278.75</v>
      </c>
      <c r="AF430" s="24">
        <v>0</v>
      </c>
      <c r="AG430" s="33">
        <v>4000</v>
      </c>
      <c r="AH430" s="24"/>
      <c r="AI430" s="24"/>
      <c r="AJ430" s="24"/>
      <c r="AK430" s="24"/>
      <c r="AL430" s="24"/>
      <c r="AM430" s="24" t="s">
        <v>79</v>
      </c>
      <c r="AN430" s="34" t="s">
        <v>2317</v>
      </c>
      <c r="AO430" s="35" t="s">
        <v>1673</v>
      </c>
      <c r="AP430" s="24">
        <f>245*2</f>
        <v>490</v>
      </c>
      <c r="AQ430" s="36">
        <f t="shared" si="171"/>
        <v>150.76923076923077</v>
      </c>
      <c r="AR430" s="80">
        <v>148</v>
      </c>
      <c r="AS430" s="47">
        <f t="shared" si="172"/>
        <v>-2.7692307692307736</v>
      </c>
      <c r="AT430" s="31"/>
      <c r="AU430" s="47">
        <f t="shared" si="173"/>
        <v>-2.7692307692307736</v>
      </c>
      <c r="AV430" s="81">
        <v>91.99</v>
      </c>
      <c r="AW430" s="24">
        <f t="shared" si="166"/>
        <v>13614.519999999999</v>
      </c>
      <c r="AX430" s="24">
        <f t="shared" si="182"/>
        <v>72.498924731182782</v>
      </c>
      <c r="AY430" s="24"/>
      <c r="AZ430" s="24"/>
      <c r="BA430" s="24"/>
      <c r="BB430" s="24">
        <f t="shared" si="174"/>
        <v>0</v>
      </c>
      <c r="BC430" s="24">
        <f t="shared" si="175"/>
        <v>6681.7300000000014</v>
      </c>
      <c r="BD430" s="24">
        <v>135</v>
      </c>
      <c r="BE430" s="24">
        <v>135</v>
      </c>
      <c r="BF430" s="24"/>
      <c r="BG430" s="24">
        <f>+AB430*9.5%</f>
        <v>2429.625</v>
      </c>
      <c r="BH430" s="24"/>
      <c r="BI430" s="24"/>
      <c r="BJ430" s="24">
        <f t="shared" si="177"/>
        <v>24.296250000000001</v>
      </c>
      <c r="BK430" s="24">
        <f t="shared" si="178"/>
        <v>9357.058750000002</v>
      </c>
      <c r="BL430" s="24" t="s">
        <v>121</v>
      </c>
      <c r="BM430" s="42">
        <f t="shared" si="168"/>
        <v>3</v>
      </c>
      <c r="BN430" s="24" t="s">
        <v>139</v>
      </c>
      <c r="BO430" s="2" t="s">
        <v>175</v>
      </c>
    </row>
    <row r="431" spans="1:67" s="1" customFormat="1" ht="15" customHeight="1" x14ac:dyDescent="0.3">
      <c r="A431" s="20">
        <v>427</v>
      </c>
      <c r="B431" s="21">
        <v>46108</v>
      </c>
      <c r="C431" s="21">
        <v>46111</v>
      </c>
      <c r="D431" s="50" t="s">
        <v>1674</v>
      </c>
      <c r="E431" s="23">
        <v>46139</v>
      </c>
      <c r="F431" s="23" t="s">
        <v>7</v>
      </c>
      <c r="G431" s="24" t="s">
        <v>68</v>
      </c>
      <c r="H431" s="24" t="s">
        <v>69</v>
      </c>
      <c r="I431" s="24" t="s">
        <v>112</v>
      </c>
      <c r="J431" s="25" t="s">
        <v>558</v>
      </c>
      <c r="K431" s="45" t="str">
        <f t="shared" si="169"/>
        <v>WB39A5858</v>
      </c>
      <c r="L431" s="26">
        <v>46109</v>
      </c>
      <c r="M431" s="34" t="s">
        <v>2318</v>
      </c>
      <c r="N431" s="27" t="s">
        <v>2319</v>
      </c>
      <c r="O431" s="28">
        <v>0</v>
      </c>
      <c r="P431" s="27" t="s">
        <v>2320</v>
      </c>
      <c r="Q431" s="29">
        <v>2525381617</v>
      </c>
      <c r="R431" s="30">
        <v>2110832432</v>
      </c>
      <c r="S431" s="31" t="s">
        <v>73</v>
      </c>
      <c r="T431" s="24" t="s">
        <v>74</v>
      </c>
      <c r="U431" s="24" t="s">
        <v>75</v>
      </c>
      <c r="V431" s="32" t="s">
        <v>2321</v>
      </c>
      <c r="W431" s="32" t="s">
        <v>2322</v>
      </c>
      <c r="X431" s="32" t="s">
        <v>2323</v>
      </c>
      <c r="Y431" s="24">
        <v>590</v>
      </c>
      <c r="Z431" s="24">
        <v>14</v>
      </c>
      <c r="AA431" s="24">
        <f t="shared" si="170"/>
        <v>560.5</v>
      </c>
      <c r="AB431" s="24">
        <f t="shared" si="162"/>
        <v>8260</v>
      </c>
      <c r="AC431" s="24">
        <f t="shared" si="163"/>
        <v>7846.9999999999991</v>
      </c>
      <c r="AD431" s="24">
        <f t="shared" si="164"/>
        <v>7847</v>
      </c>
      <c r="AE431" s="24">
        <f t="shared" si="165"/>
        <v>413</v>
      </c>
      <c r="AF431" s="24">
        <v>0</v>
      </c>
      <c r="AG431" s="33">
        <v>2500</v>
      </c>
      <c r="AH431" s="24"/>
      <c r="AI431" s="24"/>
      <c r="AJ431" s="24"/>
      <c r="AK431" s="24"/>
      <c r="AL431" s="24"/>
      <c r="AM431" s="24" t="s">
        <v>79</v>
      </c>
      <c r="AN431" s="34" t="s">
        <v>2324</v>
      </c>
      <c r="AO431" s="35" t="s">
        <v>1673</v>
      </c>
      <c r="AP431" s="24">
        <f>96*2</f>
        <v>192</v>
      </c>
      <c r="AQ431" s="36">
        <f t="shared" si="171"/>
        <v>59.07692307692308</v>
      </c>
      <c r="AR431" s="80">
        <v>52</v>
      </c>
      <c r="AS431" s="47">
        <f t="shared" si="172"/>
        <v>-7.0769230769230802</v>
      </c>
      <c r="AT431" s="31"/>
      <c r="AU431" s="47">
        <f t="shared" si="173"/>
        <v>-7.0769230769230802</v>
      </c>
      <c r="AV431" s="81">
        <v>91.99</v>
      </c>
      <c r="AW431" s="24">
        <f t="shared" si="166"/>
        <v>4783.4799999999996</v>
      </c>
      <c r="AX431" s="24">
        <f t="shared" si="182"/>
        <v>92.818656811520313</v>
      </c>
      <c r="AY431" s="24"/>
      <c r="AZ431" s="24"/>
      <c r="BA431" s="24"/>
      <c r="BB431" s="24">
        <f t="shared" si="174"/>
        <v>0</v>
      </c>
      <c r="BC431" s="24">
        <f t="shared" si="175"/>
        <v>563.52000000000044</v>
      </c>
      <c r="BD431" s="24"/>
      <c r="BE431" s="24"/>
      <c r="BF431" s="24"/>
      <c r="BG431" s="24">
        <f>+AB431*9.5%</f>
        <v>784.7</v>
      </c>
      <c r="BH431" s="24">
        <f t="shared" ref="BH431:BH432" si="187">+AB431*8.5%</f>
        <v>702.1</v>
      </c>
      <c r="BI431" s="24"/>
      <c r="BJ431" s="24">
        <f t="shared" si="177"/>
        <v>14.868000000000002</v>
      </c>
      <c r="BK431" s="24">
        <f t="shared" si="178"/>
        <v>2035.4520000000007</v>
      </c>
      <c r="BL431" s="24" t="s">
        <v>565</v>
      </c>
      <c r="BM431" s="42">
        <f t="shared" si="168"/>
        <v>2</v>
      </c>
      <c r="BN431" s="24" t="s">
        <v>83</v>
      </c>
      <c r="BO431" s="2" t="s">
        <v>175</v>
      </c>
    </row>
    <row r="432" spans="1:67" s="1" customFormat="1" ht="15" customHeight="1" x14ac:dyDescent="0.3">
      <c r="A432" s="20">
        <v>428</v>
      </c>
      <c r="B432" s="21">
        <v>46108</v>
      </c>
      <c r="C432" s="21">
        <v>46111</v>
      </c>
      <c r="D432" s="50" t="s">
        <v>1674</v>
      </c>
      <c r="E432" s="23">
        <v>46139</v>
      </c>
      <c r="F432" s="23" t="s">
        <v>7</v>
      </c>
      <c r="G432" s="24" t="s">
        <v>68</v>
      </c>
      <c r="H432" s="24" t="s">
        <v>69</v>
      </c>
      <c r="I432" s="24" t="s">
        <v>112</v>
      </c>
      <c r="J432" s="25" t="s">
        <v>558</v>
      </c>
      <c r="K432" s="45" t="str">
        <f t="shared" si="169"/>
        <v>WB39A5858</v>
      </c>
      <c r="L432" s="26">
        <v>46109</v>
      </c>
      <c r="M432" s="34" t="s">
        <v>2325</v>
      </c>
      <c r="N432" s="27" t="s">
        <v>2326</v>
      </c>
      <c r="O432" s="28">
        <v>0</v>
      </c>
      <c r="P432" s="27" t="s">
        <v>2327</v>
      </c>
      <c r="Q432" s="29">
        <v>2525381620</v>
      </c>
      <c r="R432" s="30">
        <v>2110832434</v>
      </c>
      <c r="S432" s="31" t="s">
        <v>73</v>
      </c>
      <c r="T432" s="24" t="s">
        <v>74</v>
      </c>
      <c r="U432" s="24" t="s">
        <v>75</v>
      </c>
      <c r="V432" s="32" t="s">
        <v>2321</v>
      </c>
      <c r="W432" s="32" t="s">
        <v>2322</v>
      </c>
      <c r="X432" s="32" t="s">
        <v>753</v>
      </c>
      <c r="Y432" s="24">
        <v>590</v>
      </c>
      <c r="Z432" s="24">
        <v>5</v>
      </c>
      <c r="AA432" s="24">
        <f t="shared" si="170"/>
        <v>560.5</v>
      </c>
      <c r="AB432" s="24">
        <f t="shared" si="162"/>
        <v>2950</v>
      </c>
      <c r="AC432" s="24">
        <f t="shared" si="163"/>
        <v>2802.5</v>
      </c>
      <c r="AD432" s="24">
        <f t="shared" si="164"/>
        <v>2802.5</v>
      </c>
      <c r="AE432" s="24">
        <f t="shared" si="165"/>
        <v>147.5</v>
      </c>
      <c r="AF432" s="24">
        <v>0</v>
      </c>
      <c r="AG432" s="31">
        <v>0</v>
      </c>
      <c r="AH432" s="24"/>
      <c r="AI432" s="24"/>
      <c r="AJ432" s="24"/>
      <c r="AK432" s="24"/>
      <c r="AL432" s="24"/>
      <c r="AM432" s="24">
        <v>0</v>
      </c>
      <c r="AN432" s="34" t="s">
        <v>213</v>
      </c>
      <c r="AO432" s="35"/>
      <c r="AP432" s="24"/>
      <c r="AQ432" s="36">
        <f t="shared" si="171"/>
        <v>0</v>
      </c>
      <c r="AR432" s="16">
        <v>0</v>
      </c>
      <c r="AS432" s="47">
        <f t="shared" si="172"/>
        <v>0</v>
      </c>
      <c r="AT432" s="31"/>
      <c r="AU432" s="47">
        <f t="shared" si="173"/>
        <v>0</v>
      </c>
      <c r="AV432" s="48">
        <v>0</v>
      </c>
      <c r="AW432" s="24">
        <f t="shared" si="166"/>
        <v>0</v>
      </c>
      <c r="AX432" s="24">
        <f t="shared" si="182"/>
        <v>0</v>
      </c>
      <c r="AY432" s="24"/>
      <c r="AZ432" s="24"/>
      <c r="BA432" s="24"/>
      <c r="BB432" s="24">
        <f t="shared" si="174"/>
        <v>0</v>
      </c>
      <c r="BC432" s="24">
        <f t="shared" si="175"/>
        <v>2802.5</v>
      </c>
      <c r="BD432" s="24"/>
      <c r="BE432" s="24"/>
      <c r="BF432" s="24"/>
      <c r="BG432" s="24">
        <f>+AB432*9.5%</f>
        <v>280.25</v>
      </c>
      <c r="BH432" s="24">
        <f t="shared" si="187"/>
        <v>250.75000000000003</v>
      </c>
      <c r="BI432" s="24"/>
      <c r="BJ432" s="24">
        <f t="shared" si="177"/>
        <v>5.3100000000000005</v>
      </c>
      <c r="BK432" s="24">
        <f t="shared" si="178"/>
        <v>3328.19</v>
      </c>
      <c r="BL432" s="24" t="s">
        <v>565</v>
      </c>
      <c r="BM432" s="42">
        <f t="shared" si="168"/>
        <v>2</v>
      </c>
      <c r="BN432" s="24" t="s">
        <v>83</v>
      </c>
      <c r="BO432" s="2" t="s">
        <v>175</v>
      </c>
    </row>
    <row r="433" spans="1:67" s="1" customFormat="1" ht="15" customHeight="1" x14ac:dyDescent="0.3">
      <c r="A433" s="20">
        <v>429</v>
      </c>
      <c r="B433" s="21">
        <v>46108</v>
      </c>
      <c r="C433" s="21">
        <v>46114</v>
      </c>
      <c r="D433" s="50" t="s">
        <v>2303</v>
      </c>
      <c r="E433" s="23">
        <v>46116</v>
      </c>
      <c r="F433" s="23" t="s">
        <v>7</v>
      </c>
      <c r="G433" s="24" t="s">
        <v>68</v>
      </c>
      <c r="H433" s="24" t="s">
        <v>69</v>
      </c>
      <c r="I433" s="24" t="s">
        <v>112</v>
      </c>
      <c r="J433" s="25" t="s">
        <v>157</v>
      </c>
      <c r="K433" s="45" t="str">
        <f t="shared" si="169"/>
        <v>WB39A6898</v>
      </c>
      <c r="L433" s="26">
        <v>46110</v>
      </c>
      <c r="M433" s="34" t="s">
        <v>2328</v>
      </c>
      <c r="N433" s="27" t="s">
        <v>2329</v>
      </c>
      <c r="O433" s="28">
        <v>0</v>
      </c>
      <c r="P433" s="27" t="s">
        <v>2330</v>
      </c>
      <c r="Q433" s="29">
        <v>2525381688</v>
      </c>
      <c r="R433" s="30">
        <v>2110832471</v>
      </c>
      <c r="S433" s="63" t="s">
        <v>73</v>
      </c>
      <c r="T433" s="24" t="s">
        <v>74</v>
      </c>
      <c r="U433" s="24" t="s">
        <v>75</v>
      </c>
      <c r="V433" s="32" t="s">
        <v>1713</v>
      </c>
      <c r="W433" s="32" t="s">
        <v>2331</v>
      </c>
      <c r="X433" s="32" t="s">
        <v>2332</v>
      </c>
      <c r="Y433" s="24">
        <v>675</v>
      </c>
      <c r="Z433" s="24">
        <v>10</v>
      </c>
      <c r="AA433" s="24">
        <f t="shared" si="170"/>
        <v>641.25</v>
      </c>
      <c r="AB433" s="24">
        <f t="shared" si="162"/>
        <v>6750</v>
      </c>
      <c r="AC433" s="24">
        <f t="shared" si="163"/>
        <v>6412.5</v>
      </c>
      <c r="AD433" s="24">
        <f t="shared" si="164"/>
        <v>6412.5</v>
      </c>
      <c r="AE433" s="24">
        <f t="shared" si="165"/>
        <v>337.5</v>
      </c>
      <c r="AF433" s="24">
        <f t="shared" si="185"/>
        <v>64.125</v>
      </c>
      <c r="AG433" s="33">
        <v>4200</v>
      </c>
      <c r="AH433" s="24">
        <v>300</v>
      </c>
      <c r="AI433" s="24">
        <v>4700</v>
      </c>
      <c r="AJ433" s="24"/>
      <c r="AK433" s="24"/>
      <c r="AL433" s="24"/>
      <c r="AM433" s="24" t="s">
        <v>79</v>
      </c>
      <c r="AN433" s="34" t="s">
        <v>2333</v>
      </c>
      <c r="AO433" s="35" t="s">
        <v>1673</v>
      </c>
      <c r="AP433" s="24">
        <f>138*2</f>
        <v>276</v>
      </c>
      <c r="AQ433" s="36">
        <f t="shared" si="171"/>
        <v>84.92307692307692</v>
      </c>
      <c r="AR433" s="80">
        <v>73</v>
      </c>
      <c r="AS433" s="47">
        <f t="shared" si="172"/>
        <v>-11.92307692307692</v>
      </c>
      <c r="AT433" s="31"/>
      <c r="AU433" s="47">
        <f t="shared" si="173"/>
        <v>-11.92307692307692</v>
      </c>
      <c r="AV433" s="81">
        <v>91.99</v>
      </c>
      <c r="AW433" s="24">
        <f t="shared" si="166"/>
        <v>6715.2699999999995</v>
      </c>
      <c r="AX433" s="24">
        <f t="shared" si="182"/>
        <v>170.21863547758284</v>
      </c>
      <c r="AY433" s="24">
        <v>120</v>
      </c>
      <c r="AZ433" s="24"/>
      <c r="BA433" s="24"/>
      <c r="BB433" s="24">
        <f t="shared" si="174"/>
        <v>0</v>
      </c>
      <c r="BC433" s="24">
        <f t="shared" si="175"/>
        <v>-9686.8950000000004</v>
      </c>
      <c r="BD433" s="24">
        <v>110</v>
      </c>
      <c r="BE433" s="24">
        <v>110</v>
      </c>
      <c r="BF433" s="24"/>
      <c r="BG433" s="24">
        <f t="shared" ref="BG433:BG434" si="188">+AD433*8.5%</f>
        <v>545.0625</v>
      </c>
      <c r="BH433" s="24">
        <f t="shared" ref="BH433:BH435" si="189">+AD433*8.5%</f>
        <v>545.0625</v>
      </c>
      <c r="BI433" s="24"/>
      <c r="BJ433" s="24">
        <f t="shared" si="177"/>
        <v>10.901250000000001</v>
      </c>
      <c r="BK433" s="24">
        <f t="shared" si="178"/>
        <v>-8387.6712500000012</v>
      </c>
      <c r="BL433" s="24" t="s">
        <v>163</v>
      </c>
      <c r="BM433" s="42">
        <f t="shared" si="168"/>
        <v>3</v>
      </c>
      <c r="BN433" s="24" t="s">
        <v>139</v>
      </c>
      <c r="BO433" s="2" t="s">
        <v>129</v>
      </c>
    </row>
    <row r="434" spans="1:67" s="1" customFormat="1" ht="15" customHeight="1" x14ac:dyDescent="0.3">
      <c r="A434" s="20">
        <v>430</v>
      </c>
      <c r="B434" s="21">
        <v>46108</v>
      </c>
      <c r="C434" s="21">
        <v>46114</v>
      </c>
      <c r="D434" s="50" t="s">
        <v>2303</v>
      </c>
      <c r="E434" s="23">
        <v>46116</v>
      </c>
      <c r="F434" s="23" t="s">
        <v>7</v>
      </c>
      <c r="G434" s="24" t="s">
        <v>68</v>
      </c>
      <c r="H434" s="24" t="s">
        <v>69</v>
      </c>
      <c r="I434" s="24" t="s">
        <v>112</v>
      </c>
      <c r="J434" s="25" t="s">
        <v>157</v>
      </c>
      <c r="K434" s="45" t="str">
        <f t="shared" si="169"/>
        <v>WB39A6898</v>
      </c>
      <c r="L434" s="26">
        <v>46110</v>
      </c>
      <c r="M434" s="34" t="s">
        <v>2334</v>
      </c>
      <c r="N434" s="27" t="s">
        <v>2335</v>
      </c>
      <c r="O434" s="28">
        <v>0</v>
      </c>
      <c r="P434" s="27" t="s">
        <v>2336</v>
      </c>
      <c r="Q434" s="29">
        <v>2525381686</v>
      </c>
      <c r="R434" s="30">
        <v>2110832470</v>
      </c>
      <c r="S434" s="63" t="s">
        <v>73</v>
      </c>
      <c r="T434" s="24" t="s">
        <v>74</v>
      </c>
      <c r="U434" s="24" t="s">
        <v>75</v>
      </c>
      <c r="V434" s="32" t="s">
        <v>1713</v>
      </c>
      <c r="W434" s="32" t="s">
        <v>2331</v>
      </c>
      <c r="X434" s="32"/>
      <c r="Y434" s="24">
        <v>675</v>
      </c>
      <c r="Z434" s="24">
        <v>9</v>
      </c>
      <c r="AA434" s="24">
        <f t="shared" si="170"/>
        <v>641.25</v>
      </c>
      <c r="AB434" s="24">
        <f t="shared" si="162"/>
        <v>6075</v>
      </c>
      <c r="AC434" s="24">
        <f t="shared" si="163"/>
        <v>5771.25</v>
      </c>
      <c r="AD434" s="24">
        <f t="shared" si="164"/>
        <v>5771.25</v>
      </c>
      <c r="AE434" s="24">
        <f t="shared" si="165"/>
        <v>303.75</v>
      </c>
      <c r="AF434" s="24">
        <f t="shared" si="185"/>
        <v>57.712499999999999</v>
      </c>
      <c r="AG434" s="31">
        <v>0</v>
      </c>
      <c r="AH434" s="24"/>
      <c r="AI434" s="24"/>
      <c r="AJ434" s="24"/>
      <c r="AK434" s="24"/>
      <c r="AL434" s="24"/>
      <c r="AM434" s="24">
        <v>0</v>
      </c>
      <c r="AN434" s="34" t="s">
        <v>213</v>
      </c>
      <c r="AO434" s="35"/>
      <c r="AP434" s="24"/>
      <c r="AQ434" s="36">
        <f t="shared" si="171"/>
        <v>0</v>
      </c>
      <c r="AR434" s="16">
        <v>0</v>
      </c>
      <c r="AS434" s="47">
        <f t="shared" si="172"/>
        <v>0</v>
      </c>
      <c r="AT434" s="31"/>
      <c r="AU434" s="47">
        <f t="shared" si="173"/>
        <v>0</v>
      </c>
      <c r="AV434" s="48">
        <v>0</v>
      </c>
      <c r="AW434" s="24">
        <f t="shared" si="166"/>
        <v>0</v>
      </c>
      <c r="AX434" s="24">
        <f t="shared" si="182"/>
        <v>0</v>
      </c>
      <c r="AY434" s="24"/>
      <c r="AZ434" s="24"/>
      <c r="BA434" s="24"/>
      <c r="BB434" s="24">
        <f t="shared" si="174"/>
        <v>0</v>
      </c>
      <c r="BC434" s="24">
        <f t="shared" si="175"/>
        <v>5713.5375000000004</v>
      </c>
      <c r="BD434" s="24"/>
      <c r="BE434" s="24"/>
      <c r="BF434" s="24"/>
      <c r="BG434" s="24">
        <f t="shared" si="188"/>
        <v>490.55625000000003</v>
      </c>
      <c r="BH434" s="24">
        <f t="shared" si="189"/>
        <v>490.55625000000003</v>
      </c>
      <c r="BI434" s="24"/>
      <c r="BJ434" s="24">
        <f t="shared" si="177"/>
        <v>9.8111250000000005</v>
      </c>
      <c r="BK434" s="24">
        <f t="shared" si="178"/>
        <v>6684.8388749999995</v>
      </c>
      <c r="BL434" s="24" t="s">
        <v>163</v>
      </c>
      <c r="BM434" s="42">
        <f t="shared" si="168"/>
        <v>3</v>
      </c>
      <c r="BN434" s="24" t="s">
        <v>139</v>
      </c>
      <c r="BO434" s="2" t="s">
        <v>129</v>
      </c>
    </row>
    <row r="435" spans="1:67" s="1" customFormat="1" ht="15" customHeight="1" x14ac:dyDescent="0.3">
      <c r="A435" s="20">
        <v>431</v>
      </c>
      <c r="B435" s="21">
        <v>46109</v>
      </c>
      <c r="C435" s="21">
        <v>46114</v>
      </c>
      <c r="D435" s="62" t="s">
        <v>2303</v>
      </c>
      <c r="E435" s="74">
        <v>46116</v>
      </c>
      <c r="F435" s="23" t="s">
        <v>7</v>
      </c>
      <c r="G435" s="24" t="s">
        <v>68</v>
      </c>
      <c r="H435" s="24" t="s">
        <v>69</v>
      </c>
      <c r="I435" s="24" t="s">
        <v>70</v>
      </c>
      <c r="J435" s="25" t="s">
        <v>71</v>
      </c>
      <c r="K435" s="45" t="str">
        <f t="shared" si="169"/>
        <v>WB39B0034</v>
      </c>
      <c r="L435" s="26">
        <v>46110</v>
      </c>
      <c r="M435" s="34" t="s">
        <v>2337</v>
      </c>
      <c r="N435" s="27">
        <v>8100961937</v>
      </c>
      <c r="O435" s="28">
        <v>0</v>
      </c>
      <c r="P435" s="27" t="s">
        <v>2338</v>
      </c>
      <c r="Q435" s="85">
        <v>2525381893</v>
      </c>
      <c r="R435" s="85">
        <v>2110832889</v>
      </c>
      <c r="S435" s="31" t="s">
        <v>73</v>
      </c>
      <c r="T435" s="24" t="s">
        <v>74</v>
      </c>
      <c r="U435" s="24" t="s">
        <v>75</v>
      </c>
      <c r="V435" s="32" t="s">
        <v>2339</v>
      </c>
      <c r="W435" s="32" t="s">
        <v>2340</v>
      </c>
      <c r="X435" s="32" t="s">
        <v>2340</v>
      </c>
      <c r="Y435" s="24">
        <v>506</v>
      </c>
      <c r="Z435" s="24">
        <v>19</v>
      </c>
      <c r="AA435" s="24">
        <f t="shared" si="170"/>
        <v>480.7</v>
      </c>
      <c r="AB435" s="24">
        <f t="shared" si="162"/>
        <v>9614</v>
      </c>
      <c r="AC435" s="24">
        <f t="shared" si="163"/>
        <v>9133.2999999999993</v>
      </c>
      <c r="AD435" s="24">
        <f t="shared" si="164"/>
        <v>9133.2999999999993</v>
      </c>
      <c r="AE435" s="24">
        <f t="shared" si="165"/>
        <v>480.70000000000073</v>
      </c>
      <c r="AF435" s="24">
        <f t="shared" si="185"/>
        <v>91.332999999999998</v>
      </c>
      <c r="AG435" s="33">
        <v>3000</v>
      </c>
      <c r="AH435" s="24"/>
      <c r="AI435" s="24"/>
      <c r="AJ435" s="24"/>
      <c r="AK435" s="24"/>
      <c r="AL435" s="24"/>
      <c r="AM435" s="24" t="s">
        <v>79</v>
      </c>
      <c r="AN435" s="34" t="s">
        <v>2341</v>
      </c>
      <c r="AO435" s="35" t="s">
        <v>1673</v>
      </c>
      <c r="AP435" s="24">
        <f>78*2</f>
        <v>156</v>
      </c>
      <c r="AQ435" s="36">
        <f t="shared" si="171"/>
        <v>48</v>
      </c>
      <c r="AR435" s="80">
        <v>50</v>
      </c>
      <c r="AS435" s="47">
        <f t="shared" si="172"/>
        <v>2</v>
      </c>
      <c r="AT435" s="31"/>
      <c r="AU435" s="47">
        <f t="shared" si="173"/>
        <v>2</v>
      </c>
      <c r="AV435" s="81">
        <v>91.99</v>
      </c>
      <c r="AW435" s="24">
        <f t="shared" si="166"/>
        <v>4599.5</v>
      </c>
      <c r="AX435" s="24">
        <f t="shared" si="182"/>
        <v>83.206508052949104</v>
      </c>
      <c r="AY435" s="24"/>
      <c r="AZ435" s="24"/>
      <c r="BA435" s="24"/>
      <c r="BB435" s="24">
        <f t="shared" si="174"/>
        <v>0</v>
      </c>
      <c r="BC435" s="24">
        <f t="shared" si="175"/>
        <v>1442.4669999999987</v>
      </c>
      <c r="BD435" s="24">
        <v>110</v>
      </c>
      <c r="BE435" s="24">
        <v>110</v>
      </c>
      <c r="BF435" s="24"/>
      <c r="BG435" s="24">
        <f>+AD435*8.5%</f>
        <v>776.33050000000003</v>
      </c>
      <c r="BH435" s="24">
        <f t="shared" si="189"/>
        <v>776.33050000000003</v>
      </c>
      <c r="BI435" s="24"/>
      <c r="BJ435" s="24">
        <f t="shared" si="177"/>
        <v>15.526610000000002</v>
      </c>
      <c r="BK435" s="24">
        <f t="shared" si="178"/>
        <v>3199.6013899999989</v>
      </c>
      <c r="BL435" s="24" t="s">
        <v>82</v>
      </c>
      <c r="BM435" s="42">
        <f t="shared" si="168"/>
        <v>2</v>
      </c>
      <c r="BN435" s="24" t="s">
        <v>83</v>
      </c>
      <c r="BO435" s="2" t="s">
        <v>148</v>
      </c>
    </row>
    <row r="436" spans="1:67" s="1" customFormat="1" ht="15" customHeight="1" x14ac:dyDescent="0.3">
      <c r="A436" s="20">
        <v>432</v>
      </c>
      <c r="B436" s="21">
        <v>46109</v>
      </c>
      <c r="C436" s="21">
        <v>46114</v>
      </c>
      <c r="D436" s="62" t="s">
        <v>2303</v>
      </c>
      <c r="E436" s="74">
        <v>46116</v>
      </c>
      <c r="F436" s="23" t="s">
        <v>7</v>
      </c>
      <c r="G436" s="24" t="s">
        <v>68</v>
      </c>
      <c r="H436" s="24" t="s">
        <v>69</v>
      </c>
      <c r="I436" s="24" t="s">
        <v>141</v>
      </c>
      <c r="J436" s="25" t="s">
        <v>246</v>
      </c>
      <c r="K436" s="45" t="str">
        <f t="shared" si="169"/>
        <v>WB41F4393</v>
      </c>
      <c r="L436" s="26">
        <v>46110</v>
      </c>
      <c r="M436" s="34" t="s">
        <v>2342</v>
      </c>
      <c r="N436" s="27">
        <v>8100962038</v>
      </c>
      <c r="O436" s="28">
        <v>0</v>
      </c>
      <c r="P436" s="27" t="s">
        <v>2343</v>
      </c>
      <c r="Q436" s="85">
        <v>2525381956</v>
      </c>
      <c r="R436" s="85">
        <v>2110833015</v>
      </c>
      <c r="S436" s="31" t="s">
        <v>73</v>
      </c>
      <c r="T436" s="24" t="s">
        <v>91</v>
      </c>
      <c r="U436" s="24" t="s">
        <v>75</v>
      </c>
      <c r="V436" s="32" t="s">
        <v>1297</v>
      </c>
      <c r="W436" s="32" t="s">
        <v>1298</v>
      </c>
      <c r="X436" s="32" t="s">
        <v>1298</v>
      </c>
      <c r="Y436" s="24">
        <v>982</v>
      </c>
      <c r="Z436" s="24">
        <v>25</v>
      </c>
      <c r="AA436" s="24">
        <f t="shared" si="170"/>
        <v>932.9</v>
      </c>
      <c r="AB436" s="24">
        <f t="shared" si="162"/>
        <v>24550</v>
      </c>
      <c r="AC436" s="24">
        <f t="shared" si="163"/>
        <v>23322.5</v>
      </c>
      <c r="AD436" s="24">
        <f t="shared" si="164"/>
        <v>23322.5</v>
      </c>
      <c r="AE436" s="24">
        <f t="shared" si="165"/>
        <v>1227.5</v>
      </c>
      <c r="AF436" s="24">
        <f t="shared" si="185"/>
        <v>233.22499999999999</v>
      </c>
      <c r="AG436" s="33">
        <v>3950</v>
      </c>
      <c r="AH436" s="24"/>
      <c r="AI436" s="24"/>
      <c r="AJ436" s="24"/>
      <c r="AK436" s="24"/>
      <c r="AL436" s="24"/>
      <c r="AM436" s="24" t="s">
        <v>79</v>
      </c>
      <c r="AN436" s="34" t="s">
        <v>2344</v>
      </c>
      <c r="AO436" s="35" t="s">
        <v>1673</v>
      </c>
      <c r="AP436" s="24">
        <f>215*2</f>
        <v>430</v>
      </c>
      <c r="AQ436" s="36">
        <f t="shared" si="171"/>
        <v>132.30769230769232</v>
      </c>
      <c r="AR436" s="80">
        <v>125</v>
      </c>
      <c r="AS436" s="47">
        <f t="shared" si="172"/>
        <v>-7.3076923076923208</v>
      </c>
      <c r="AT436" s="31"/>
      <c r="AU436" s="47">
        <f t="shared" si="173"/>
        <v>-7.3076923076923208</v>
      </c>
      <c r="AV436" s="81">
        <v>91.99</v>
      </c>
      <c r="AW436" s="24">
        <f t="shared" si="166"/>
        <v>11498.75</v>
      </c>
      <c r="AX436" s="24">
        <f t="shared" si="182"/>
        <v>66.239682709829566</v>
      </c>
      <c r="AY436" s="24"/>
      <c r="AZ436" s="24"/>
      <c r="BA436" s="24"/>
      <c r="BB436" s="24">
        <f t="shared" si="174"/>
        <v>0</v>
      </c>
      <c r="BC436" s="24">
        <f t="shared" si="175"/>
        <v>7640.5250000000015</v>
      </c>
      <c r="BD436" s="24"/>
      <c r="BE436" s="24"/>
      <c r="BF436" s="24"/>
      <c r="BG436" s="24">
        <f>+AB436*9.5%</f>
        <v>2332.25</v>
      </c>
      <c r="BH436" s="24"/>
      <c r="BI436" s="24"/>
      <c r="BJ436" s="24">
        <f t="shared" si="177"/>
        <v>23.322500000000002</v>
      </c>
      <c r="BK436" s="24">
        <f t="shared" si="178"/>
        <v>9949.4525000000012</v>
      </c>
      <c r="BL436" s="24" t="s">
        <v>253</v>
      </c>
      <c r="BM436" s="42">
        <f t="shared" si="168"/>
        <v>2</v>
      </c>
      <c r="BN436" s="24" t="s">
        <v>83</v>
      </c>
      <c r="BO436" s="2" t="s">
        <v>148</v>
      </c>
    </row>
    <row r="437" spans="1:67" s="1" customFormat="1" ht="15" customHeight="1" x14ac:dyDescent="0.3">
      <c r="A437" s="20">
        <v>433</v>
      </c>
      <c r="B437" s="21">
        <v>46109</v>
      </c>
      <c r="C437" s="21">
        <v>46114</v>
      </c>
      <c r="D437" s="62" t="s">
        <v>2303</v>
      </c>
      <c r="E437" s="74">
        <v>46116</v>
      </c>
      <c r="F437" s="23" t="s">
        <v>7</v>
      </c>
      <c r="G437" s="24" t="s">
        <v>68</v>
      </c>
      <c r="H437" s="24" t="s">
        <v>69</v>
      </c>
      <c r="I437" s="24" t="s">
        <v>70</v>
      </c>
      <c r="J437" s="25" t="s">
        <v>612</v>
      </c>
      <c r="K437" s="45" t="str">
        <f t="shared" si="169"/>
        <v>WB39B2382</v>
      </c>
      <c r="L437" s="26">
        <v>46111</v>
      </c>
      <c r="M437" s="34" t="s">
        <v>2345</v>
      </c>
      <c r="N437" s="27">
        <v>8100962094</v>
      </c>
      <c r="O437" s="28">
        <v>0</v>
      </c>
      <c r="P437" s="27" t="s">
        <v>2346</v>
      </c>
      <c r="Q437" s="85">
        <v>2525381992</v>
      </c>
      <c r="R437" s="85">
        <v>2110833064</v>
      </c>
      <c r="S437" s="31" t="s">
        <v>73</v>
      </c>
      <c r="T437" s="24" t="s">
        <v>91</v>
      </c>
      <c r="U437" s="24" t="s">
        <v>75</v>
      </c>
      <c r="V437" s="32" t="s">
        <v>179</v>
      </c>
      <c r="W437" s="32" t="s">
        <v>180</v>
      </c>
      <c r="X437" s="32" t="s">
        <v>180</v>
      </c>
      <c r="Y437" s="24">
        <v>1047</v>
      </c>
      <c r="Z437" s="24">
        <v>25</v>
      </c>
      <c r="AA437" s="24">
        <f t="shared" si="170"/>
        <v>994.65000000000009</v>
      </c>
      <c r="AB437" s="24">
        <f t="shared" si="162"/>
        <v>26175</v>
      </c>
      <c r="AC437" s="24">
        <f t="shared" si="163"/>
        <v>24866.25</v>
      </c>
      <c r="AD437" s="24">
        <f t="shared" si="164"/>
        <v>24866.250000000004</v>
      </c>
      <c r="AE437" s="24">
        <f t="shared" si="165"/>
        <v>1308.7499999999964</v>
      </c>
      <c r="AF437" s="24">
        <f t="shared" si="185"/>
        <v>248.66250000000005</v>
      </c>
      <c r="AG437" s="33">
        <v>4700</v>
      </c>
      <c r="AH437" s="24"/>
      <c r="AI437" s="24"/>
      <c r="AJ437" s="24"/>
      <c r="AK437" s="24"/>
      <c r="AL437" s="24"/>
      <c r="AM437" s="24" t="s">
        <v>79</v>
      </c>
      <c r="AN437" s="34" t="s">
        <v>2347</v>
      </c>
      <c r="AO437" s="35" t="s">
        <v>1673</v>
      </c>
      <c r="AP437" s="24">
        <f>250*2</f>
        <v>500</v>
      </c>
      <c r="AQ437" s="36">
        <f t="shared" si="171"/>
        <v>153.84615384615384</v>
      </c>
      <c r="AR437" s="80">
        <v>161</v>
      </c>
      <c r="AS437" s="47">
        <f t="shared" si="172"/>
        <v>7.1538461538461604</v>
      </c>
      <c r="AT437" s="31"/>
      <c r="AU437" s="47">
        <f t="shared" si="173"/>
        <v>7.1538461538461604</v>
      </c>
      <c r="AV437" s="81">
        <v>91.99</v>
      </c>
      <c r="AW437" s="24">
        <f t="shared" si="166"/>
        <v>14810.39</v>
      </c>
      <c r="AX437" s="24">
        <f t="shared" si="182"/>
        <v>78.461328105363677</v>
      </c>
      <c r="AY437" s="24"/>
      <c r="AZ437" s="24"/>
      <c r="BA437" s="24"/>
      <c r="BB437" s="24">
        <f t="shared" si="174"/>
        <v>0</v>
      </c>
      <c r="BC437" s="24">
        <f t="shared" si="175"/>
        <v>5107.1975000000057</v>
      </c>
      <c r="BD437" s="24"/>
      <c r="BE437" s="24"/>
      <c r="BF437" s="24"/>
      <c r="BG437" s="24">
        <f>+AD437*9.5%</f>
        <v>2362.2937500000003</v>
      </c>
      <c r="BH437" s="24"/>
      <c r="BI437" s="24"/>
      <c r="BJ437" s="24">
        <f t="shared" si="177"/>
        <v>23.622937500000003</v>
      </c>
      <c r="BK437" s="24">
        <f t="shared" si="178"/>
        <v>7445.8683125000061</v>
      </c>
      <c r="BL437" s="24" t="s">
        <v>618</v>
      </c>
      <c r="BM437" s="42">
        <f t="shared" si="168"/>
        <v>3</v>
      </c>
      <c r="BN437" s="24" t="s">
        <v>139</v>
      </c>
      <c r="BO437" s="2" t="s">
        <v>175</v>
      </c>
    </row>
    <row r="438" spans="1:67" s="1" customFormat="1" ht="15" customHeight="1" x14ac:dyDescent="0.3">
      <c r="A438" s="20">
        <v>434</v>
      </c>
      <c r="B438" s="21">
        <v>46109</v>
      </c>
      <c r="C438" s="21">
        <v>46114</v>
      </c>
      <c r="D438" s="62" t="s">
        <v>2303</v>
      </c>
      <c r="E438" s="74">
        <v>46116</v>
      </c>
      <c r="F438" s="23" t="s">
        <v>7</v>
      </c>
      <c r="G438" s="24" t="s">
        <v>68</v>
      </c>
      <c r="H438" s="24" t="s">
        <v>69</v>
      </c>
      <c r="I438" s="24" t="s">
        <v>389</v>
      </c>
      <c r="J438" s="25" t="s">
        <v>372</v>
      </c>
      <c r="K438" s="45" t="str">
        <f t="shared" si="169"/>
        <v>WB39G7433</v>
      </c>
      <c r="L438" s="26">
        <v>46111</v>
      </c>
      <c r="M438" s="34" t="s">
        <v>2348</v>
      </c>
      <c r="N438" s="27">
        <v>8100962097</v>
      </c>
      <c r="O438" s="28">
        <v>0</v>
      </c>
      <c r="P438" s="27" t="s">
        <v>2349</v>
      </c>
      <c r="Q438" s="85">
        <v>2525381994</v>
      </c>
      <c r="R438" s="85">
        <v>2110833068</v>
      </c>
      <c r="S438" s="63" t="s">
        <v>73</v>
      </c>
      <c r="T438" s="24" t="s">
        <v>91</v>
      </c>
      <c r="U438" s="24" t="s">
        <v>75</v>
      </c>
      <c r="V438" s="32" t="s">
        <v>908</v>
      </c>
      <c r="W438" s="32" t="s">
        <v>1197</v>
      </c>
      <c r="X438" s="32" t="s">
        <v>2350</v>
      </c>
      <c r="Y438" s="24">
        <v>1063</v>
      </c>
      <c r="Z438" s="24">
        <v>25</v>
      </c>
      <c r="AA438" s="24">
        <f t="shared" si="170"/>
        <v>1009.85</v>
      </c>
      <c r="AB438" s="24">
        <f t="shared" si="162"/>
        <v>26575</v>
      </c>
      <c r="AC438" s="24">
        <f t="shared" si="163"/>
        <v>25246.25</v>
      </c>
      <c r="AD438" s="24">
        <f t="shared" si="164"/>
        <v>25246.25</v>
      </c>
      <c r="AE438" s="24">
        <f t="shared" si="165"/>
        <v>1328.75</v>
      </c>
      <c r="AF438" s="24">
        <f>+AD438*1%</f>
        <v>252.46250000000001</v>
      </c>
      <c r="AG438" s="33">
        <v>3700</v>
      </c>
      <c r="AH438" s="24"/>
      <c r="AI438" s="24"/>
      <c r="AJ438" s="24"/>
      <c r="AK438" s="24"/>
      <c r="AL438" s="24"/>
      <c r="AM438" s="24" t="s">
        <v>79</v>
      </c>
      <c r="AN438" s="34" t="s">
        <v>2351</v>
      </c>
      <c r="AO438" s="35" t="s">
        <v>1673</v>
      </c>
      <c r="AP438" s="24">
        <f>251*2</f>
        <v>502</v>
      </c>
      <c r="AQ438" s="36">
        <f t="shared" si="171"/>
        <v>154.46153846153845</v>
      </c>
      <c r="AR438" s="80">
        <v>155</v>
      </c>
      <c r="AS438" s="47">
        <f t="shared" si="172"/>
        <v>0.53846153846154721</v>
      </c>
      <c r="AT438" s="31"/>
      <c r="AU438" s="47">
        <f t="shared" si="173"/>
        <v>0.53846153846154721</v>
      </c>
      <c r="AV438" s="81">
        <v>91.99</v>
      </c>
      <c r="AW438" s="24">
        <f t="shared" si="166"/>
        <v>14258.449999999999</v>
      </c>
      <c r="AX438" s="24">
        <f t="shared" si="182"/>
        <v>71.133138584938351</v>
      </c>
      <c r="AY438" s="24"/>
      <c r="AZ438" s="24"/>
      <c r="BA438" s="24"/>
      <c r="BB438" s="24">
        <f t="shared" si="174"/>
        <v>0</v>
      </c>
      <c r="BC438" s="24">
        <f t="shared" si="175"/>
        <v>7035.3374999999996</v>
      </c>
      <c r="BD438" s="24"/>
      <c r="BE438" s="24"/>
      <c r="BF438" s="24"/>
      <c r="BG438" s="24">
        <f>+AB438*9.5%</f>
        <v>2524.625</v>
      </c>
      <c r="BH438" s="24"/>
      <c r="BI438" s="24"/>
      <c r="BJ438" s="24">
        <f t="shared" si="177"/>
        <v>25.24625</v>
      </c>
      <c r="BK438" s="24">
        <f t="shared" si="178"/>
        <v>9534.7162499999995</v>
      </c>
      <c r="BL438" s="24" t="s">
        <v>379</v>
      </c>
      <c r="BM438" s="42">
        <f t="shared" si="168"/>
        <v>3</v>
      </c>
      <c r="BN438" s="24" t="s">
        <v>139</v>
      </c>
      <c r="BO438" s="2" t="s">
        <v>148</v>
      </c>
    </row>
    <row r="439" spans="1:67" s="1" customFormat="1" ht="15" customHeight="1" x14ac:dyDescent="0.3">
      <c r="A439" s="20">
        <v>435</v>
      </c>
      <c r="B439" s="21">
        <v>46109</v>
      </c>
      <c r="C439" s="21">
        <v>46119</v>
      </c>
      <c r="D439" s="50" t="s">
        <v>2058</v>
      </c>
      <c r="E439" s="23">
        <v>46123</v>
      </c>
      <c r="F439" s="23" t="s">
        <v>7</v>
      </c>
      <c r="G439" s="24" t="s">
        <v>68</v>
      </c>
      <c r="H439" s="24" t="s">
        <v>69</v>
      </c>
      <c r="I439" s="24" t="s">
        <v>236</v>
      </c>
      <c r="J439" s="25" t="s">
        <v>681</v>
      </c>
      <c r="K439" s="45" t="str">
        <f t="shared" si="169"/>
        <v>WB41J9696</v>
      </c>
      <c r="L439" s="26">
        <v>46113</v>
      </c>
      <c r="M439" s="34" t="s">
        <v>2352</v>
      </c>
      <c r="N439" s="27">
        <v>8100962556</v>
      </c>
      <c r="O439" s="28">
        <v>0</v>
      </c>
      <c r="P439" s="27" t="s">
        <v>2353</v>
      </c>
      <c r="Q439" s="85">
        <v>2525382223</v>
      </c>
      <c r="R439" s="85">
        <v>2110833408</v>
      </c>
      <c r="S439" s="31" t="s">
        <v>73</v>
      </c>
      <c r="T439" s="24" t="s">
        <v>241</v>
      </c>
      <c r="U439" s="24" t="s">
        <v>75</v>
      </c>
      <c r="V439" s="32" t="s">
        <v>504</v>
      </c>
      <c r="W439" s="32" t="s">
        <v>505</v>
      </c>
      <c r="X439" s="32" t="s">
        <v>2354</v>
      </c>
      <c r="Y439" s="24">
        <v>1385</v>
      </c>
      <c r="Z439" s="24">
        <v>30</v>
      </c>
      <c r="AA439" s="24">
        <f t="shared" si="170"/>
        <v>1315.75</v>
      </c>
      <c r="AB439" s="24">
        <f t="shared" si="162"/>
        <v>41550</v>
      </c>
      <c r="AC439" s="24">
        <f t="shared" si="163"/>
        <v>39472.5</v>
      </c>
      <c r="AD439" s="24">
        <f t="shared" si="164"/>
        <v>39472.5</v>
      </c>
      <c r="AE439" s="24">
        <f t="shared" si="165"/>
        <v>2077.5</v>
      </c>
      <c r="AF439" s="24">
        <v>0</v>
      </c>
      <c r="AG439" s="33">
        <v>5000</v>
      </c>
      <c r="AH439" s="24"/>
      <c r="AI439" s="24"/>
      <c r="AJ439" s="24"/>
      <c r="AK439" s="24"/>
      <c r="AL439" s="24"/>
      <c r="AM439" s="24" t="s">
        <v>79</v>
      </c>
      <c r="AN439" s="34" t="s">
        <v>2355</v>
      </c>
      <c r="AO439" s="35" t="s">
        <v>1673</v>
      </c>
      <c r="AP439" s="24">
        <f>337*2</f>
        <v>674</v>
      </c>
      <c r="AQ439" s="36">
        <f t="shared" si="171"/>
        <v>207.38461538461539</v>
      </c>
      <c r="AR439" s="80">
        <v>245</v>
      </c>
      <c r="AS439" s="47">
        <f t="shared" si="172"/>
        <v>37.615384615384613</v>
      </c>
      <c r="AT439" s="31"/>
      <c r="AU439" s="47">
        <f t="shared" si="173"/>
        <v>37.615384615384613</v>
      </c>
      <c r="AV439" s="81">
        <v>91.99</v>
      </c>
      <c r="AW439" s="24">
        <f t="shared" si="166"/>
        <v>22537.55</v>
      </c>
      <c r="AX439" s="24">
        <f t="shared" si="182"/>
        <v>69.76388624992083</v>
      </c>
      <c r="AY439" s="24"/>
      <c r="AZ439" s="24"/>
      <c r="BA439" s="24"/>
      <c r="BB439" s="24">
        <f t="shared" si="174"/>
        <v>0</v>
      </c>
      <c r="BC439" s="24">
        <f t="shared" si="175"/>
        <v>11934.95</v>
      </c>
      <c r="BD439" s="24"/>
      <c r="BE439" s="24"/>
      <c r="BF439" s="24"/>
      <c r="BG439" s="24">
        <f>+AB439*9.5%</f>
        <v>3947.25</v>
      </c>
      <c r="BH439" s="24"/>
      <c r="BI439" s="24"/>
      <c r="BJ439" s="24">
        <f t="shared" si="177"/>
        <v>39.472500000000004</v>
      </c>
      <c r="BK439" s="24">
        <f t="shared" si="178"/>
        <v>15842.727500000001</v>
      </c>
      <c r="BL439" s="24" t="s">
        <v>687</v>
      </c>
      <c r="BM439" s="42">
        <f t="shared" si="168"/>
        <v>5</v>
      </c>
      <c r="BN439" s="24" t="s">
        <v>1542</v>
      </c>
      <c r="BO439" s="2" t="s">
        <v>424</v>
      </c>
    </row>
    <row r="440" spans="1:67" s="1" customFormat="1" ht="15" customHeight="1" x14ac:dyDescent="0.3">
      <c r="A440" s="20">
        <v>436</v>
      </c>
      <c r="B440" s="21">
        <v>46109</v>
      </c>
      <c r="C440" s="21">
        <v>46114</v>
      </c>
      <c r="D440" s="50" t="s">
        <v>813</v>
      </c>
      <c r="E440" s="23">
        <v>46151</v>
      </c>
      <c r="F440" s="23" t="s">
        <v>7</v>
      </c>
      <c r="G440" s="24" t="s">
        <v>68</v>
      </c>
      <c r="H440" s="24" t="s">
        <v>69</v>
      </c>
      <c r="I440" s="24" t="s">
        <v>70</v>
      </c>
      <c r="J440" s="25" t="s">
        <v>203</v>
      </c>
      <c r="K440" s="45" t="str">
        <f t="shared" si="169"/>
        <v>WB39B0800</v>
      </c>
      <c r="L440" s="26">
        <v>46110</v>
      </c>
      <c r="M440" s="34" t="s">
        <v>2356</v>
      </c>
      <c r="N440" s="27">
        <v>8100962765</v>
      </c>
      <c r="O440" s="28">
        <v>0</v>
      </c>
      <c r="P440" s="27" t="s">
        <v>2357</v>
      </c>
      <c r="Q440" s="85">
        <v>2525382354</v>
      </c>
      <c r="R440" s="85">
        <v>2110833579</v>
      </c>
      <c r="S440" s="31" t="s">
        <v>73</v>
      </c>
      <c r="T440" s="24" t="s">
        <v>74</v>
      </c>
      <c r="U440" s="24" t="s">
        <v>75</v>
      </c>
      <c r="V440" s="32" t="s">
        <v>817</v>
      </c>
      <c r="W440" s="32" t="s">
        <v>818</v>
      </c>
      <c r="X440" s="32" t="s">
        <v>2358</v>
      </c>
      <c r="Y440" s="24">
        <v>499</v>
      </c>
      <c r="Z440" s="24">
        <v>19</v>
      </c>
      <c r="AA440" s="24">
        <f t="shared" si="170"/>
        <v>474.05</v>
      </c>
      <c r="AB440" s="24">
        <f t="shared" si="162"/>
        <v>9481</v>
      </c>
      <c r="AC440" s="24">
        <f t="shared" si="163"/>
        <v>9006.9500000000007</v>
      </c>
      <c r="AD440" s="24">
        <f t="shared" si="164"/>
        <v>9006.9500000000007</v>
      </c>
      <c r="AE440" s="24">
        <f t="shared" si="165"/>
        <v>474.04999999999927</v>
      </c>
      <c r="AF440" s="24">
        <f t="shared" si="185"/>
        <v>90.069500000000005</v>
      </c>
      <c r="AG440" s="33">
        <v>3100</v>
      </c>
      <c r="AH440" s="24"/>
      <c r="AI440" s="24"/>
      <c r="AJ440" s="24"/>
      <c r="AK440" s="24"/>
      <c r="AL440" s="24"/>
      <c r="AM440" s="24" t="s">
        <v>79</v>
      </c>
      <c r="AN440" s="34" t="s">
        <v>2359</v>
      </c>
      <c r="AO440" s="35" t="s">
        <v>1673</v>
      </c>
      <c r="AP440" s="24">
        <f>80*2</f>
        <v>160</v>
      </c>
      <c r="AQ440" s="36">
        <f t="shared" si="171"/>
        <v>49.230769230769234</v>
      </c>
      <c r="AR440" s="80">
        <v>52</v>
      </c>
      <c r="AS440" s="47">
        <f t="shared" si="172"/>
        <v>2.7692307692307665</v>
      </c>
      <c r="AT440" s="31"/>
      <c r="AU440" s="47">
        <f t="shared" si="173"/>
        <v>2.7692307692307665</v>
      </c>
      <c r="AV440" s="81">
        <v>91.99</v>
      </c>
      <c r="AW440" s="24">
        <f t="shared" si="166"/>
        <v>4783.4799999999996</v>
      </c>
      <c r="AX440" s="24">
        <f t="shared" si="182"/>
        <v>87.526632211791991</v>
      </c>
      <c r="AY440" s="24">
        <v>120</v>
      </c>
      <c r="AZ440" s="24"/>
      <c r="BA440" s="24"/>
      <c r="BB440" s="24">
        <f t="shared" si="174"/>
        <v>0</v>
      </c>
      <c r="BC440" s="24">
        <f t="shared" si="175"/>
        <v>913.40050000000156</v>
      </c>
      <c r="BD440" s="24">
        <v>110</v>
      </c>
      <c r="BE440" s="24">
        <v>110</v>
      </c>
      <c r="BF440" s="24"/>
      <c r="BG440" s="24">
        <f>+AD440*8.5%</f>
        <v>765.59075000000007</v>
      </c>
      <c r="BH440" s="24">
        <f>+AD440*8.5%</f>
        <v>765.59075000000007</v>
      </c>
      <c r="BI440" s="24"/>
      <c r="BJ440" s="24">
        <f t="shared" si="177"/>
        <v>15.311815000000001</v>
      </c>
      <c r="BK440" s="24">
        <f t="shared" si="178"/>
        <v>2649.2701850000017</v>
      </c>
      <c r="BL440" s="24" t="s">
        <v>82</v>
      </c>
      <c r="BM440" s="42">
        <f t="shared" si="168"/>
        <v>2</v>
      </c>
      <c r="BN440" s="24" t="s">
        <v>83</v>
      </c>
      <c r="BO440" s="2" t="s">
        <v>175</v>
      </c>
    </row>
    <row r="441" spans="1:67" s="1" customFormat="1" ht="15" customHeight="1" x14ac:dyDescent="0.3">
      <c r="A441" s="20">
        <v>437</v>
      </c>
      <c r="B441" s="21">
        <v>46109</v>
      </c>
      <c r="C441" s="21">
        <v>46114</v>
      </c>
      <c r="D441" s="62" t="s">
        <v>2360</v>
      </c>
      <c r="E441" s="23">
        <v>46116</v>
      </c>
      <c r="F441" s="23" t="s">
        <v>7</v>
      </c>
      <c r="G441" s="24" t="s">
        <v>68</v>
      </c>
      <c r="H441" s="24" t="s">
        <v>69</v>
      </c>
      <c r="I441" s="24" t="s">
        <v>263</v>
      </c>
      <c r="J441" s="25" t="s">
        <v>264</v>
      </c>
      <c r="K441" s="45" t="str">
        <f t="shared" si="169"/>
        <v>WB41G1024</v>
      </c>
      <c r="L441" s="26">
        <v>46110</v>
      </c>
      <c r="M441" s="34" t="s">
        <v>2361</v>
      </c>
      <c r="N441" s="27">
        <v>8100962777</v>
      </c>
      <c r="O441" s="28">
        <v>0</v>
      </c>
      <c r="P441" s="27" t="s">
        <v>2362</v>
      </c>
      <c r="Q441" s="85">
        <v>2525382361</v>
      </c>
      <c r="R441" s="85">
        <v>2110833601</v>
      </c>
      <c r="S441" s="31" t="s">
        <v>73</v>
      </c>
      <c r="T441" s="24" t="s">
        <v>91</v>
      </c>
      <c r="U441" s="24" t="s">
        <v>75</v>
      </c>
      <c r="V441" s="32" t="s">
        <v>2363</v>
      </c>
      <c r="W441" s="32" t="s">
        <v>2364</v>
      </c>
      <c r="X441" s="32" t="s">
        <v>2364</v>
      </c>
      <c r="Y441" s="24">
        <v>1070</v>
      </c>
      <c r="Z441" s="24">
        <v>25</v>
      </c>
      <c r="AA441" s="24">
        <f t="shared" si="170"/>
        <v>1016.4999999999999</v>
      </c>
      <c r="AB441" s="24">
        <f t="shared" si="162"/>
        <v>26750</v>
      </c>
      <c r="AC441" s="24">
        <f t="shared" si="163"/>
        <v>25412.5</v>
      </c>
      <c r="AD441" s="24">
        <f t="shared" si="164"/>
        <v>25412.499999999996</v>
      </c>
      <c r="AE441" s="24">
        <f t="shared" si="165"/>
        <v>1337.5000000000036</v>
      </c>
      <c r="AF441" s="24">
        <v>0</v>
      </c>
      <c r="AG441" s="33">
        <v>3800</v>
      </c>
      <c r="AH441" s="24"/>
      <c r="AI441" s="24"/>
      <c r="AJ441" s="24"/>
      <c r="AK441" s="24"/>
      <c r="AL441" s="24"/>
      <c r="AM441" s="24" t="s">
        <v>79</v>
      </c>
      <c r="AN441" s="34" t="s">
        <v>2365</v>
      </c>
      <c r="AO441" s="35" t="s">
        <v>1673</v>
      </c>
      <c r="AP441" s="24">
        <f>239*2</f>
        <v>478</v>
      </c>
      <c r="AQ441" s="36">
        <f t="shared" si="171"/>
        <v>147.07692307692307</v>
      </c>
      <c r="AR441" s="80">
        <v>160</v>
      </c>
      <c r="AS441" s="47">
        <f t="shared" si="172"/>
        <v>12.923076923076934</v>
      </c>
      <c r="AT441" s="31"/>
      <c r="AU441" s="47">
        <f t="shared" si="173"/>
        <v>12.923076923076934</v>
      </c>
      <c r="AV441" s="81">
        <v>91.99</v>
      </c>
      <c r="AW441" s="24">
        <f t="shared" si="166"/>
        <v>14718.4</v>
      </c>
      <c r="AX441" s="24">
        <f t="shared" si="182"/>
        <v>72.871224790949356</v>
      </c>
      <c r="AY441" s="24"/>
      <c r="AZ441" s="24"/>
      <c r="BA441" s="24"/>
      <c r="BB441" s="24">
        <f t="shared" si="174"/>
        <v>0</v>
      </c>
      <c r="BC441" s="24">
        <f t="shared" si="175"/>
        <v>6894.0999999999967</v>
      </c>
      <c r="BD441" s="24"/>
      <c r="BE441" s="24"/>
      <c r="BF441" s="24"/>
      <c r="BG441" s="24">
        <f>+AB441*9.5%</f>
        <v>2541.25</v>
      </c>
      <c r="BH441" s="24"/>
      <c r="BI441" s="24"/>
      <c r="BJ441" s="24">
        <f t="shared" si="177"/>
        <v>25.412500000000001</v>
      </c>
      <c r="BK441" s="24">
        <f t="shared" si="178"/>
        <v>9409.9374999999964</v>
      </c>
      <c r="BL441" s="24" t="s">
        <v>96</v>
      </c>
      <c r="BM441" s="42">
        <f t="shared" si="168"/>
        <v>2</v>
      </c>
      <c r="BN441" s="24" t="s">
        <v>83</v>
      </c>
      <c r="BO441" s="2" t="s">
        <v>175</v>
      </c>
    </row>
    <row r="442" spans="1:67" s="1" customFormat="1" ht="15" customHeight="1" x14ac:dyDescent="0.3">
      <c r="A442" s="20">
        <v>438</v>
      </c>
      <c r="B442" s="21">
        <v>46109</v>
      </c>
      <c r="C442" s="21">
        <v>46119</v>
      </c>
      <c r="D442" s="50" t="s">
        <v>1674</v>
      </c>
      <c r="E442" s="23">
        <v>46139</v>
      </c>
      <c r="F442" s="23" t="s">
        <v>7</v>
      </c>
      <c r="G442" s="24" t="s">
        <v>68</v>
      </c>
      <c r="H442" s="24" t="s">
        <v>69</v>
      </c>
      <c r="I442" s="24" t="s">
        <v>166</v>
      </c>
      <c r="J442" s="25" t="s">
        <v>360</v>
      </c>
      <c r="K442" s="45" t="str">
        <f t="shared" si="169"/>
        <v>WB41H6585</v>
      </c>
      <c r="L442" s="26">
        <v>46111</v>
      </c>
      <c r="M442" s="34" t="s">
        <v>2366</v>
      </c>
      <c r="N442" s="27">
        <v>8100962589</v>
      </c>
      <c r="O442" s="28">
        <v>0</v>
      </c>
      <c r="P442" s="27" t="s">
        <v>2367</v>
      </c>
      <c r="Q442" s="85">
        <v>2525382250</v>
      </c>
      <c r="R442" s="85">
        <v>2110833425</v>
      </c>
      <c r="S442" s="31" t="s">
        <v>73</v>
      </c>
      <c r="T442" s="24" t="s">
        <v>91</v>
      </c>
      <c r="U442" s="24" t="s">
        <v>75</v>
      </c>
      <c r="V442" s="32" t="s">
        <v>2368</v>
      </c>
      <c r="W442" s="32" t="s">
        <v>2369</v>
      </c>
      <c r="X442" s="32" t="s">
        <v>2370</v>
      </c>
      <c r="Y442" s="24">
        <v>1170</v>
      </c>
      <c r="Z442" s="24">
        <v>25</v>
      </c>
      <c r="AA442" s="24">
        <f t="shared" si="170"/>
        <v>1111.5</v>
      </c>
      <c r="AB442" s="24">
        <f t="shared" si="162"/>
        <v>29250</v>
      </c>
      <c r="AC442" s="24">
        <f t="shared" si="163"/>
        <v>27787.5</v>
      </c>
      <c r="AD442" s="24">
        <f t="shared" si="164"/>
        <v>27787.5</v>
      </c>
      <c r="AE442" s="24">
        <f t="shared" si="165"/>
        <v>1462.5</v>
      </c>
      <c r="AF442" s="24">
        <v>0</v>
      </c>
      <c r="AG442" s="33">
        <v>3500</v>
      </c>
      <c r="AH442" s="24"/>
      <c r="AI442" s="24"/>
      <c r="AJ442" s="24"/>
      <c r="AK442" s="24"/>
      <c r="AL442" s="24"/>
      <c r="AM442" s="24" t="s">
        <v>79</v>
      </c>
      <c r="AN442" s="34" t="s">
        <v>2371</v>
      </c>
      <c r="AO442" s="35" t="s">
        <v>1673</v>
      </c>
      <c r="AP442" s="24">
        <f>278*2</f>
        <v>556</v>
      </c>
      <c r="AQ442" s="36">
        <f t="shared" si="171"/>
        <v>171.07692307692307</v>
      </c>
      <c r="AR442" s="80">
        <v>160</v>
      </c>
      <c r="AS442" s="47">
        <f t="shared" si="172"/>
        <v>-11.076923076923066</v>
      </c>
      <c r="AT442" s="31"/>
      <c r="AU442" s="47">
        <f t="shared" si="173"/>
        <v>-11.076923076923066</v>
      </c>
      <c r="AV442" s="81">
        <v>91.99</v>
      </c>
      <c r="AW442" s="24">
        <f t="shared" si="166"/>
        <v>14718.4</v>
      </c>
      <c r="AX442" s="24">
        <f t="shared" si="182"/>
        <v>65.563292847503376</v>
      </c>
      <c r="AY442" s="24"/>
      <c r="AZ442" s="24"/>
      <c r="BA442" s="24"/>
      <c r="BB442" s="24">
        <f t="shared" si="174"/>
        <v>0</v>
      </c>
      <c r="BC442" s="24">
        <f t="shared" si="175"/>
        <v>9569.1</v>
      </c>
      <c r="BD442" s="24"/>
      <c r="BE442" s="24"/>
      <c r="BF442" s="24"/>
      <c r="BG442" s="24">
        <f>+AB442*9.5%</f>
        <v>2778.75</v>
      </c>
      <c r="BH442" s="24"/>
      <c r="BI442" s="24"/>
      <c r="BJ442" s="24">
        <f t="shared" si="177"/>
        <v>27.787500000000001</v>
      </c>
      <c r="BK442" s="24">
        <f t="shared" si="178"/>
        <v>12320.0625</v>
      </c>
      <c r="BL442" s="24" t="s">
        <v>365</v>
      </c>
      <c r="BM442" s="42">
        <f t="shared" si="168"/>
        <v>3</v>
      </c>
      <c r="BN442" s="24" t="s">
        <v>139</v>
      </c>
      <c r="BO442" s="2" t="s">
        <v>175</v>
      </c>
    </row>
    <row r="443" spans="1:67" s="1" customFormat="1" ht="15" customHeight="1" x14ac:dyDescent="0.3">
      <c r="A443" s="20">
        <v>439</v>
      </c>
      <c r="B443" s="21">
        <v>46109</v>
      </c>
      <c r="C443" s="21">
        <v>46113</v>
      </c>
      <c r="D443" s="50" t="s">
        <v>813</v>
      </c>
      <c r="E443" s="23">
        <v>46151</v>
      </c>
      <c r="F443" s="23" t="s">
        <v>7</v>
      </c>
      <c r="G443" s="24" t="s">
        <v>68</v>
      </c>
      <c r="H443" s="24" t="s">
        <v>69</v>
      </c>
      <c r="I443" s="24" t="s">
        <v>70</v>
      </c>
      <c r="J443" s="25" t="s">
        <v>215</v>
      </c>
      <c r="K443" s="45" t="str">
        <f t="shared" si="169"/>
        <v>WB39B0802</v>
      </c>
      <c r="L443" s="26">
        <v>46110</v>
      </c>
      <c r="M443" s="34" t="s">
        <v>2372</v>
      </c>
      <c r="N443" s="27">
        <v>8100963022</v>
      </c>
      <c r="O443" s="28">
        <v>0</v>
      </c>
      <c r="P443" s="27" t="s">
        <v>2373</v>
      </c>
      <c r="Q443" s="85">
        <v>2525382621</v>
      </c>
      <c r="R443" s="85">
        <v>2110833794</v>
      </c>
      <c r="S443" s="31" t="s">
        <v>73</v>
      </c>
      <c r="T443" s="24" t="s">
        <v>74</v>
      </c>
      <c r="U443" s="24" t="s">
        <v>75</v>
      </c>
      <c r="V443" s="32" t="s">
        <v>1587</v>
      </c>
      <c r="W443" s="32" t="s">
        <v>818</v>
      </c>
      <c r="X443" s="32" t="s">
        <v>2374</v>
      </c>
      <c r="Y443" s="24">
        <v>604</v>
      </c>
      <c r="Z443" s="24">
        <v>13</v>
      </c>
      <c r="AA443" s="24">
        <f t="shared" si="170"/>
        <v>573.79999999999995</v>
      </c>
      <c r="AB443" s="24">
        <f t="shared" si="162"/>
        <v>7852</v>
      </c>
      <c r="AC443" s="24">
        <f t="shared" si="163"/>
        <v>7459.4</v>
      </c>
      <c r="AD443" s="24">
        <f t="shared" si="164"/>
        <v>7459.4</v>
      </c>
      <c r="AE443" s="24">
        <f t="shared" si="165"/>
        <v>392.60000000000036</v>
      </c>
      <c r="AF443" s="24">
        <f t="shared" si="185"/>
        <v>74.593999999999994</v>
      </c>
      <c r="AG443" s="33">
        <v>2900</v>
      </c>
      <c r="AH443" s="24"/>
      <c r="AI443" s="24"/>
      <c r="AJ443" s="24"/>
      <c r="AK443" s="24"/>
      <c r="AL443" s="24"/>
      <c r="AM443" s="24" t="s">
        <v>79</v>
      </c>
      <c r="AN443" s="34" t="s">
        <v>2375</v>
      </c>
      <c r="AO443" s="35" t="s">
        <v>1673</v>
      </c>
      <c r="AP443" s="24">
        <f>108*2</f>
        <v>216</v>
      </c>
      <c r="AQ443" s="36">
        <f t="shared" si="171"/>
        <v>66.461538461538467</v>
      </c>
      <c r="AR443" s="80">
        <v>63</v>
      </c>
      <c r="AS443" s="47">
        <f t="shared" si="172"/>
        <v>-3.461538461538467</v>
      </c>
      <c r="AT443" s="31"/>
      <c r="AU443" s="47">
        <f t="shared" si="173"/>
        <v>-3.461538461538467</v>
      </c>
      <c r="AV443" s="81">
        <v>91.99</v>
      </c>
      <c r="AW443" s="24">
        <f t="shared" si="166"/>
        <v>5795.37</v>
      </c>
      <c r="AX443" s="24">
        <f t="shared" si="182"/>
        <v>116.56929511756977</v>
      </c>
      <c r="AY443" s="24">
        <v>120</v>
      </c>
      <c r="AZ443" s="24"/>
      <c r="BA443" s="24"/>
      <c r="BB443" s="24">
        <f t="shared" si="174"/>
        <v>0</v>
      </c>
      <c r="BC443" s="24">
        <f t="shared" si="175"/>
        <v>-1430.5640000000003</v>
      </c>
      <c r="BD443" s="24">
        <v>110</v>
      </c>
      <c r="BE443" s="24">
        <v>110</v>
      </c>
      <c r="BF443" s="24"/>
      <c r="BG443" s="24">
        <f t="shared" ref="BG443:BG444" si="190">+AD443*8.5%</f>
        <v>634.04899999999998</v>
      </c>
      <c r="BH443" s="24">
        <f t="shared" ref="BH443:BH444" si="191">+AD443*8.5%</f>
        <v>634.04899999999998</v>
      </c>
      <c r="BI443" s="24"/>
      <c r="BJ443" s="24">
        <f t="shared" si="177"/>
        <v>12.68098</v>
      </c>
      <c r="BK443" s="24">
        <f t="shared" si="178"/>
        <v>44.853019999999653</v>
      </c>
      <c r="BL443" s="24" t="s">
        <v>82</v>
      </c>
      <c r="BM443" s="42">
        <f t="shared" si="168"/>
        <v>2</v>
      </c>
      <c r="BN443" s="24" t="s">
        <v>83</v>
      </c>
      <c r="BO443" s="2" t="s">
        <v>175</v>
      </c>
    </row>
    <row r="444" spans="1:67" s="1" customFormat="1" ht="15" customHeight="1" x14ac:dyDescent="0.3">
      <c r="A444" s="20">
        <v>440</v>
      </c>
      <c r="B444" s="21">
        <v>46109</v>
      </c>
      <c r="C444" s="21">
        <v>46113</v>
      </c>
      <c r="D444" s="50" t="s">
        <v>813</v>
      </c>
      <c r="E444" s="23">
        <v>46151</v>
      </c>
      <c r="F444" s="23" t="s">
        <v>7</v>
      </c>
      <c r="G444" s="24" t="s">
        <v>68</v>
      </c>
      <c r="H444" s="24" t="s">
        <v>69</v>
      </c>
      <c r="I444" s="24" t="s">
        <v>70</v>
      </c>
      <c r="J444" s="25" t="s">
        <v>215</v>
      </c>
      <c r="K444" s="45" t="str">
        <f t="shared" si="169"/>
        <v>WB39B0802</v>
      </c>
      <c r="L444" s="26">
        <v>46110</v>
      </c>
      <c r="M444" s="34" t="s">
        <v>2376</v>
      </c>
      <c r="N444" s="27">
        <v>8100963025</v>
      </c>
      <c r="O444" s="28">
        <v>0</v>
      </c>
      <c r="P444" s="27" t="s">
        <v>2377</v>
      </c>
      <c r="Q444" s="85">
        <v>2525382623</v>
      </c>
      <c r="R444" s="85">
        <v>2110833795</v>
      </c>
      <c r="S444" s="31" t="s">
        <v>73</v>
      </c>
      <c r="T444" s="24" t="s">
        <v>74</v>
      </c>
      <c r="U444" s="24" t="s">
        <v>75</v>
      </c>
      <c r="V444" s="32" t="s">
        <v>1587</v>
      </c>
      <c r="W444" s="32" t="s">
        <v>818</v>
      </c>
      <c r="X444" s="32"/>
      <c r="Y444" s="24">
        <v>604</v>
      </c>
      <c r="Z444" s="24">
        <v>6</v>
      </c>
      <c r="AA444" s="24">
        <f t="shared" si="170"/>
        <v>573.79999999999995</v>
      </c>
      <c r="AB444" s="24">
        <f t="shared" si="162"/>
        <v>3624</v>
      </c>
      <c r="AC444" s="24">
        <f t="shared" si="163"/>
        <v>3442.8</v>
      </c>
      <c r="AD444" s="24">
        <f t="shared" si="164"/>
        <v>3442.7999999999997</v>
      </c>
      <c r="AE444" s="24">
        <f t="shared" si="165"/>
        <v>181.20000000000027</v>
      </c>
      <c r="AF444" s="24">
        <f t="shared" si="185"/>
        <v>34.427999999999997</v>
      </c>
      <c r="AG444" s="31">
        <v>0</v>
      </c>
      <c r="AH444" s="24"/>
      <c r="AI444" s="24"/>
      <c r="AJ444" s="24"/>
      <c r="AK444" s="24"/>
      <c r="AL444" s="24"/>
      <c r="AM444" s="24">
        <v>0</v>
      </c>
      <c r="AN444" s="34" t="s">
        <v>213</v>
      </c>
      <c r="AO444" s="35"/>
      <c r="AP444" s="24"/>
      <c r="AQ444" s="36">
        <f t="shared" si="171"/>
        <v>0</v>
      </c>
      <c r="AR444" s="16">
        <v>0</v>
      </c>
      <c r="AS444" s="47">
        <f t="shared" si="172"/>
        <v>0</v>
      </c>
      <c r="AT444" s="31"/>
      <c r="AU444" s="47">
        <f t="shared" si="173"/>
        <v>0</v>
      </c>
      <c r="AV444" s="48">
        <v>0</v>
      </c>
      <c r="AW444" s="24">
        <f t="shared" si="166"/>
        <v>0</v>
      </c>
      <c r="AX444" s="24">
        <f t="shared" si="182"/>
        <v>0</v>
      </c>
      <c r="AY444" s="24"/>
      <c r="AZ444" s="24"/>
      <c r="BA444" s="24"/>
      <c r="BB444" s="24">
        <f t="shared" si="174"/>
        <v>0</v>
      </c>
      <c r="BC444" s="24">
        <f t="shared" si="175"/>
        <v>3408.3719999999998</v>
      </c>
      <c r="BD444" s="24"/>
      <c r="BE444" s="24"/>
      <c r="BF444" s="24"/>
      <c r="BG444" s="24">
        <f t="shared" si="190"/>
        <v>292.63799999999998</v>
      </c>
      <c r="BH444" s="24">
        <f t="shared" si="191"/>
        <v>292.63799999999998</v>
      </c>
      <c r="BI444" s="24"/>
      <c r="BJ444" s="24">
        <f t="shared" si="177"/>
        <v>5.85276</v>
      </c>
      <c r="BK444" s="24">
        <f t="shared" si="178"/>
        <v>3987.7952399999995</v>
      </c>
      <c r="BL444" s="24" t="s">
        <v>82</v>
      </c>
      <c r="BM444" s="42">
        <f t="shared" si="168"/>
        <v>2</v>
      </c>
      <c r="BN444" s="24" t="s">
        <v>83</v>
      </c>
      <c r="BO444" s="2" t="s">
        <v>175</v>
      </c>
    </row>
    <row r="445" spans="1:67" s="1" customFormat="1" ht="15" customHeight="1" x14ac:dyDescent="0.3">
      <c r="A445" s="20">
        <v>441</v>
      </c>
      <c r="B445" s="21">
        <v>46109</v>
      </c>
      <c r="C445" s="21">
        <v>46119</v>
      </c>
      <c r="D445" s="50" t="s">
        <v>1461</v>
      </c>
      <c r="E445" s="23">
        <v>46151</v>
      </c>
      <c r="F445" s="23" t="s">
        <v>7</v>
      </c>
      <c r="G445" s="24" t="s">
        <v>68</v>
      </c>
      <c r="H445" s="24" t="s">
        <v>69</v>
      </c>
      <c r="I445" s="24" t="s">
        <v>236</v>
      </c>
      <c r="J445" s="25" t="s">
        <v>366</v>
      </c>
      <c r="K445" s="45" t="str">
        <f t="shared" si="169"/>
        <v>WB41J5775</v>
      </c>
      <c r="L445" s="26">
        <v>46112</v>
      </c>
      <c r="M445" s="34" t="s">
        <v>2378</v>
      </c>
      <c r="N445" s="27">
        <v>8100963128</v>
      </c>
      <c r="O445" s="28">
        <v>0</v>
      </c>
      <c r="P445" s="27" t="s">
        <v>2379</v>
      </c>
      <c r="Q445" s="85">
        <v>2525382793</v>
      </c>
      <c r="R445" s="85">
        <v>2110833875</v>
      </c>
      <c r="S445" s="31" t="s">
        <v>73</v>
      </c>
      <c r="T445" s="24" t="s">
        <v>91</v>
      </c>
      <c r="U445" s="24" t="s">
        <v>75</v>
      </c>
      <c r="V445" s="32" t="s">
        <v>2380</v>
      </c>
      <c r="W445" s="32" t="s">
        <v>2381</v>
      </c>
      <c r="X445" s="32" t="s">
        <v>2382</v>
      </c>
      <c r="Y445" s="24">
        <v>1354</v>
      </c>
      <c r="Z445" s="24">
        <v>13</v>
      </c>
      <c r="AA445" s="24">
        <f t="shared" si="170"/>
        <v>1286.3</v>
      </c>
      <c r="AB445" s="24">
        <f t="shared" si="162"/>
        <v>17602</v>
      </c>
      <c r="AC445" s="24">
        <f t="shared" si="163"/>
        <v>16721.900000000001</v>
      </c>
      <c r="AD445" s="24">
        <f t="shared" si="164"/>
        <v>16721.899999999998</v>
      </c>
      <c r="AE445" s="24">
        <f t="shared" si="165"/>
        <v>880.10000000000218</v>
      </c>
      <c r="AF445" s="24">
        <v>0</v>
      </c>
      <c r="AG445" s="33">
        <v>4300</v>
      </c>
      <c r="AH445" s="24"/>
      <c r="AI445" s="24"/>
      <c r="AJ445" s="24"/>
      <c r="AK445" s="24"/>
      <c r="AL445" s="24"/>
      <c r="AM445" s="24" t="s">
        <v>79</v>
      </c>
      <c r="AN445" s="34" t="s">
        <v>2383</v>
      </c>
      <c r="AO445" s="35" t="s">
        <v>1673</v>
      </c>
      <c r="AP445" s="24">
        <f>350*2</f>
        <v>700</v>
      </c>
      <c r="AQ445" s="36">
        <f t="shared" si="171"/>
        <v>215.38461538461539</v>
      </c>
      <c r="AR445" s="80">
        <v>206</v>
      </c>
      <c r="AS445" s="47">
        <f t="shared" si="172"/>
        <v>-9.3846153846153868</v>
      </c>
      <c r="AT445" s="31"/>
      <c r="AU445" s="47">
        <f t="shared" si="173"/>
        <v>-9.3846153846153868</v>
      </c>
      <c r="AV445" s="83">
        <v>91.88</v>
      </c>
      <c r="AW445" s="24">
        <f t="shared" si="166"/>
        <v>18927.28</v>
      </c>
      <c r="AX445" s="24">
        <f t="shared" si="182"/>
        <v>138.90335428390316</v>
      </c>
      <c r="AY445" s="24"/>
      <c r="AZ445" s="24"/>
      <c r="BA445" s="24"/>
      <c r="BB445" s="24">
        <f t="shared" si="174"/>
        <v>0</v>
      </c>
      <c r="BC445" s="24">
        <f t="shared" si="175"/>
        <v>-6505.380000000001</v>
      </c>
      <c r="BD445" s="24">
        <v>135</v>
      </c>
      <c r="BE445" s="24">
        <v>135</v>
      </c>
      <c r="BF445" s="24"/>
      <c r="BG445" s="24">
        <f>+AB445*9.5%</f>
        <v>1672.19</v>
      </c>
      <c r="BH445" s="24"/>
      <c r="BI445" s="24"/>
      <c r="BJ445" s="24">
        <f t="shared" si="177"/>
        <v>16.721900000000002</v>
      </c>
      <c r="BK445" s="24">
        <f t="shared" si="178"/>
        <v>-4579.9119000000001</v>
      </c>
      <c r="BL445" s="24" t="s">
        <v>245</v>
      </c>
      <c r="BM445" s="42">
        <f t="shared" si="168"/>
        <v>4</v>
      </c>
      <c r="BN445" s="24" t="s">
        <v>174</v>
      </c>
      <c r="BO445" s="2" t="s">
        <v>2384</v>
      </c>
    </row>
    <row r="446" spans="1:67" s="1" customFormat="1" ht="15" customHeight="1" x14ac:dyDescent="0.3">
      <c r="A446" s="20">
        <v>442</v>
      </c>
      <c r="B446" s="21">
        <v>46109</v>
      </c>
      <c r="C446" s="21">
        <v>46119</v>
      </c>
      <c r="D446" s="50" t="s">
        <v>1461</v>
      </c>
      <c r="E446" s="23">
        <v>46151</v>
      </c>
      <c r="F446" s="23" t="s">
        <v>7</v>
      </c>
      <c r="G446" s="24" t="s">
        <v>68</v>
      </c>
      <c r="H446" s="24" t="s">
        <v>69</v>
      </c>
      <c r="I446" s="24" t="s">
        <v>236</v>
      </c>
      <c r="J446" s="25" t="s">
        <v>366</v>
      </c>
      <c r="K446" s="45" t="str">
        <f t="shared" si="169"/>
        <v>WB41J5775</v>
      </c>
      <c r="L446" s="26">
        <v>46112</v>
      </c>
      <c r="M446" s="34" t="s">
        <v>2385</v>
      </c>
      <c r="N446" s="27">
        <v>8100963131</v>
      </c>
      <c r="O446" s="28">
        <v>0</v>
      </c>
      <c r="P446" s="27" t="s">
        <v>2386</v>
      </c>
      <c r="Q446" s="85">
        <v>2525382795</v>
      </c>
      <c r="R446" s="85">
        <v>2110833876</v>
      </c>
      <c r="S446" s="31" t="s">
        <v>73</v>
      </c>
      <c r="T446" s="24" t="s">
        <v>91</v>
      </c>
      <c r="U446" s="24" t="s">
        <v>75</v>
      </c>
      <c r="V446" s="32" t="s">
        <v>2380</v>
      </c>
      <c r="W446" s="32" t="s">
        <v>2381</v>
      </c>
      <c r="X446" s="32" t="s">
        <v>753</v>
      </c>
      <c r="Y446" s="24">
        <v>1354</v>
      </c>
      <c r="Z446" s="24">
        <v>12</v>
      </c>
      <c r="AA446" s="24">
        <f t="shared" si="170"/>
        <v>1286.3</v>
      </c>
      <c r="AB446" s="24">
        <f t="shared" si="162"/>
        <v>16248</v>
      </c>
      <c r="AC446" s="24">
        <f t="shared" si="163"/>
        <v>15435.599999999999</v>
      </c>
      <c r="AD446" s="24">
        <f t="shared" si="164"/>
        <v>15435.599999999999</v>
      </c>
      <c r="AE446" s="24">
        <f t="shared" si="165"/>
        <v>812.40000000000146</v>
      </c>
      <c r="AF446" s="24">
        <v>0</v>
      </c>
      <c r="AG446" s="31">
        <v>0</v>
      </c>
      <c r="AH446" s="24"/>
      <c r="AI446" s="24"/>
      <c r="AJ446" s="24"/>
      <c r="AK446" s="24"/>
      <c r="AL446" s="24"/>
      <c r="AM446" s="24">
        <v>0</v>
      </c>
      <c r="AN446" s="34" t="s">
        <v>213</v>
      </c>
      <c r="AO446" s="35"/>
      <c r="AP446" s="24"/>
      <c r="AQ446" s="36">
        <f t="shared" si="171"/>
        <v>0</v>
      </c>
      <c r="AR446" s="16">
        <v>0</v>
      </c>
      <c r="AS446" s="47">
        <f t="shared" si="172"/>
        <v>0</v>
      </c>
      <c r="AT446" s="31"/>
      <c r="AU446" s="47">
        <f t="shared" si="173"/>
        <v>0</v>
      </c>
      <c r="AV446" s="48">
        <v>91.99</v>
      </c>
      <c r="AW446" s="24">
        <f t="shared" si="166"/>
        <v>0</v>
      </c>
      <c r="AX446" s="24">
        <f t="shared" si="182"/>
        <v>0</v>
      </c>
      <c r="AY446" s="24"/>
      <c r="AZ446" s="24"/>
      <c r="BA446" s="24"/>
      <c r="BB446" s="24">
        <f t="shared" si="174"/>
        <v>0</v>
      </c>
      <c r="BC446" s="24">
        <f t="shared" si="175"/>
        <v>15435.599999999999</v>
      </c>
      <c r="BD446" s="24">
        <v>0</v>
      </c>
      <c r="BE446" s="24">
        <v>0</v>
      </c>
      <c r="BF446" s="24"/>
      <c r="BG446" s="24">
        <f>+AB446*9.5%</f>
        <v>1543.56</v>
      </c>
      <c r="BH446" s="24"/>
      <c r="BI446" s="24"/>
      <c r="BJ446" s="24">
        <f t="shared" si="177"/>
        <v>15.435599999999999</v>
      </c>
      <c r="BK446" s="24">
        <f t="shared" si="178"/>
        <v>16963.724399999999</v>
      </c>
      <c r="BL446" s="24" t="s">
        <v>245</v>
      </c>
      <c r="BM446" s="42">
        <f t="shared" si="168"/>
        <v>4</v>
      </c>
      <c r="BN446" s="24" t="s">
        <v>174</v>
      </c>
      <c r="BO446" s="2" t="s">
        <v>2384</v>
      </c>
    </row>
    <row r="447" spans="1:67" s="1" customFormat="1" ht="15" customHeight="1" x14ac:dyDescent="0.3">
      <c r="A447" s="20">
        <v>443</v>
      </c>
      <c r="B447" s="21">
        <v>46109</v>
      </c>
      <c r="C447" s="21">
        <v>46111</v>
      </c>
      <c r="D447" s="50" t="s">
        <v>2219</v>
      </c>
      <c r="E447" s="23">
        <v>46111</v>
      </c>
      <c r="F447" s="23" t="s">
        <v>7</v>
      </c>
      <c r="G447" s="24" t="s">
        <v>68</v>
      </c>
      <c r="H447" s="24" t="s">
        <v>69</v>
      </c>
      <c r="I447" s="24" t="s">
        <v>112</v>
      </c>
      <c r="J447" s="25" t="s">
        <v>558</v>
      </c>
      <c r="K447" s="45" t="str">
        <f t="shared" si="169"/>
        <v>WB39A5858</v>
      </c>
      <c r="L447" s="26">
        <v>46110</v>
      </c>
      <c r="M447" s="34" t="s">
        <v>2387</v>
      </c>
      <c r="N447" s="27">
        <v>8100963208</v>
      </c>
      <c r="O447" s="28">
        <v>0</v>
      </c>
      <c r="P447" s="27" t="s">
        <v>2388</v>
      </c>
      <c r="Q447" s="85">
        <v>2525382916</v>
      </c>
      <c r="R447" s="85">
        <v>2110833964</v>
      </c>
      <c r="S447" s="31" t="s">
        <v>73</v>
      </c>
      <c r="T447" s="24" t="s">
        <v>74</v>
      </c>
      <c r="U447" s="24" t="s">
        <v>75</v>
      </c>
      <c r="V447" s="32" t="s">
        <v>2026</v>
      </c>
      <c r="W447" s="32" t="s">
        <v>563</v>
      </c>
      <c r="X447" s="32" t="s">
        <v>563</v>
      </c>
      <c r="Y447" s="24">
        <v>643</v>
      </c>
      <c r="Z447" s="24">
        <v>19</v>
      </c>
      <c r="AA447" s="24">
        <f t="shared" si="170"/>
        <v>610.85</v>
      </c>
      <c r="AB447" s="24">
        <f t="shared" si="162"/>
        <v>12217</v>
      </c>
      <c r="AC447" s="24">
        <f t="shared" si="163"/>
        <v>11606.15</v>
      </c>
      <c r="AD447" s="24">
        <f t="shared" si="164"/>
        <v>11606.15</v>
      </c>
      <c r="AE447" s="24">
        <f t="shared" si="165"/>
        <v>610.85000000000036</v>
      </c>
      <c r="AF447" s="24">
        <v>0</v>
      </c>
      <c r="AG447" s="33">
        <v>2700</v>
      </c>
      <c r="AH447" s="24"/>
      <c r="AI447" s="24"/>
      <c r="AJ447" s="24"/>
      <c r="AK447" s="24"/>
      <c r="AL447" s="24"/>
      <c r="AM447" s="24" t="s">
        <v>79</v>
      </c>
      <c r="AN447" s="34" t="s">
        <v>2389</v>
      </c>
      <c r="AO447" s="35" t="s">
        <v>1673</v>
      </c>
      <c r="AP447" s="24">
        <f>120*2</f>
        <v>240</v>
      </c>
      <c r="AQ447" s="36">
        <f t="shared" si="171"/>
        <v>73.84615384615384</v>
      </c>
      <c r="AR447" s="80">
        <v>65</v>
      </c>
      <c r="AS447" s="47">
        <f t="shared" si="172"/>
        <v>-8.8461538461538396</v>
      </c>
      <c r="AT447" s="31"/>
      <c r="AU447" s="47">
        <f t="shared" si="173"/>
        <v>-8.8461538461538396</v>
      </c>
      <c r="AV447" s="81">
        <v>91.99</v>
      </c>
      <c r="AW447" s="24">
        <f t="shared" si="166"/>
        <v>5979.3499999999995</v>
      </c>
      <c r="AX447" s="24">
        <f t="shared" si="182"/>
        <v>74.782335227444065</v>
      </c>
      <c r="AY447" s="24"/>
      <c r="AZ447" s="24"/>
      <c r="BA447" s="24"/>
      <c r="BB447" s="24">
        <f t="shared" si="174"/>
        <v>0</v>
      </c>
      <c r="BC447" s="24">
        <f t="shared" si="175"/>
        <v>2926.8</v>
      </c>
      <c r="BD447" s="24"/>
      <c r="BE447" s="24"/>
      <c r="BF447" s="24"/>
      <c r="BG447" s="24">
        <f>+AB447*9.5%</f>
        <v>1160.615</v>
      </c>
      <c r="BH447" s="24">
        <f>+AB447*8.5%</f>
        <v>1038.4450000000002</v>
      </c>
      <c r="BI447" s="24"/>
      <c r="BJ447" s="24">
        <f t="shared" si="177"/>
        <v>21.990600000000004</v>
      </c>
      <c r="BK447" s="24">
        <f t="shared" si="178"/>
        <v>5103.8694000000005</v>
      </c>
      <c r="BL447" s="24" t="s">
        <v>565</v>
      </c>
      <c r="BM447" s="42">
        <f t="shared" si="168"/>
        <v>2</v>
      </c>
      <c r="BN447" s="24" t="s">
        <v>83</v>
      </c>
      <c r="BO447" s="2" t="s">
        <v>84</v>
      </c>
    </row>
    <row r="448" spans="1:67" s="1" customFormat="1" ht="15" customHeight="1" x14ac:dyDescent="0.3">
      <c r="A448" s="20">
        <v>444</v>
      </c>
      <c r="B448" s="21">
        <v>46109</v>
      </c>
      <c r="C448" s="21">
        <v>46119</v>
      </c>
      <c r="D448" s="50" t="s">
        <v>2268</v>
      </c>
      <c r="E448" s="23">
        <v>46120</v>
      </c>
      <c r="F448" s="23" t="s">
        <v>7</v>
      </c>
      <c r="G448" s="24" t="s">
        <v>68</v>
      </c>
      <c r="H448" s="24" t="s">
        <v>69</v>
      </c>
      <c r="I448" s="24" t="s">
        <v>70</v>
      </c>
      <c r="J448" s="25" t="s">
        <v>287</v>
      </c>
      <c r="K448" s="45" t="str">
        <f t="shared" si="169"/>
        <v>WB39B1080</v>
      </c>
      <c r="L448" s="26">
        <v>46110</v>
      </c>
      <c r="M448" s="34" t="s">
        <v>2390</v>
      </c>
      <c r="N448" s="27">
        <v>8100963332</v>
      </c>
      <c r="O448" s="28">
        <v>0</v>
      </c>
      <c r="P448" s="27" t="s">
        <v>2391</v>
      </c>
      <c r="Q448" s="85">
        <v>2525383050</v>
      </c>
      <c r="R448" s="85">
        <v>2110834009</v>
      </c>
      <c r="S448" s="31" t="s">
        <v>73</v>
      </c>
      <c r="T448" s="24" t="s">
        <v>91</v>
      </c>
      <c r="U448" s="24" t="s">
        <v>75</v>
      </c>
      <c r="V448" s="32" t="s">
        <v>2392</v>
      </c>
      <c r="W448" s="32" t="s">
        <v>2129</v>
      </c>
      <c r="X448" s="32" t="s">
        <v>2129</v>
      </c>
      <c r="Y448" s="24">
        <v>766</v>
      </c>
      <c r="Z448" s="24">
        <v>25</v>
      </c>
      <c r="AA448" s="24">
        <f t="shared" si="170"/>
        <v>727.7</v>
      </c>
      <c r="AB448" s="61">
        <f t="shared" si="162"/>
        <v>19150</v>
      </c>
      <c r="AC448" s="24">
        <f t="shared" si="163"/>
        <v>18192.5</v>
      </c>
      <c r="AD448" s="24">
        <f t="shared" si="164"/>
        <v>18192.5</v>
      </c>
      <c r="AE448" s="24">
        <f t="shared" si="165"/>
        <v>957.5</v>
      </c>
      <c r="AF448" s="24">
        <f t="shared" si="185"/>
        <v>181.92500000000001</v>
      </c>
      <c r="AG448" s="31">
        <v>4200</v>
      </c>
      <c r="AH448" s="24"/>
      <c r="AI448" s="24"/>
      <c r="AJ448" s="24"/>
      <c r="AK448" s="24"/>
      <c r="AL448" s="24"/>
      <c r="AM448" s="24" t="s">
        <v>79</v>
      </c>
      <c r="AN448" s="34" t="s">
        <v>2393</v>
      </c>
      <c r="AO448" s="35" t="s">
        <v>1673</v>
      </c>
      <c r="AP448" s="24">
        <f>168*2</f>
        <v>336</v>
      </c>
      <c r="AQ448" s="36">
        <f t="shared" si="171"/>
        <v>103.38461538461539</v>
      </c>
      <c r="AR448" s="80">
        <v>120</v>
      </c>
      <c r="AS448" s="47">
        <f t="shared" si="172"/>
        <v>16.615384615384613</v>
      </c>
      <c r="AT448" s="31"/>
      <c r="AU448" s="47">
        <f t="shared" si="173"/>
        <v>16.615384615384613</v>
      </c>
      <c r="AV448" s="81">
        <v>91.99</v>
      </c>
      <c r="AW448" s="24">
        <f t="shared" si="166"/>
        <v>11038.8</v>
      </c>
      <c r="AX448" s="24">
        <f t="shared" si="182"/>
        <v>83.764188539233203</v>
      </c>
      <c r="AY448" s="24"/>
      <c r="AZ448" s="24"/>
      <c r="BA448" s="24"/>
      <c r="BB448" s="24">
        <f t="shared" si="174"/>
        <v>0</v>
      </c>
      <c r="BC448" s="24">
        <f t="shared" si="175"/>
        <v>2771.7750000000015</v>
      </c>
      <c r="BD448" s="24"/>
      <c r="BE448" s="24"/>
      <c r="BF448" s="24"/>
      <c r="BG448" s="24">
        <f>+AD448*9.5%</f>
        <v>1728.2874999999999</v>
      </c>
      <c r="BH448" s="24"/>
      <c r="BI448" s="24"/>
      <c r="BJ448" s="24">
        <f t="shared" si="177"/>
        <v>17.282875000000001</v>
      </c>
      <c r="BK448" s="24">
        <f t="shared" si="178"/>
        <v>4482.7796250000019</v>
      </c>
      <c r="BL448" s="24" t="s">
        <v>292</v>
      </c>
      <c r="BM448" s="42">
        <f t="shared" si="168"/>
        <v>2</v>
      </c>
      <c r="BN448" s="24" t="s">
        <v>83</v>
      </c>
      <c r="BO448" s="2" t="s">
        <v>2394</v>
      </c>
    </row>
    <row r="449" spans="1:67" s="1" customFormat="1" ht="15" customHeight="1" x14ac:dyDescent="0.3">
      <c r="A449" s="20">
        <v>445</v>
      </c>
      <c r="B449" s="21">
        <v>46109</v>
      </c>
      <c r="C449" s="21">
        <v>46114</v>
      </c>
      <c r="D449" s="62" t="s">
        <v>2360</v>
      </c>
      <c r="E449" s="23">
        <v>46116</v>
      </c>
      <c r="F449" s="23" t="s">
        <v>7</v>
      </c>
      <c r="G449" s="24" t="s">
        <v>68</v>
      </c>
      <c r="H449" s="24" t="s">
        <v>69</v>
      </c>
      <c r="I449" s="24" t="s">
        <v>70</v>
      </c>
      <c r="J449" s="25" t="s">
        <v>842</v>
      </c>
      <c r="K449" s="45" t="str">
        <f t="shared" si="169"/>
        <v>WB39B8924</v>
      </c>
      <c r="L449" s="26">
        <v>46111</v>
      </c>
      <c r="M449" s="34" t="s">
        <v>2395</v>
      </c>
      <c r="N449" s="27">
        <v>8100963334</v>
      </c>
      <c r="O449" s="28">
        <v>0</v>
      </c>
      <c r="P449" s="27" t="s">
        <v>2396</v>
      </c>
      <c r="Q449" s="85">
        <v>2525383052</v>
      </c>
      <c r="R449" s="85">
        <v>2110834040</v>
      </c>
      <c r="S449" s="63" t="s">
        <v>73</v>
      </c>
      <c r="T449" s="24" t="s">
        <v>91</v>
      </c>
      <c r="U449" s="24" t="s">
        <v>75</v>
      </c>
      <c r="V449" s="32" t="s">
        <v>2392</v>
      </c>
      <c r="W449" s="32" t="s">
        <v>2129</v>
      </c>
      <c r="X449" s="32" t="s">
        <v>2397</v>
      </c>
      <c r="Y449" s="24">
        <v>766</v>
      </c>
      <c r="Z449" s="24">
        <v>25</v>
      </c>
      <c r="AA449" s="24">
        <f t="shared" si="170"/>
        <v>727.7</v>
      </c>
      <c r="AB449" s="24">
        <f t="shared" si="162"/>
        <v>19150</v>
      </c>
      <c r="AC449" s="24">
        <f t="shared" si="163"/>
        <v>18192.5</v>
      </c>
      <c r="AD449" s="24">
        <f t="shared" si="164"/>
        <v>18192.5</v>
      </c>
      <c r="AE449" s="24">
        <f t="shared" si="165"/>
        <v>957.5</v>
      </c>
      <c r="AF449" s="24">
        <f t="shared" si="185"/>
        <v>181.92500000000001</v>
      </c>
      <c r="AG449" s="33">
        <v>3600</v>
      </c>
      <c r="AH449" s="24"/>
      <c r="AI449" s="24"/>
      <c r="AJ449" s="24"/>
      <c r="AK449" s="24"/>
      <c r="AL449" s="24"/>
      <c r="AM449" s="24" t="s">
        <v>79</v>
      </c>
      <c r="AN449" s="34" t="s">
        <v>2398</v>
      </c>
      <c r="AO449" s="35" t="s">
        <v>1673</v>
      </c>
      <c r="AP449" s="24">
        <f>168*2</f>
        <v>336</v>
      </c>
      <c r="AQ449" s="36">
        <f t="shared" si="171"/>
        <v>103.38461538461539</v>
      </c>
      <c r="AR449" s="80">
        <v>115</v>
      </c>
      <c r="AS449" s="47">
        <f t="shared" si="172"/>
        <v>11.615384615384613</v>
      </c>
      <c r="AT449" s="31"/>
      <c r="AU449" s="47">
        <f t="shared" si="173"/>
        <v>11.615384615384613</v>
      </c>
      <c r="AV449" s="83">
        <v>91.88</v>
      </c>
      <c r="AW449" s="24">
        <f t="shared" si="166"/>
        <v>10566.199999999999</v>
      </c>
      <c r="AX449" s="24">
        <f t="shared" si="182"/>
        <v>77.868352342998477</v>
      </c>
      <c r="AY449" s="24"/>
      <c r="AZ449" s="24"/>
      <c r="BA449" s="24"/>
      <c r="BB449" s="24">
        <f t="shared" si="174"/>
        <v>0</v>
      </c>
      <c r="BC449" s="24">
        <f t="shared" si="175"/>
        <v>3844.3750000000018</v>
      </c>
      <c r="BD449" s="24"/>
      <c r="BE449" s="24"/>
      <c r="BF449" s="24"/>
      <c r="BG449" s="24">
        <f>+AD449*9.5%</f>
        <v>1728.2874999999999</v>
      </c>
      <c r="BH449" s="24"/>
      <c r="BI449" s="24"/>
      <c r="BJ449" s="24">
        <f t="shared" si="177"/>
        <v>17.282875000000001</v>
      </c>
      <c r="BK449" s="24">
        <f t="shared" si="178"/>
        <v>5555.3796250000023</v>
      </c>
      <c r="BL449" s="24" t="s">
        <v>638</v>
      </c>
      <c r="BM449" s="42">
        <f t="shared" si="168"/>
        <v>3</v>
      </c>
      <c r="BN449" s="24" t="s">
        <v>139</v>
      </c>
      <c r="BO449" s="2" t="s">
        <v>84</v>
      </c>
    </row>
    <row r="450" spans="1:67" s="1" customFormat="1" ht="15" customHeight="1" x14ac:dyDescent="0.3">
      <c r="A450" s="20">
        <v>446</v>
      </c>
      <c r="B450" s="21">
        <v>46109</v>
      </c>
      <c r="C450" s="21">
        <v>46114</v>
      </c>
      <c r="D450" s="62" t="s">
        <v>2360</v>
      </c>
      <c r="E450" s="23">
        <v>46116</v>
      </c>
      <c r="F450" s="23" t="s">
        <v>7</v>
      </c>
      <c r="G450" s="24" t="s">
        <v>68</v>
      </c>
      <c r="H450" s="24" t="s">
        <v>69</v>
      </c>
      <c r="I450" s="24" t="s">
        <v>513</v>
      </c>
      <c r="J450" s="25" t="s">
        <v>514</v>
      </c>
      <c r="K450" s="45" t="str">
        <f t="shared" si="169"/>
        <v>WB67B3669</v>
      </c>
      <c r="L450" s="26">
        <v>46111</v>
      </c>
      <c r="M450" s="34" t="s">
        <v>2399</v>
      </c>
      <c r="N450" s="27">
        <v>8100963396</v>
      </c>
      <c r="O450" s="28">
        <v>0</v>
      </c>
      <c r="P450" s="27" t="s">
        <v>2400</v>
      </c>
      <c r="Q450" s="85">
        <v>2525383105</v>
      </c>
      <c r="R450" s="85">
        <v>2110834059</v>
      </c>
      <c r="S450" s="63" t="s">
        <v>73</v>
      </c>
      <c r="T450" s="24" t="s">
        <v>241</v>
      </c>
      <c r="U450" s="24" t="s">
        <v>75</v>
      </c>
      <c r="V450" s="32" t="s">
        <v>2401</v>
      </c>
      <c r="W450" s="32" t="s">
        <v>1634</v>
      </c>
      <c r="X450" s="32" t="s">
        <v>2402</v>
      </c>
      <c r="Y450" s="24">
        <v>1083</v>
      </c>
      <c r="Z450" s="24">
        <v>20</v>
      </c>
      <c r="AA450" s="24">
        <f t="shared" si="170"/>
        <v>1028.8499999999999</v>
      </c>
      <c r="AB450" s="24">
        <f t="shared" si="162"/>
        <v>21660</v>
      </c>
      <c r="AC450" s="24">
        <f t="shared" si="163"/>
        <v>20577</v>
      </c>
      <c r="AD450" s="24">
        <f t="shared" si="164"/>
        <v>20577</v>
      </c>
      <c r="AE450" s="24">
        <f t="shared" si="165"/>
        <v>1083</v>
      </c>
      <c r="AF450" s="24">
        <v>0</v>
      </c>
      <c r="AG450" s="33">
        <v>4400</v>
      </c>
      <c r="AH450" s="24"/>
      <c r="AI450" s="24"/>
      <c r="AJ450" s="24"/>
      <c r="AK450" s="24"/>
      <c r="AL450" s="24"/>
      <c r="AM450" s="24" t="s">
        <v>79</v>
      </c>
      <c r="AN450" s="34" t="s">
        <v>2403</v>
      </c>
      <c r="AO450" s="35" t="s">
        <v>1673</v>
      </c>
      <c r="AP450" s="24">
        <f>280*2</f>
        <v>560</v>
      </c>
      <c r="AQ450" s="36">
        <f t="shared" si="171"/>
        <v>172.30769230769232</v>
      </c>
      <c r="AR450" s="80">
        <v>151</v>
      </c>
      <c r="AS450" s="47">
        <f t="shared" si="172"/>
        <v>-21.307692307692321</v>
      </c>
      <c r="AT450" s="31"/>
      <c r="AU450" s="47">
        <f t="shared" si="173"/>
        <v>-21.307692307692321</v>
      </c>
      <c r="AV450" s="81">
        <v>91.99</v>
      </c>
      <c r="AW450" s="24">
        <f t="shared" si="166"/>
        <v>13890.49</v>
      </c>
      <c r="AX450" s="24">
        <f t="shared" si="182"/>
        <v>88.888030325120269</v>
      </c>
      <c r="AY450" s="24"/>
      <c r="AZ450" s="24"/>
      <c r="BA450" s="24"/>
      <c r="BB450" s="24">
        <f t="shared" si="174"/>
        <v>0</v>
      </c>
      <c r="BC450" s="24">
        <f t="shared" si="175"/>
        <v>2286.5100000000002</v>
      </c>
      <c r="BD450" s="24">
        <v>135</v>
      </c>
      <c r="BE450" s="24">
        <v>135</v>
      </c>
      <c r="BF450" s="24"/>
      <c r="BG450" s="24">
        <f>+AB450*9.5%</f>
        <v>2057.6999999999998</v>
      </c>
      <c r="BH450" s="24"/>
      <c r="BI450" s="24"/>
      <c r="BJ450" s="24">
        <f t="shared" si="177"/>
        <v>20.576999999999998</v>
      </c>
      <c r="BK450" s="24">
        <f t="shared" si="178"/>
        <v>4593.6329999999998</v>
      </c>
      <c r="BL450" s="24" t="s">
        <v>173</v>
      </c>
      <c r="BM450" s="42">
        <f t="shared" si="168"/>
        <v>3</v>
      </c>
      <c r="BN450" s="24" t="s">
        <v>139</v>
      </c>
      <c r="BO450" s="2" t="s">
        <v>175</v>
      </c>
    </row>
    <row r="451" spans="1:67" s="1" customFormat="1" ht="15" customHeight="1" x14ac:dyDescent="0.3">
      <c r="A451" s="20">
        <v>447</v>
      </c>
      <c r="B451" s="21">
        <v>46109</v>
      </c>
      <c r="C451" s="21">
        <v>46114</v>
      </c>
      <c r="D451" s="62" t="s">
        <v>2360</v>
      </c>
      <c r="E451" s="23">
        <v>46116</v>
      </c>
      <c r="F451" s="23" t="s">
        <v>7</v>
      </c>
      <c r="G451" s="24" t="s">
        <v>68</v>
      </c>
      <c r="H451" s="24" t="s">
        <v>69</v>
      </c>
      <c r="I451" s="24" t="s">
        <v>513</v>
      </c>
      <c r="J451" s="25" t="s">
        <v>514</v>
      </c>
      <c r="K451" s="45" t="str">
        <f t="shared" si="169"/>
        <v>WB67B3669</v>
      </c>
      <c r="L451" s="26">
        <v>46111</v>
      </c>
      <c r="M451" s="34" t="s">
        <v>2404</v>
      </c>
      <c r="N451" s="27">
        <v>8100963398</v>
      </c>
      <c r="O451" s="28">
        <v>0</v>
      </c>
      <c r="P451" s="27" t="s">
        <v>2405</v>
      </c>
      <c r="Q451" s="85">
        <v>2525383106</v>
      </c>
      <c r="R451" s="85">
        <v>2110834080</v>
      </c>
      <c r="S451" s="63" t="s">
        <v>73</v>
      </c>
      <c r="T451" s="24" t="s">
        <v>241</v>
      </c>
      <c r="U451" s="24" t="s">
        <v>75</v>
      </c>
      <c r="V451" s="32" t="s">
        <v>2401</v>
      </c>
      <c r="W451" s="32" t="s">
        <v>1634</v>
      </c>
      <c r="X451" s="32"/>
      <c r="Y451" s="24">
        <v>1083</v>
      </c>
      <c r="Z451" s="24">
        <v>10</v>
      </c>
      <c r="AA451" s="24">
        <f t="shared" si="170"/>
        <v>1028.8499999999999</v>
      </c>
      <c r="AB451" s="24">
        <f t="shared" si="162"/>
        <v>10830</v>
      </c>
      <c r="AC451" s="24">
        <f t="shared" si="163"/>
        <v>10288.5</v>
      </c>
      <c r="AD451" s="24">
        <f t="shared" si="164"/>
        <v>10288.5</v>
      </c>
      <c r="AE451" s="24">
        <f t="shared" si="165"/>
        <v>541.5</v>
      </c>
      <c r="AF451" s="24">
        <v>0</v>
      </c>
      <c r="AG451" s="31">
        <v>0</v>
      </c>
      <c r="AH451" s="24"/>
      <c r="AI451" s="24"/>
      <c r="AJ451" s="24"/>
      <c r="AK451" s="24"/>
      <c r="AL451" s="24"/>
      <c r="AM451" s="24">
        <v>0</v>
      </c>
      <c r="AN451" s="34" t="s">
        <v>213</v>
      </c>
      <c r="AO451" s="35"/>
      <c r="AP451" s="24"/>
      <c r="AQ451" s="36">
        <f t="shared" si="171"/>
        <v>0</v>
      </c>
      <c r="AR451" s="16"/>
      <c r="AS451" s="47">
        <f t="shared" si="172"/>
        <v>0</v>
      </c>
      <c r="AT451" s="31"/>
      <c r="AU451" s="47">
        <f t="shared" si="173"/>
        <v>0</v>
      </c>
      <c r="AV451" s="48">
        <v>91.99</v>
      </c>
      <c r="AW451" s="24">
        <f t="shared" si="166"/>
        <v>0</v>
      </c>
      <c r="AX451" s="24">
        <f t="shared" si="182"/>
        <v>0</v>
      </c>
      <c r="AY451" s="24"/>
      <c r="AZ451" s="24"/>
      <c r="BA451" s="24"/>
      <c r="BB451" s="24">
        <f t="shared" si="174"/>
        <v>0</v>
      </c>
      <c r="BC451" s="24">
        <f t="shared" si="175"/>
        <v>10288.5</v>
      </c>
      <c r="BD451" s="24"/>
      <c r="BE451" s="24"/>
      <c r="BF451" s="24"/>
      <c r="BG451" s="24">
        <f>+AB451*9.5%</f>
        <v>1028.8499999999999</v>
      </c>
      <c r="BH451" s="24"/>
      <c r="BI451" s="24"/>
      <c r="BJ451" s="24">
        <f t="shared" si="177"/>
        <v>10.288499999999999</v>
      </c>
      <c r="BK451" s="24">
        <f t="shared" si="178"/>
        <v>11307.0615</v>
      </c>
      <c r="BL451" s="24" t="s">
        <v>173</v>
      </c>
      <c r="BM451" s="42">
        <f t="shared" si="168"/>
        <v>3</v>
      </c>
      <c r="BN451" s="24" t="s">
        <v>139</v>
      </c>
      <c r="BO451" s="2" t="s">
        <v>175</v>
      </c>
    </row>
    <row r="452" spans="1:67" s="1" customFormat="1" ht="15" customHeight="1" x14ac:dyDescent="0.3">
      <c r="A452" s="20">
        <v>448</v>
      </c>
      <c r="B452" s="21">
        <v>46110</v>
      </c>
      <c r="C452" s="21">
        <v>46114</v>
      </c>
      <c r="D452" s="62" t="s">
        <v>2360</v>
      </c>
      <c r="E452" s="23">
        <v>46116</v>
      </c>
      <c r="F452" s="23" t="s">
        <v>7</v>
      </c>
      <c r="G452" s="24" t="s">
        <v>68</v>
      </c>
      <c r="H452" s="24" t="s">
        <v>69</v>
      </c>
      <c r="I452" s="24" t="s">
        <v>166</v>
      </c>
      <c r="J452" s="25" t="s">
        <v>924</v>
      </c>
      <c r="K452" s="45" t="str">
        <f t="shared" si="169"/>
        <v>WB41H1234</v>
      </c>
      <c r="L452" s="26">
        <v>46111</v>
      </c>
      <c r="M452" s="34" t="s">
        <v>2406</v>
      </c>
      <c r="N452" s="85">
        <v>8100963935</v>
      </c>
      <c r="O452" s="28">
        <v>0</v>
      </c>
      <c r="P452" s="27" t="s">
        <v>2407</v>
      </c>
      <c r="Q452" s="85">
        <v>2525383413</v>
      </c>
      <c r="R452" s="85">
        <v>2110834489</v>
      </c>
      <c r="S452" s="63" t="s">
        <v>73</v>
      </c>
      <c r="T452" s="24" t="s">
        <v>91</v>
      </c>
      <c r="U452" s="24" t="s">
        <v>75</v>
      </c>
      <c r="V452" s="32" t="s">
        <v>908</v>
      </c>
      <c r="W452" s="32" t="s">
        <v>909</v>
      </c>
      <c r="X452" s="32" t="s">
        <v>2408</v>
      </c>
      <c r="Y452" s="24">
        <v>1063</v>
      </c>
      <c r="Z452" s="24">
        <v>25</v>
      </c>
      <c r="AA452" s="24">
        <f t="shared" si="170"/>
        <v>1009.85</v>
      </c>
      <c r="AB452" s="24">
        <f t="shared" si="162"/>
        <v>26575</v>
      </c>
      <c r="AC452" s="24">
        <f t="shared" si="163"/>
        <v>25246.25</v>
      </c>
      <c r="AD452" s="24">
        <f t="shared" si="164"/>
        <v>25246.25</v>
      </c>
      <c r="AE452" s="24">
        <f t="shared" si="165"/>
        <v>1328.75</v>
      </c>
      <c r="AF452" s="24">
        <v>0</v>
      </c>
      <c r="AG452" s="33">
        <v>3500</v>
      </c>
      <c r="AH452" s="24"/>
      <c r="AI452" s="24"/>
      <c r="AJ452" s="24"/>
      <c r="AK452" s="24"/>
      <c r="AL452" s="24"/>
      <c r="AM452" s="24" t="s">
        <v>79</v>
      </c>
      <c r="AN452" s="34" t="s">
        <v>2409</v>
      </c>
      <c r="AO452" s="35" t="s">
        <v>1673</v>
      </c>
      <c r="AP452" s="24">
        <f>251*2</f>
        <v>502</v>
      </c>
      <c r="AQ452" s="36">
        <f t="shared" si="171"/>
        <v>154.46153846153845</v>
      </c>
      <c r="AR452" s="80">
        <v>170</v>
      </c>
      <c r="AS452" s="47">
        <f t="shared" si="172"/>
        <v>15.538461538461547</v>
      </c>
      <c r="AT452" s="31"/>
      <c r="AU452" s="47">
        <f t="shared" si="173"/>
        <v>15.538461538461547</v>
      </c>
      <c r="AV452" s="81">
        <v>91.99</v>
      </c>
      <c r="AW452" s="24">
        <f t="shared" si="166"/>
        <v>15638.3</v>
      </c>
      <c r="AX452" s="24">
        <f t="shared" si="182"/>
        <v>75.806505916720297</v>
      </c>
      <c r="AY452" s="24"/>
      <c r="AZ452" s="24"/>
      <c r="BA452" s="24"/>
      <c r="BB452" s="24">
        <f t="shared" si="174"/>
        <v>0</v>
      </c>
      <c r="BC452" s="24">
        <f t="shared" si="175"/>
        <v>6107.9500000000007</v>
      </c>
      <c r="BD452" s="24"/>
      <c r="BE452" s="24"/>
      <c r="BF452" s="24"/>
      <c r="BG452" s="24">
        <f>+AB452*9.5%</f>
        <v>2524.625</v>
      </c>
      <c r="BH452" s="24"/>
      <c r="BI452" s="24"/>
      <c r="BJ452" s="24">
        <f t="shared" si="177"/>
        <v>25.24625</v>
      </c>
      <c r="BK452" s="24">
        <f t="shared" si="178"/>
        <v>8607.3287500000006</v>
      </c>
      <c r="BL452" s="24" t="s">
        <v>687</v>
      </c>
      <c r="BM452" s="42">
        <f t="shared" si="168"/>
        <v>2</v>
      </c>
      <c r="BN452" s="24" t="s">
        <v>83</v>
      </c>
      <c r="BO452" s="2" t="s">
        <v>84</v>
      </c>
    </row>
    <row r="453" spans="1:67" s="1" customFormat="1" ht="15" customHeight="1" x14ac:dyDescent="0.3">
      <c r="A453" s="20">
        <v>449</v>
      </c>
      <c r="B453" s="21">
        <v>46110</v>
      </c>
      <c r="C453" s="21">
        <v>46114</v>
      </c>
      <c r="D453" s="50" t="s">
        <v>704</v>
      </c>
      <c r="E453" s="23">
        <v>46158</v>
      </c>
      <c r="F453" s="23" t="s">
        <v>7</v>
      </c>
      <c r="G453" s="24" t="s">
        <v>68</v>
      </c>
      <c r="H453" s="24" t="s">
        <v>69</v>
      </c>
      <c r="I453" s="24" t="s">
        <v>122</v>
      </c>
      <c r="J453" s="25" t="s">
        <v>123</v>
      </c>
      <c r="K453" s="45" t="str">
        <f t="shared" si="169"/>
        <v>WB23C9555</v>
      </c>
      <c r="L453" s="26">
        <v>46110</v>
      </c>
      <c r="M453" s="34" t="s">
        <v>2410</v>
      </c>
      <c r="N453" s="85">
        <v>8100963937</v>
      </c>
      <c r="O453" s="28">
        <v>0</v>
      </c>
      <c r="P453" s="27" t="s">
        <v>2411</v>
      </c>
      <c r="Q453" s="85">
        <v>2525383415</v>
      </c>
      <c r="R453" s="85">
        <v>2110834491</v>
      </c>
      <c r="S453" s="31" t="s">
        <v>73</v>
      </c>
      <c r="T453" s="24" t="s">
        <v>91</v>
      </c>
      <c r="U453" s="24" t="s">
        <v>75</v>
      </c>
      <c r="V453" s="32" t="s">
        <v>708</v>
      </c>
      <c r="W453" s="32" t="s">
        <v>709</v>
      </c>
      <c r="X453" s="32" t="s">
        <v>2412</v>
      </c>
      <c r="Y453" s="24">
        <v>656</v>
      </c>
      <c r="Z453" s="24">
        <v>25</v>
      </c>
      <c r="AA453" s="24">
        <f t="shared" si="170"/>
        <v>623.19999999999993</v>
      </c>
      <c r="AB453" s="24">
        <f t="shared" ref="AB453:AB498" si="192">+Z453*Y453</f>
        <v>16400</v>
      </c>
      <c r="AC453" s="24">
        <f t="shared" ref="AC453:AC498" si="193">+AB453/100*95</f>
        <v>15580</v>
      </c>
      <c r="AD453" s="24">
        <f t="shared" ref="AD453:AD498" si="194">+AA453*Z453</f>
        <v>15579.999999999998</v>
      </c>
      <c r="AE453" s="24">
        <f t="shared" ref="AE453:AE498" si="195">+AB453-AD453</f>
        <v>820.00000000000182</v>
      </c>
      <c r="AF453" s="24">
        <v>0</v>
      </c>
      <c r="AG453" s="33">
        <v>3200</v>
      </c>
      <c r="AH453" s="24"/>
      <c r="AI453" s="24"/>
      <c r="AJ453" s="24"/>
      <c r="AK453" s="24"/>
      <c r="AL453" s="24"/>
      <c r="AM453" s="24" t="s">
        <v>79</v>
      </c>
      <c r="AN453" s="34" t="s">
        <v>2413</v>
      </c>
      <c r="AO453" s="35" t="s">
        <v>1673</v>
      </c>
      <c r="AP453" s="24">
        <f>137*2</f>
        <v>274</v>
      </c>
      <c r="AQ453" s="36">
        <f t="shared" si="171"/>
        <v>84.307692307692307</v>
      </c>
      <c r="AR453" s="80">
        <v>85</v>
      </c>
      <c r="AS453" s="47">
        <f t="shared" si="172"/>
        <v>0.6923076923076934</v>
      </c>
      <c r="AT453" s="31"/>
      <c r="AU453" s="47">
        <f t="shared" si="173"/>
        <v>0.6923076923076934</v>
      </c>
      <c r="AV453" s="81">
        <v>91.99</v>
      </c>
      <c r="AW453" s="24">
        <f t="shared" ref="AW453:AW498" si="196">+AR453*AV453</f>
        <v>7819.15</v>
      </c>
      <c r="AX453" s="24">
        <f t="shared" si="182"/>
        <v>70.726251604621311</v>
      </c>
      <c r="AY453" s="24"/>
      <c r="AZ453" s="24"/>
      <c r="BA453" s="24"/>
      <c r="BB453" s="24">
        <f t="shared" si="174"/>
        <v>0</v>
      </c>
      <c r="BC453" s="24">
        <f t="shared" si="175"/>
        <v>4560.8499999999985</v>
      </c>
      <c r="BD453" s="24"/>
      <c r="BE453" s="24"/>
      <c r="BF453" s="24"/>
      <c r="BG453" s="24">
        <f>+AB453*9.5%</f>
        <v>1558</v>
      </c>
      <c r="BH453" s="24"/>
      <c r="BI453" s="24"/>
      <c r="BJ453" s="24">
        <f t="shared" si="177"/>
        <v>15.58</v>
      </c>
      <c r="BK453" s="24">
        <f t="shared" si="178"/>
        <v>6103.2699999999986</v>
      </c>
      <c r="BL453" s="24" t="s">
        <v>128</v>
      </c>
      <c r="BM453" s="42">
        <f t="shared" ref="BM453:BM499" si="197">+L453-B453+1</f>
        <v>1</v>
      </c>
      <c r="BN453" s="24" t="s">
        <v>610</v>
      </c>
      <c r="BO453" s="2" t="s">
        <v>440</v>
      </c>
    </row>
    <row r="454" spans="1:67" s="1" customFormat="1" ht="15" customHeight="1" x14ac:dyDescent="0.3">
      <c r="A454" s="20">
        <v>450</v>
      </c>
      <c r="B454" s="21">
        <v>46110</v>
      </c>
      <c r="C454" s="21">
        <v>46112</v>
      </c>
      <c r="D454" s="62" t="s">
        <v>2360</v>
      </c>
      <c r="E454" s="23">
        <v>46116</v>
      </c>
      <c r="F454" s="23" t="s">
        <v>7</v>
      </c>
      <c r="G454" s="24" t="s">
        <v>68</v>
      </c>
      <c r="H454" s="24" t="s">
        <v>69</v>
      </c>
      <c r="I454" s="24" t="s">
        <v>70</v>
      </c>
      <c r="J454" s="25" t="s">
        <v>630</v>
      </c>
      <c r="K454" s="45" t="str">
        <f t="shared" ref="K454:K498" si="198">CONCATENATE(H454,I454,J454)</f>
        <v>WB39B8879</v>
      </c>
      <c r="L454" s="26">
        <v>46111</v>
      </c>
      <c r="M454" s="34" t="s">
        <v>2414</v>
      </c>
      <c r="N454" s="85">
        <v>8100963950</v>
      </c>
      <c r="O454" s="28">
        <v>0</v>
      </c>
      <c r="P454" s="27" t="s">
        <v>2415</v>
      </c>
      <c r="Q454" s="85">
        <v>2525383446</v>
      </c>
      <c r="R454" s="85">
        <v>2110834466</v>
      </c>
      <c r="S454" s="31" t="s">
        <v>73</v>
      </c>
      <c r="T454" s="24" t="s">
        <v>91</v>
      </c>
      <c r="U454" s="24" t="s">
        <v>75</v>
      </c>
      <c r="V454" s="32" t="s">
        <v>616</v>
      </c>
      <c r="W454" s="32" t="s">
        <v>574</v>
      </c>
      <c r="X454" s="32"/>
      <c r="Y454" s="24">
        <v>934</v>
      </c>
      <c r="Z454" s="24">
        <v>25</v>
      </c>
      <c r="AA454" s="24">
        <f t="shared" ref="AA454:AA498" si="199">+Y454/100*95</f>
        <v>887.3</v>
      </c>
      <c r="AB454" s="24">
        <f t="shared" si="192"/>
        <v>23350</v>
      </c>
      <c r="AC454" s="24">
        <f t="shared" si="193"/>
        <v>22182.5</v>
      </c>
      <c r="AD454" s="24">
        <f t="shared" si="194"/>
        <v>22182.5</v>
      </c>
      <c r="AE454" s="24">
        <f t="shared" si="195"/>
        <v>1167.5</v>
      </c>
      <c r="AF454" s="24">
        <f t="shared" si="185"/>
        <v>221.82500000000002</v>
      </c>
      <c r="AG454" s="33">
        <v>3600</v>
      </c>
      <c r="AH454" s="24"/>
      <c r="AI454" s="24"/>
      <c r="AJ454" s="24"/>
      <c r="AK454" s="24"/>
      <c r="AL454" s="24"/>
      <c r="AM454" s="24" t="s">
        <v>79</v>
      </c>
      <c r="AN454" s="34" t="s">
        <v>2416</v>
      </c>
      <c r="AO454" s="35" t="s">
        <v>1673</v>
      </c>
      <c r="AP454" s="24">
        <f>225*2</f>
        <v>450</v>
      </c>
      <c r="AQ454" s="36">
        <f t="shared" ref="AQ454:AQ498" si="200">+AP454/3.25</f>
        <v>138.46153846153845</v>
      </c>
      <c r="AR454" s="80">
        <v>150</v>
      </c>
      <c r="AS454" s="47">
        <f t="shared" ref="AS454:AS498" si="201">+AR454-AQ454</f>
        <v>11.538461538461547</v>
      </c>
      <c r="AT454" s="31"/>
      <c r="AU454" s="47">
        <f t="shared" ref="AU454:AU498" si="202">+AS454-AT454</f>
        <v>11.538461538461547</v>
      </c>
      <c r="AV454" s="83">
        <v>91.88</v>
      </c>
      <c r="AW454" s="24">
        <f t="shared" si="196"/>
        <v>13782</v>
      </c>
      <c r="AX454" s="24">
        <f t="shared" si="182"/>
        <v>78.359066831962139</v>
      </c>
      <c r="AY454" s="24"/>
      <c r="AZ454" s="24"/>
      <c r="BA454" s="24"/>
      <c r="BB454" s="24">
        <f t="shared" ref="BB454:BB498" si="203">+AZ454*BA454</f>
        <v>0</v>
      </c>
      <c r="BC454" s="24">
        <f t="shared" ref="BC454:BC498" si="204">+AD454-AF454-AG454-AH454-AI454-AJ454-AK454-AW454-AY454-BB454-AL454</f>
        <v>4578.6749999999993</v>
      </c>
      <c r="BD454" s="24"/>
      <c r="BE454" s="24"/>
      <c r="BF454" s="24"/>
      <c r="BG454" s="24">
        <f>+AD454*9.5%</f>
        <v>2107.3375000000001</v>
      </c>
      <c r="BH454" s="24"/>
      <c r="BI454" s="24"/>
      <c r="BJ454" s="24">
        <f t="shared" ref="BJ454:BJ498" si="205">+(+BF454+BG454+BH454+BI454)*1%</f>
        <v>21.073375000000002</v>
      </c>
      <c r="BK454" s="24">
        <f t="shared" ref="BK454:BK498" si="206">+BC454+BD454+BE454+BF454+BG454+BH454+BI454-BJ454</f>
        <v>6664.939124999999</v>
      </c>
      <c r="BL454" s="24" t="s">
        <v>638</v>
      </c>
      <c r="BM454" s="42">
        <f t="shared" si="197"/>
        <v>2</v>
      </c>
      <c r="BN454" s="24" t="s">
        <v>83</v>
      </c>
      <c r="BO454" s="2" t="s">
        <v>84</v>
      </c>
    </row>
    <row r="455" spans="1:67" s="1" customFormat="1" ht="15" customHeight="1" x14ac:dyDescent="0.3">
      <c r="A455" s="20">
        <v>451</v>
      </c>
      <c r="B455" s="21">
        <v>46110</v>
      </c>
      <c r="C455" s="21">
        <v>46114</v>
      </c>
      <c r="D455" s="73" t="s">
        <v>2146</v>
      </c>
      <c r="E455" s="23">
        <v>46116</v>
      </c>
      <c r="F455" s="23" t="s">
        <v>7</v>
      </c>
      <c r="G455" s="24" t="s">
        <v>87</v>
      </c>
      <c r="H455" s="24" t="s">
        <v>69</v>
      </c>
      <c r="I455" s="24" t="s">
        <v>729</v>
      </c>
      <c r="J455" s="25" t="s">
        <v>730</v>
      </c>
      <c r="K455" s="45" t="str">
        <f t="shared" si="198"/>
        <v>WB53B7628</v>
      </c>
      <c r="L455" s="26">
        <v>46111</v>
      </c>
      <c r="M455" s="34" t="s">
        <v>2417</v>
      </c>
      <c r="N455" s="85">
        <v>8100962866</v>
      </c>
      <c r="O455" s="28">
        <v>0</v>
      </c>
      <c r="P455" s="27"/>
      <c r="Q455" s="85">
        <v>2525383420</v>
      </c>
      <c r="R455" s="85">
        <v>2110833653</v>
      </c>
      <c r="S455" s="31" t="s">
        <v>73</v>
      </c>
      <c r="T455" s="24" t="s">
        <v>91</v>
      </c>
      <c r="U455" s="24" t="s">
        <v>75</v>
      </c>
      <c r="V455" s="32" t="s">
        <v>2418</v>
      </c>
      <c r="W455" s="32" t="s">
        <v>2419</v>
      </c>
      <c r="X455" s="32" t="s">
        <v>2419</v>
      </c>
      <c r="Y455" s="24">
        <v>394</v>
      </c>
      <c r="Z455" s="24">
        <v>25</v>
      </c>
      <c r="AA455" s="24">
        <f t="shared" si="199"/>
        <v>374.3</v>
      </c>
      <c r="AB455" s="24">
        <f t="shared" si="192"/>
        <v>9850</v>
      </c>
      <c r="AC455" s="24">
        <f t="shared" si="193"/>
        <v>9357.5</v>
      </c>
      <c r="AD455" s="24">
        <f t="shared" si="194"/>
        <v>9357.5</v>
      </c>
      <c r="AE455" s="24">
        <f t="shared" si="195"/>
        <v>492.5</v>
      </c>
      <c r="AF455" s="24">
        <v>0</v>
      </c>
      <c r="AG455" s="33">
        <v>3700</v>
      </c>
      <c r="AH455" s="24">
        <v>3000</v>
      </c>
      <c r="AI455" s="24"/>
      <c r="AJ455" s="24"/>
      <c r="AK455" s="24"/>
      <c r="AL455" s="24"/>
      <c r="AM455" s="24" t="s">
        <v>79</v>
      </c>
      <c r="AN455" s="34" t="s">
        <v>2420</v>
      </c>
      <c r="AO455" s="35" t="s">
        <v>1673</v>
      </c>
      <c r="AP455" s="24">
        <f>48*2</f>
        <v>96</v>
      </c>
      <c r="AQ455" s="36">
        <f t="shared" si="200"/>
        <v>29.53846153846154</v>
      </c>
      <c r="AR455" s="80">
        <v>30</v>
      </c>
      <c r="AS455" s="47">
        <f t="shared" si="201"/>
        <v>0.4615384615384599</v>
      </c>
      <c r="AT455" s="31"/>
      <c r="AU455" s="47">
        <f t="shared" si="202"/>
        <v>0.4615384615384599</v>
      </c>
      <c r="AV455" s="81">
        <v>91.99</v>
      </c>
      <c r="AW455" s="24">
        <f t="shared" si="196"/>
        <v>2759.7</v>
      </c>
      <c r="AX455" s="24">
        <f t="shared" si="182"/>
        <v>69.032327010419451</v>
      </c>
      <c r="AY455" s="24"/>
      <c r="AZ455" s="24"/>
      <c r="BA455" s="24"/>
      <c r="BB455" s="24">
        <f t="shared" si="203"/>
        <v>0</v>
      </c>
      <c r="BC455" s="24">
        <f t="shared" si="204"/>
        <v>-102.19999999999982</v>
      </c>
      <c r="BD455" s="24"/>
      <c r="BE455" s="24"/>
      <c r="BF455" s="24">
        <v>750</v>
      </c>
      <c r="BG455" s="24">
        <f>+AB455*9.5%</f>
        <v>935.75</v>
      </c>
      <c r="BH455" s="24"/>
      <c r="BI455" s="24"/>
      <c r="BJ455" s="24">
        <f t="shared" si="205"/>
        <v>16.857500000000002</v>
      </c>
      <c r="BK455" s="24">
        <f t="shared" si="206"/>
        <v>1566.6925000000001</v>
      </c>
      <c r="BL455" s="24" t="s">
        <v>735</v>
      </c>
      <c r="BM455" s="42">
        <f t="shared" si="197"/>
        <v>2</v>
      </c>
      <c r="BN455" s="24" t="s">
        <v>83</v>
      </c>
      <c r="BO455" s="2" t="s">
        <v>424</v>
      </c>
    </row>
    <row r="456" spans="1:67" s="1" customFormat="1" ht="15" customHeight="1" x14ac:dyDescent="0.3">
      <c r="A456" s="20">
        <v>452</v>
      </c>
      <c r="B456" s="21">
        <v>46110</v>
      </c>
      <c r="C456" s="21">
        <v>46114</v>
      </c>
      <c r="D456" s="50" t="s">
        <v>410</v>
      </c>
      <c r="E456" s="23">
        <v>46123</v>
      </c>
      <c r="F456" s="23" t="s">
        <v>7</v>
      </c>
      <c r="G456" s="24" t="s">
        <v>68</v>
      </c>
      <c r="H456" s="24" t="s">
        <v>69</v>
      </c>
      <c r="I456" s="24">
        <v>35</v>
      </c>
      <c r="J456" s="25" t="s">
        <v>451</v>
      </c>
      <c r="K456" s="59" t="str">
        <f t="shared" si="198"/>
        <v>WB351813</v>
      </c>
      <c r="L456" s="26">
        <v>46111</v>
      </c>
      <c r="M456" s="34" t="s">
        <v>2421</v>
      </c>
      <c r="N456" s="85">
        <v>8100963966</v>
      </c>
      <c r="O456" s="28">
        <v>0</v>
      </c>
      <c r="P456" s="27" t="s">
        <v>2422</v>
      </c>
      <c r="Q456" s="85">
        <v>2525383458</v>
      </c>
      <c r="R456" s="85">
        <v>2110834537</v>
      </c>
      <c r="S456" s="60" t="s">
        <v>73</v>
      </c>
      <c r="T456" s="24" t="s">
        <v>91</v>
      </c>
      <c r="U456" s="24" t="s">
        <v>75</v>
      </c>
      <c r="V456" s="32" t="s">
        <v>2423</v>
      </c>
      <c r="W456" s="32" t="s">
        <v>415</v>
      </c>
      <c r="X456" s="32" t="s">
        <v>2424</v>
      </c>
      <c r="Y456" s="24">
        <v>783</v>
      </c>
      <c r="Z456" s="24">
        <v>25</v>
      </c>
      <c r="AA456" s="24">
        <f t="shared" si="199"/>
        <v>743.85</v>
      </c>
      <c r="AB456" s="24">
        <f t="shared" si="192"/>
        <v>19575</v>
      </c>
      <c r="AC456" s="24">
        <f t="shared" si="193"/>
        <v>18596.25</v>
      </c>
      <c r="AD456" s="24">
        <f t="shared" si="194"/>
        <v>18596.25</v>
      </c>
      <c r="AE456" s="24">
        <f t="shared" si="195"/>
        <v>978.75</v>
      </c>
      <c r="AF456" s="24">
        <v>0</v>
      </c>
      <c r="AG456" s="33">
        <v>3700</v>
      </c>
      <c r="AH456" s="24"/>
      <c r="AI456" s="24"/>
      <c r="AJ456" s="24"/>
      <c r="AK456" s="24"/>
      <c r="AL456" s="24"/>
      <c r="AM456" s="24" t="s">
        <v>79</v>
      </c>
      <c r="AN456" s="34" t="s">
        <v>2425</v>
      </c>
      <c r="AO456" s="35" t="s">
        <v>1673</v>
      </c>
      <c r="AP456" s="24">
        <f>159*2</f>
        <v>318</v>
      </c>
      <c r="AQ456" s="36">
        <f t="shared" si="200"/>
        <v>97.84615384615384</v>
      </c>
      <c r="AR456" s="80">
        <v>97</v>
      </c>
      <c r="AS456" s="47">
        <f t="shared" si="201"/>
        <v>-0.84615384615383959</v>
      </c>
      <c r="AT456" s="31"/>
      <c r="AU456" s="47">
        <f t="shared" si="202"/>
        <v>-0.84615384615383959</v>
      </c>
      <c r="AV456" s="83">
        <v>91.88</v>
      </c>
      <c r="AW456" s="24">
        <f t="shared" si="196"/>
        <v>8912.3599999999988</v>
      </c>
      <c r="AX456" s="24">
        <f t="shared" si="182"/>
        <v>67.822060899374875</v>
      </c>
      <c r="AY456" s="24"/>
      <c r="AZ456" s="24"/>
      <c r="BA456" s="24"/>
      <c r="BB456" s="24">
        <f t="shared" si="203"/>
        <v>0</v>
      </c>
      <c r="BC456" s="24">
        <f t="shared" si="204"/>
        <v>5983.8900000000012</v>
      </c>
      <c r="BD456" s="24">
        <v>135</v>
      </c>
      <c r="BE456" s="24">
        <v>135</v>
      </c>
      <c r="BF456" s="24"/>
      <c r="BG456" s="24">
        <f>+AB456*9.5%</f>
        <v>1859.625</v>
      </c>
      <c r="BH456" s="24"/>
      <c r="BI456" s="24"/>
      <c r="BJ456" s="24">
        <f t="shared" si="205"/>
        <v>18.596250000000001</v>
      </c>
      <c r="BK456" s="24">
        <f t="shared" si="206"/>
        <v>8094.9187500000016</v>
      </c>
      <c r="BL456" s="24" t="s">
        <v>155</v>
      </c>
      <c r="BM456" s="42">
        <f t="shared" si="197"/>
        <v>2</v>
      </c>
      <c r="BN456" s="24" t="s">
        <v>83</v>
      </c>
      <c r="BO456" s="2" t="s">
        <v>424</v>
      </c>
    </row>
    <row r="457" spans="1:67" s="1" customFormat="1" ht="15" customHeight="1" x14ac:dyDescent="0.3">
      <c r="A457" s="20">
        <v>453</v>
      </c>
      <c r="B457" s="21">
        <v>46110</v>
      </c>
      <c r="C457" s="21">
        <v>46119</v>
      </c>
      <c r="D457" s="50" t="s">
        <v>1674</v>
      </c>
      <c r="E457" s="23">
        <v>46139</v>
      </c>
      <c r="F457" s="23" t="s">
        <v>7</v>
      </c>
      <c r="G457" s="24" t="s">
        <v>68</v>
      </c>
      <c r="H457" s="24" t="s">
        <v>69</v>
      </c>
      <c r="I457" s="24" t="s">
        <v>263</v>
      </c>
      <c r="J457" s="25" t="s">
        <v>316</v>
      </c>
      <c r="K457" s="45" t="str">
        <f t="shared" si="198"/>
        <v>WB41G6396</v>
      </c>
      <c r="L457" s="26">
        <v>46111</v>
      </c>
      <c r="M457" s="34" t="s">
        <v>2426</v>
      </c>
      <c r="N457" s="85">
        <v>8100964015</v>
      </c>
      <c r="O457" s="28">
        <v>0</v>
      </c>
      <c r="P457" s="27" t="s">
        <v>2427</v>
      </c>
      <c r="Q457" s="85">
        <v>2525383471</v>
      </c>
      <c r="R457" s="85">
        <v>2110834567</v>
      </c>
      <c r="S457" s="31" t="s">
        <v>73</v>
      </c>
      <c r="T457" s="24" t="s">
        <v>91</v>
      </c>
      <c r="U457" s="24" t="s">
        <v>75</v>
      </c>
      <c r="V457" s="32" t="s">
        <v>2428</v>
      </c>
      <c r="W457" s="32" t="s">
        <v>2369</v>
      </c>
      <c r="X457" s="32" t="s">
        <v>2429</v>
      </c>
      <c r="Y457" s="24">
        <v>1170</v>
      </c>
      <c r="Z457" s="24">
        <v>25</v>
      </c>
      <c r="AA457" s="24">
        <f t="shared" si="199"/>
        <v>1111.5</v>
      </c>
      <c r="AB457" s="24">
        <f t="shared" si="192"/>
        <v>29250</v>
      </c>
      <c r="AC457" s="24">
        <f t="shared" si="193"/>
        <v>27787.5</v>
      </c>
      <c r="AD457" s="24">
        <f t="shared" si="194"/>
        <v>27787.5</v>
      </c>
      <c r="AE457" s="24">
        <f t="shared" si="195"/>
        <v>1462.5</v>
      </c>
      <c r="AF457" s="24">
        <v>0</v>
      </c>
      <c r="AG457" s="33">
        <v>7500</v>
      </c>
      <c r="AH457" s="24"/>
      <c r="AI457" s="24"/>
      <c r="AJ457" s="24"/>
      <c r="AK457" s="24"/>
      <c r="AL457" s="24"/>
      <c r="AM457" s="24" t="s">
        <v>79</v>
      </c>
      <c r="AN457" s="34" t="s">
        <v>2430</v>
      </c>
      <c r="AO457" s="35" t="s">
        <v>1673</v>
      </c>
      <c r="AP457" s="24">
        <f>286*2</f>
        <v>572</v>
      </c>
      <c r="AQ457" s="36">
        <f t="shared" si="200"/>
        <v>176</v>
      </c>
      <c r="AR457" s="80">
        <v>150</v>
      </c>
      <c r="AS457" s="47">
        <f t="shared" si="201"/>
        <v>-26</v>
      </c>
      <c r="AT457" s="31"/>
      <c r="AU457" s="47">
        <f t="shared" si="202"/>
        <v>-26</v>
      </c>
      <c r="AV457" s="81">
        <v>91.99</v>
      </c>
      <c r="AW457" s="24">
        <f t="shared" si="196"/>
        <v>13798.5</v>
      </c>
      <c r="AX457" s="24">
        <f t="shared" si="182"/>
        <v>76.647773279352222</v>
      </c>
      <c r="AY457" s="24"/>
      <c r="AZ457" s="24"/>
      <c r="BA457" s="24"/>
      <c r="BB457" s="24">
        <f t="shared" si="203"/>
        <v>0</v>
      </c>
      <c r="BC457" s="24">
        <f t="shared" si="204"/>
        <v>6489</v>
      </c>
      <c r="BD457" s="24"/>
      <c r="BE457" s="24"/>
      <c r="BF457" s="24"/>
      <c r="BG457" s="24">
        <f>+AB457*9.5%</f>
        <v>2778.75</v>
      </c>
      <c r="BH457" s="24"/>
      <c r="BI457" s="24"/>
      <c r="BJ457" s="24">
        <f t="shared" si="205"/>
        <v>27.787500000000001</v>
      </c>
      <c r="BK457" s="24">
        <f t="shared" si="206"/>
        <v>9239.9624999999996</v>
      </c>
      <c r="BL457" s="24" t="s">
        <v>121</v>
      </c>
      <c r="BM457" s="42">
        <f t="shared" si="197"/>
        <v>2</v>
      </c>
      <c r="BN457" s="24" t="s">
        <v>83</v>
      </c>
      <c r="BO457" s="2" t="s">
        <v>129</v>
      </c>
    </row>
    <row r="458" spans="1:67" s="1" customFormat="1" ht="15" customHeight="1" x14ac:dyDescent="0.3">
      <c r="A458" s="20">
        <v>454</v>
      </c>
      <c r="B458" s="21">
        <v>46110</v>
      </c>
      <c r="C458" s="21">
        <v>46129</v>
      </c>
      <c r="D458" s="50" t="s">
        <v>2132</v>
      </c>
      <c r="E458" s="23">
        <v>46129</v>
      </c>
      <c r="F458" s="23" t="s">
        <v>7</v>
      </c>
      <c r="G458" s="24" t="s">
        <v>68</v>
      </c>
      <c r="H458" s="24" t="s">
        <v>69</v>
      </c>
      <c r="I458" s="24" t="s">
        <v>88</v>
      </c>
      <c r="J458" s="25" t="s">
        <v>278</v>
      </c>
      <c r="K458" s="45" t="str">
        <f t="shared" si="198"/>
        <v>WB67A4475</v>
      </c>
      <c r="L458" s="26">
        <v>46112</v>
      </c>
      <c r="M458" s="34" t="s">
        <v>2431</v>
      </c>
      <c r="N458" s="85">
        <v>8100964075</v>
      </c>
      <c r="O458" s="28">
        <v>0</v>
      </c>
      <c r="P458" s="27" t="s">
        <v>2432</v>
      </c>
      <c r="Q458" s="85">
        <v>2525383503</v>
      </c>
      <c r="R458" s="85">
        <v>2110834643</v>
      </c>
      <c r="S458" s="31" t="s">
        <v>73</v>
      </c>
      <c r="T458" s="24" t="s">
        <v>91</v>
      </c>
      <c r="U458" s="24" t="s">
        <v>75</v>
      </c>
      <c r="V458" s="32" t="s">
        <v>483</v>
      </c>
      <c r="W458" s="32" t="s">
        <v>492</v>
      </c>
      <c r="X458" s="32"/>
      <c r="Y458" s="24">
        <v>1063</v>
      </c>
      <c r="Z458" s="24">
        <v>24</v>
      </c>
      <c r="AA458" s="24">
        <f t="shared" si="199"/>
        <v>1009.85</v>
      </c>
      <c r="AB458" s="24">
        <f t="shared" si="192"/>
        <v>25512</v>
      </c>
      <c r="AC458" s="24">
        <f t="shared" si="193"/>
        <v>24236.400000000001</v>
      </c>
      <c r="AD458" s="24">
        <f t="shared" si="194"/>
        <v>24236.400000000001</v>
      </c>
      <c r="AE458" s="24">
        <f t="shared" si="195"/>
        <v>1275.5999999999985</v>
      </c>
      <c r="AF458" s="24">
        <v>0</v>
      </c>
      <c r="AG458" s="33">
        <v>4000</v>
      </c>
      <c r="AH458" s="24"/>
      <c r="AI458" s="24"/>
      <c r="AJ458" s="24"/>
      <c r="AK458" s="24"/>
      <c r="AL458" s="24"/>
      <c r="AM458" s="24" t="s">
        <v>79</v>
      </c>
      <c r="AN458" s="34" t="s">
        <v>2433</v>
      </c>
      <c r="AO458" s="35" t="s">
        <v>1673</v>
      </c>
      <c r="AP458" s="24">
        <f>258*2</f>
        <v>516</v>
      </c>
      <c r="AQ458" s="36">
        <f t="shared" si="200"/>
        <v>158.76923076923077</v>
      </c>
      <c r="AR458" s="86">
        <v>168.33</v>
      </c>
      <c r="AS458" s="47">
        <f t="shared" si="201"/>
        <v>9.5607692307692389</v>
      </c>
      <c r="AT458" s="31"/>
      <c r="AU458" s="47">
        <f t="shared" si="202"/>
        <v>9.5607692307692389</v>
      </c>
      <c r="AV458" s="81">
        <v>91.99</v>
      </c>
      <c r="AW458" s="24">
        <f t="shared" si="196"/>
        <v>15484.6767</v>
      </c>
      <c r="AX458" s="24">
        <f t="shared" si="182"/>
        <v>80.394269363436806</v>
      </c>
      <c r="AY458" s="24"/>
      <c r="AZ458" s="24"/>
      <c r="BA458" s="24"/>
      <c r="BB458" s="24">
        <f t="shared" si="203"/>
        <v>0</v>
      </c>
      <c r="BC458" s="24">
        <f t="shared" si="204"/>
        <v>4751.7233000000015</v>
      </c>
      <c r="BD458" s="24"/>
      <c r="BE458" s="24"/>
      <c r="BF458" s="24"/>
      <c r="BG458" s="24">
        <f>+AB458*9.5%</f>
        <v>2423.64</v>
      </c>
      <c r="BH458" s="24"/>
      <c r="BI458" s="24"/>
      <c r="BJ458" s="24">
        <f t="shared" si="205"/>
        <v>24.2364</v>
      </c>
      <c r="BK458" s="24">
        <f t="shared" si="206"/>
        <v>7151.1269000000011</v>
      </c>
      <c r="BL458" s="24" t="s">
        <v>283</v>
      </c>
      <c r="BM458" s="42">
        <f t="shared" si="197"/>
        <v>3</v>
      </c>
      <c r="BN458" s="24" t="s">
        <v>139</v>
      </c>
      <c r="BO458" s="2" t="s">
        <v>129</v>
      </c>
    </row>
    <row r="459" spans="1:67" s="1" customFormat="1" ht="15" customHeight="1" x14ac:dyDescent="0.3">
      <c r="A459" s="20">
        <v>455</v>
      </c>
      <c r="B459" s="21">
        <v>46110</v>
      </c>
      <c r="C459" s="21">
        <v>46114</v>
      </c>
      <c r="D459" s="62" t="s">
        <v>2360</v>
      </c>
      <c r="E459" s="23">
        <v>46116</v>
      </c>
      <c r="F459" s="23" t="s">
        <v>7</v>
      </c>
      <c r="G459" s="24" t="s">
        <v>68</v>
      </c>
      <c r="H459" s="24" t="s">
        <v>69</v>
      </c>
      <c r="I459" s="24" t="s">
        <v>389</v>
      </c>
      <c r="J459" s="25" t="s">
        <v>1423</v>
      </c>
      <c r="K459" s="45" t="str">
        <f t="shared" si="198"/>
        <v>WB39G8384</v>
      </c>
      <c r="L459" s="26">
        <v>46111</v>
      </c>
      <c r="M459" s="34" t="s">
        <v>2434</v>
      </c>
      <c r="N459" s="85">
        <v>8100964084</v>
      </c>
      <c r="O459" s="28">
        <v>0</v>
      </c>
      <c r="P459" s="27" t="s">
        <v>2435</v>
      </c>
      <c r="Q459" s="85">
        <v>2525383510</v>
      </c>
      <c r="R459" s="85">
        <v>2110834663</v>
      </c>
      <c r="S459" s="31" t="s">
        <v>73</v>
      </c>
      <c r="T459" s="24" t="s">
        <v>91</v>
      </c>
      <c r="U459" s="24" t="s">
        <v>75</v>
      </c>
      <c r="V459" s="32" t="s">
        <v>616</v>
      </c>
      <c r="W459" s="32" t="s">
        <v>492</v>
      </c>
      <c r="X459" s="32"/>
      <c r="Y459" s="24">
        <v>934</v>
      </c>
      <c r="Z459" s="24">
        <v>25</v>
      </c>
      <c r="AA459" s="24">
        <f t="shared" si="199"/>
        <v>887.3</v>
      </c>
      <c r="AB459" s="24">
        <f t="shared" si="192"/>
        <v>23350</v>
      </c>
      <c r="AC459" s="24">
        <f t="shared" si="193"/>
        <v>22182.5</v>
      </c>
      <c r="AD459" s="24">
        <f t="shared" si="194"/>
        <v>22182.5</v>
      </c>
      <c r="AE459" s="24">
        <f t="shared" si="195"/>
        <v>1167.5</v>
      </c>
      <c r="AF459" s="24">
        <f t="shared" si="185"/>
        <v>221.82500000000002</v>
      </c>
      <c r="AG459" s="33">
        <v>3200</v>
      </c>
      <c r="AH459" s="24"/>
      <c r="AI459" s="24"/>
      <c r="AJ459" s="24"/>
      <c r="AK459" s="24"/>
      <c r="AL459" s="24"/>
      <c r="AM459" s="24" t="s">
        <v>79</v>
      </c>
      <c r="AN459" s="34" t="s">
        <v>2436</v>
      </c>
      <c r="AO459" s="35" t="s">
        <v>1673</v>
      </c>
      <c r="AP459" s="24">
        <f>225*2</f>
        <v>450</v>
      </c>
      <c r="AQ459" s="36">
        <f t="shared" si="200"/>
        <v>138.46153846153845</v>
      </c>
      <c r="AR459" s="86">
        <v>166.74</v>
      </c>
      <c r="AS459" s="47">
        <f t="shared" si="201"/>
        <v>28.278461538461556</v>
      </c>
      <c r="AT459" s="31"/>
      <c r="AU459" s="47">
        <f t="shared" si="202"/>
        <v>28.278461538461556</v>
      </c>
      <c r="AV459" s="81">
        <v>91.99</v>
      </c>
      <c r="AW459" s="24">
        <f t="shared" si="196"/>
        <v>15338.4126</v>
      </c>
      <c r="AX459" s="24">
        <f t="shared" si="182"/>
        <v>83.572242082722866</v>
      </c>
      <c r="AY459" s="24"/>
      <c r="AZ459" s="24"/>
      <c r="BA459" s="24"/>
      <c r="BB459" s="24">
        <f t="shared" si="203"/>
        <v>0</v>
      </c>
      <c r="BC459" s="24">
        <f t="shared" si="204"/>
        <v>3422.2623999999996</v>
      </c>
      <c r="BD459" s="24"/>
      <c r="BE459" s="24"/>
      <c r="BF459" s="24"/>
      <c r="BG459" s="24">
        <f>+AB459*9.5%</f>
        <v>2218.25</v>
      </c>
      <c r="BH459" s="24"/>
      <c r="BI459" s="24"/>
      <c r="BJ459" s="24">
        <f t="shared" si="205"/>
        <v>22.182500000000001</v>
      </c>
      <c r="BK459" s="24">
        <f t="shared" si="206"/>
        <v>5618.3298999999997</v>
      </c>
      <c r="BL459" s="24" t="s">
        <v>261</v>
      </c>
      <c r="BM459" s="42">
        <f t="shared" si="197"/>
        <v>2</v>
      </c>
      <c r="BN459" s="24" t="s">
        <v>83</v>
      </c>
      <c r="BO459" s="2" t="s">
        <v>84</v>
      </c>
    </row>
    <row r="460" spans="1:67" s="1" customFormat="1" ht="15" customHeight="1" x14ac:dyDescent="0.3">
      <c r="A460" s="20">
        <v>456</v>
      </c>
      <c r="B460" s="21">
        <v>46110</v>
      </c>
      <c r="C460" s="21">
        <v>46119</v>
      </c>
      <c r="D460" s="50" t="s">
        <v>1734</v>
      </c>
      <c r="E460" s="23">
        <v>46151</v>
      </c>
      <c r="F460" s="23" t="s">
        <v>7</v>
      </c>
      <c r="G460" s="24" t="s">
        <v>68</v>
      </c>
      <c r="H460" s="24" t="s">
        <v>69</v>
      </c>
      <c r="I460" s="24" t="s">
        <v>70</v>
      </c>
      <c r="J460" s="25" t="s">
        <v>177</v>
      </c>
      <c r="K460" s="45" t="str">
        <f t="shared" si="198"/>
        <v>WB39B8916</v>
      </c>
      <c r="L460" s="26">
        <v>46111</v>
      </c>
      <c r="M460" s="34" t="s">
        <v>2437</v>
      </c>
      <c r="N460" s="85">
        <v>8100964082</v>
      </c>
      <c r="O460" s="28">
        <v>0</v>
      </c>
      <c r="P460" s="27" t="s">
        <v>2438</v>
      </c>
      <c r="Q460" s="85">
        <v>2525383507</v>
      </c>
      <c r="R460" s="85">
        <v>2110834660</v>
      </c>
      <c r="S460" s="31" t="s">
        <v>73</v>
      </c>
      <c r="T460" s="24" t="s">
        <v>91</v>
      </c>
      <c r="U460" s="24" t="s">
        <v>75</v>
      </c>
      <c r="V460" s="32" t="s">
        <v>2439</v>
      </c>
      <c r="W460" s="32" t="s">
        <v>484</v>
      </c>
      <c r="X460" s="32" t="s">
        <v>2440</v>
      </c>
      <c r="Y460" s="24">
        <v>797</v>
      </c>
      <c r="Z460" s="24">
        <v>25</v>
      </c>
      <c r="AA460" s="24">
        <f t="shared" si="199"/>
        <v>757.15</v>
      </c>
      <c r="AB460" s="24">
        <f t="shared" si="192"/>
        <v>19925</v>
      </c>
      <c r="AC460" s="24">
        <f t="shared" si="193"/>
        <v>18928.75</v>
      </c>
      <c r="AD460" s="24">
        <f t="shared" si="194"/>
        <v>18928.75</v>
      </c>
      <c r="AE460" s="24">
        <f t="shared" si="195"/>
        <v>996.25</v>
      </c>
      <c r="AF460" s="24">
        <f t="shared" si="185"/>
        <v>189.28749999999999</v>
      </c>
      <c r="AG460" s="33">
        <v>4200</v>
      </c>
      <c r="AH460" s="24"/>
      <c r="AI460" s="24"/>
      <c r="AJ460" s="24"/>
      <c r="AK460" s="24"/>
      <c r="AL460" s="24"/>
      <c r="AM460" s="24" t="s">
        <v>79</v>
      </c>
      <c r="AN460" s="34" t="s">
        <v>2441</v>
      </c>
      <c r="AO460" s="35" t="s">
        <v>1673</v>
      </c>
      <c r="AP460" s="24">
        <f>192*2</f>
        <v>384</v>
      </c>
      <c r="AQ460" s="36">
        <f t="shared" si="200"/>
        <v>118.15384615384616</v>
      </c>
      <c r="AR460" s="80">
        <v>110</v>
      </c>
      <c r="AS460" s="47">
        <f t="shared" si="201"/>
        <v>-8.1538461538461604</v>
      </c>
      <c r="AT460" s="31"/>
      <c r="AU460" s="47">
        <f t="shared" si="202"/>
        <v>-8.1538461538461604</v>
      </c>
      <c r="AV460" s="81">
        <v>91.991</v>
      </c>
      <c r="AW460" s="24">
        <f t="shared" si="196"/>
        <v>10119.01</v>
      </c>
      <c r="AX460" s="24">
        <f t="shared" si="182"/>
        <v>75.646886350128767</v>
      </c>
      <c r="AY460" s="24"/>
      <c r="AZ460" s="24"/>
      <c r="BA460" s="24"/>
      <c r="BB460" s="24">
        <f t="shared" si="203"/>
        <v>0</v>
      </c>
      <c r="BC460" s="24">
        <f t="shared" si="204"/>
        <v>4420.4525000000012</v>
      </c>
      <c r="BD460" s="24">
        <v>120</v>
      </c>
      <c r="BE460" s="24">
        <v>120</v>
      </c>
      <c r="BF460" s="24"/>
      <c r="BG460" s="24">
        <f>+AD460*9.5%</f>
        <v>1798.23125</v>
      </c>
      <c r="BH460" s="24"/>
      <c r="BI460" s="24"/>
      <c r="BJ460" s="24">
        <f t="shared" si="205"/>
        <v>17.982312500000003</v>
      </c>
      <c r="BK460" s="24">
        <f t="shared" si="206"/>
        <v>6440.7014375000008</v>
      </c>
      <c r="BL460" s="24" t="s">
        <v>182</v>
      </c>
      <c r="BM460" s="42">
        <f t="shared" si="197"/>
        <v>2</v>
      </c>
      <c r="BN460" s="24" t="s">
        <v>83</v>
      </c>
      <c r="BO460" s="2" t="s">
        <v>148</v>
      </c>
    </row>
    <row r="461" spans="1:67" s="1" customFormat="1" ht="15" customHeight="1" x14ac:dyDescent="0.3">
      <c r="A461" s="20">
        <v>457</v>
      </c>
      <c r="B461" s="21">
        <v>46110</v>
      </c>
      <c r="C461" s="21">
        <v>46119</v>
      </c>
      <c r="D461" s="50" t="s">
        <v>2268</v>
      </c>
      <c r="E461" s="23">
        <v>46120</v>
      </c>
      <c r="F461" s="23" t="s">
        <v>7</v>
      </c>
      <c r="G461" s="24" t="s">
        <v>68</v>
      </c>
      <c r="H461" s="24" t="s">
        <v>69</v>
      </c>
      <c r="I461" s="24" t="s">
        <v>131</v>
      </c>
      <c r="J461" s="25" t="s">
        <v>132</v>
      </c>
      <c r="K461" s="45" t="str">
        <f t="shared" si="198"/>
        <v>WB29A8166</v>
      </c>
      <c r="L461" s="26">
        <v>46113</v>
      </c>
      <c r="M461" s="34" t="s">
        <v>2442</v>
      </c>
      <c r="N461" s="85">
        <v>8100965143</v>
      </c>
      <c r="O461" s="28">
        <v>0</v>
      </c>
      <c r="P461" s="27" t="s">
        <v>2443</v>
      </c>
      <c r="Q461" s="85">
        <v>2525383902</v>
      </c>
      <c r="R461" s="85">
        <v>2110835461</v>
      </c>
      <c r="S461" s="31" t="s">
        <v>73</v>
      </c>
      <c r="T461" s="24" t="s">
        <v>91</v>
      </c>
      <c r="U461" s="24" t="s">
        <v>75</v>
      </c>
      <c r="V461" s="32" t="s">
        <v>2444</v>
      </c>
      <c r="W461" s="32" t="s">
        <v>2445</v>
      </c>
      <c r="X461" s="32" t="s">
        <v>2445</v>
      </c>
      <c r="Y461" s="24">
        <v>1319</v>
      </c>
      <c r="Z461" s="24">
        <v>25</v>
      </c>
      <c r="AA461" s="24">
        <f t="shared" si="199"/>
        <v>1253.05</v>
      </c>
      <c r="AB461" s="61">
        <f t="shared" si="192"/>
        <v>32975</v>
      </c>
      <c r="AC461" s="24">
        <f t="shared" si="193"/>
        <v>31326.25</v>
      </c>
      <c r="AD461" s="24">
        <f t="shared" si="194"/>
        <v>31326.25</v>
      </c>
      <c r="AE461" s="24">
        <f t="shared" si="195"/>
        <v>1648.75</v>
      </c>
      <c r="AF461" s="24">
        <v>0</v>
      </c>
      <c r="AG461" s="33">
        <v>7200</v>
      </c>
      <c r="AH461" s="24"/>
      <c r="AI461" s="24"/>
      <c r="AJ461" s="24"/>
      <c r="AK461" s="24"/>
      <c r="AL461" s="24"/>
      <c r="AM461" s="24" t="s">
        <v>79</v>
      </c>
      <c r="AN461" s="34" t="s">
        <v>2446</v>
      </c>
      <c r="AO461" s="35" t="s">
        <v>1673</v>
      </c>
      <c r="AP461" s="24">
        <f>332*2</f>
        <v>664</v>
      </c>
      <c r="AQ461" s="36">
        <f t="shared" si="200"/>
        <v>204.30769230769232</v>
      </c>
      <c r="AR461" s="80">
        <v>205</v>
      </c>
      <c r="AS461" s="47">
        <f t="shared" si="201"/>
        <v>0.69230769230767919</v>
      </c>
      <c r="AT461" s="31"/>
      <c r="AU461" s="47">
        <f t="shared" si="202"/>
        <v>0.69230769230767919</v>
      </c>
      <c r="AV461" s="83">
        <v>91.88</v>
      </c>
      <c r="AW461" s="24">
        <f t="shared" si="196"/>
        <v>18835.399999999998</v>
      </c>
      <c r="AX461" s="24">
        <f t="shared" si="182"/>
        <v>83.110490403415653</v>
      </c>
      <c r="AY461" s="24"/>
      <c r="AZ461" s="24"/>
      <c r="BA461" s="24"/>
      <c r="BB461" s="24">
        <f t="shared" si="203"/>
        <v>0</v>
      </c>
      <c r="BC461" s="24">
        <f t="shared" si="204"/>
        <v>5290.8500000000022</v>
      </c>
      <c r="BD461" s="24">
        <v>135</v>
      </c>
      <c r="BE461" s="24">
        <v>135</v>
      </c>
      <c r="BF461" s="24"/>
      <c r="BG461" s="24">
        <f>+AB461*9.5%</f>
        <v>3132.625</v>
      </c>
      <c r="BH461" s="24"/>
      <c r="BI461" s="24"/>
      <c r="BJ461" s="24">
        <f t="shared" si="205"/>
        <v>31.326250000000002</v>
      </c>
      <c r="BK461" s="24">
        <f t="shared" si="206"/>
        <v>8662.1487500000021</v>
      </c>
      <c r="BL461" s="24" t="s">
        <v>138</v>
      </c>
      <c r="BM461" s="42">
        <f t="shared" si="197"/>
        <v>4</v>
      </c>
      <c r="BN461" s="24" t="s">
        <v>174</v>
      </c>
      <c r="BO461" s="2" t="s">
        <v>175</v>
      </c>
    </row>
    <row r="462" spans="1:67" s="1" customFormat="1" ht="15" customHeight="1" x14ac:dyDescent="0.3">
      <c r="A462" s="20">
        <v>458</v>
      </c>
      <c r="B462" s="21">
        <v>46110</v>
      </c>
      <c r="C462" s="21">
        <v>46119</v>
      </c>
      <c r="D462" s="50" t="s">
        <v>1926</v>
      </c>
      <c r="E462" s="23">
        <v>46120</v>
      </c>
      <c r="F462" s="23" t="s">
        <v>7</v>
      </c>
      <c r="G462" s="24" t="s">
        <v>68</v>
      </c>
      <c r="H462" s="24" t="s">
        <v>69</v>
      </c>
      <c r="I462" s="24" t="s">
        <v>131</v>
      </c>
      <c r="J462" s="25" t="s">
        <v>224</v>
      </c>
      <c r="K462" s="45" t="str">
        <f t="shared" si="198"/>
        <v>WB29A9266</v>
      </c>
      <c r="L462" s="26">
        <v>46111</v>
      </c>
      <c r="M462" s="34" t="s">
        <v>2447</v>
      </c>
      <c r="N462" s="85">
        <v>8100965339</v>
      </c>
      <c r="O462" s="28">
        <v>0</v>
      </c>
      <c r="P462" s="27" t="s">
        <v>2448</v>
      </c>
      <c r="Q462" s="85">
        <v>2525384196</v>
      </c>
      <c r="R462" s="85">
        <v>2110835622</v>
      </c>
      <c r="S462" s="31" t="s">
        <v>73</v>
      </c>
      <c r="T462" s="24" t="s">
        <v>91</v>
      </c>
      <c r="U462" s="24" t="s">
        <v>75</v>
      </c>
      <c r="V462" s="32" t="s">
        <v>1468</v>
      </c>
      <c r="W462" s="32" t="s">
        <v>528</v>
      </c>
      <c r="X462" s="32" t="s">
        <v>2449</v>
      </c>
      <c r="Y462" s="24">
        <v>542</v>
      </c>
      <c r="Z462" s="24">
        <v>25</v>
      </c>
      <c r="AA462" s="24">
        <f t="shared" si="199"/>
        <v>514.9</v>
      </c>
      <c r="AB462" s="24">
        <f t="shared" si="192"/>
        <v>13550</v>
      </c>
      <c r="AC462" s="24">
        <f t="shared" si="193"/>
        <v>12872.5</v>
      </c>
      <c r="AD462" s="24">
        <f t="shared" si="194"/>
        <v>12872.5</v>
      </c>
      <c r="AE462" s="24">
        <f t="shared" si="195"/>
        <v>677.5</v>
      </c>
      <c r="AF462" s="24">
        <v>0</v>
      </c>
      <c r="AG462" s="33">
        <v>3700</v>
      </c>
      <c r="AH462" s="24"/>
      <c r="AI462" s="24"/>
      <c r="AJ462" s="24"/>
      <c r="AK462" s="24"/>
      <c r="AL462" s="24"/>
      <c r="AM462" s="24" t="s">
        <v>79</v>
      </c>
      <c r="AN462" s="34" t="s">
        <v>2450</v>
      </c>
      <c r="AO462" s="35" t="s">
        <v>1673</v>
      </c>
      <c r="AP462" s="24">
        <f>89*2</f>
        <v>178</v>
      </c>
      <c r="AQ462" s="36">
        <f t="shared" si="200"/>
        <v>54.769230769230766</v>
      </c>
      <c r="AR462" s="80">
        <v>60</v>
      </c>
      <c r="AS462" s="47">
        <f t="shared" si="201"/>
        <v>5.2307692307692335</v>
      </c>
      <c r="AT462" s="31"/>
      <c r="AU462" s="47">
        <f t="shared" si="202"/>
        <v>5.2307692307692335</v>
      </c>
      <c r="AV462" s="81">
        <v>91.99</v>
      </c>
      <c r="AW462" s="24">
        <f t="shared" si="196"/>
        <v>5519.4</v>
      </c>
      <c r="AX462" s="24">
        <f t="shared" si="182"/>
        <v>71.620897261604185</v>
      </c>
      <c r="AY462" s="24"/>
      <c r="AZ462" s="24"/>
      <c r="BA462" s="24"/>
      <c r="BB462" s="24">
        <f t="shared" si="203"/>
        <v>0</v>
      </c>
      <c r="BC462" s="24">
        <f t="shared" si="204"/>
        <v>3653.1000000000004</v>
      </c>
      <c r="BD462" s="24">
        <v>135</v>
      </c>
      <c r="BE462" s="24">
        <v>135</v>
      </c>
      <c r="BF462" s="24"/>
      <c r="BG462" s="24">
        <f>+AD462*9.5%</f>
        <v>1222.8875</v>
      </c>
      <c r="BH462" s="24"/>
      <c r="BI462" s="24"/>
      <c r="BJ462" s="24">
        <f t="shared" si="205"/>
        <v>12.228875</v>
      </c>
      <c r="BK462" s="24">
        <f t="shared" si="206"/>
        <v>5133.7586250000004</v>
      </c>
      <c r="BL462" s="24" t="s">
        <v>232</v>
      </c>
      <c r="BM462" s="42">
        <f t="shared" si="197"/>
        <v>2</v>
      </c>
      <c r="BN462" s="24" t="s">
        <v>83</v>
      </c>
      <c r="BO462" s="2" t="s">
        <v>148</v>
      </c>
    </row>
    <row r="463" spans="1:67" s="1" customFormat="1" ht="15" customHeight="1" x14ac:dyDescent="0.3">
      <c r="A463" s="20">
        <v>459</v>
      </c>
      <c r="B463" s="21">
        <v>46110</v>
      </c>
      <c r="C463" s="21">
        <v>46114</v>
      </c>
      <c r="D463" s="62" t="s">
        <v>2360</v>
      </c>
      <c r="E463" s="23">
        <v>46116</v>
      </c>
      <c r="F463" s="23" t="s">
        <v>7</v>
      </c>
      <c r="G463" s="24" t="s">
        <v>68</v>
      </c>
      <c r="H463" s="24" t="s">
        <v>69</v>
      </c>
      <c r="I463" s="24" t="s">
        <v>70</v>
      </c>
      <c r="J463" s="25" t="s">
        <v>150</v>
      </c>
      <c r="K463" s="45" t="str">
        <f t="shared" si="198"/>
        <v>WB39B9201</v>
      </c>
      <c r="L463" s="26">
        <v>46111</v>
      </c>
      <c r="M463" s="34" t="s">
        <v>2451</v>
      </c>
      <c r="N463" s="85">
        <v>8100965438</v>
      </c>
      <c r="O463" s="28">
        <v>0</v>
      </c>
      <c r="P463" s="27" t="s">
        <v>2452</v>
      </c>
      <c r="Q463" s="85">
        <v>2525384366</v>
      </c>
      <c r="R463" s="85">
        <v>2110835720</v>
      </c>
      <c r="S463" s="31" t="s">
        <v>73</v>
      </c>
      <c r="T463" s="24" t="s">
        <v>91</v>
      </c>
      <c r="U463" s="24" t="s">
        <v>75</v>
      </c>
      <c r="V463" s="32" t="s">
        <v>510</v>
      </c>
      <c r="W463" s="32" t="s">
        <v>2453</v>
      </c>
      <c r="X463" s="32" t="s">
        <v>2453</v>
      </c>
      <c r="Y463" s="24">
        <v>499</v>
      </c>
      <c r="Z463" s="24">
        <v>25</v>
      </c>
      <c r="AA463" s="24">
        <f t="shared" si="199"/>
        <v>474.05</v>
      </c>
      <c r="AB463" s="24">
        <f t="shared" si="192"/>
        <v>12475</v>
      </c>
      <c r="AC463" s="24">
        <f t="shared" si="193"/>
        <v>11851.25</v>
      </c>
      <c r="AD463" s="24">
        <f t="shared" si="194"/>
        <v>11851.25</v>
      </c>
      <c r="AE463" s="24">
        <f t="shared" si="195"/>
        <v>623.75</v>
      </c>
      <c r="AF463" s="24">
        <v>0</v>
      </c>
      <c r="AG463" s="33">
        <v>3000</v>
      </c>
      <c r="AH463" s="24"/>
      <c r="AI463" s="24"/>
      <c r="AJ463" s="24"/>
      <c r="AK463" s="24"/>
      <c r="AL463" s="24"/>
      <c r="AM463" s="24" t="s">
        <v>79</v>
      </c>
      <c r="AN463" s="34" t="s">
        <v>2454</v>
      </c>
      <c r="AO463" s="35" t="s">
        <v>1673</v>
      </c>
      <c r="AP463" s="24">
        <f>77*2</f>
        <v>154</v>
      </c>
      <c r="AQ463" s="36">
        <f t="shared" si="200"/>
        <v>47.384615384615387</v>
      </c>
      <c r="AR463" s="80">
        <v>35</v>
      </c>
      <c r="AS463" s="47">
        <f t="shared" si="201"/>
        <v>-12.384615384615387</v>
      </c>
      <c r="AT463" s="31"/>
      <c r="AU463" s="47">
        <f t="shared" si="202"/>
        <v>-12.384615384615387</v>
      </c>
      <c r="AV463" s="81">
        <v>91.99</v>
      </c>
      <c r="AW463" s="24">
        <f t="shared" si="196"/>
        <v>3219.6499999999996</v>
      </c>
      <c r="AX463" s="24">
        <f t="shared" si="182"/>
        <v>52.480961923847694</v>
      </c>
      <c r="AY463" s="24"/>
      <c r="AZ463" s="24"/>
      <c r="BA463" s="24"/>
      <c r="BB463" s="24">
        <f t="shared" si="203"/>
        <v>0</v>
      </c>
      <c r="BC463" s="24">
        <f t="shared" si="204"/>
        <v>5631.6</v>
      </c>
      <c r="BD463" s="24">
        <v>135</v>
      </c>
      <c r="BE463" s="24">
        <v>135</v>
      </c>
      <c r="BF463" s="24"/>
      <c r="BG463" s="24">
        <f>+AB463*9.5%</f>
        <v>1185.125</v>
      </c>
      <c r="BH463" s="24"/>
      <c r="BI463" s="24"/>
      <c r="BJ463" s="24">
        <f t="shared" si="205"/>
        <v>11.85125</v>
      </c>
      <c r="BK463" s="24">
        <f t="shared" si="206"/>
        <v>7074.8737500000007</v>
      </c>
      <c r="BL463" s="24" t="s">
        <v>155</v>
      </c>
      <c r="BM463" s="42">
        <f t="shared" si="197"/>
        <v>2</v>
      </c>
      <c r="BN463" s="24" t="s">
        <v>83</v>
      </c>
      <c r="BO463" s="2" t="s">
        <v>148</v>
      </c>
    </row>
    <row r="464" spans="1:67" s="1" customFormat="1" ht="15" customHeight="1" x14ac:dyDescent="0.3">
      <c r="A464" s="20">
        <v>460</v>
      </c>
      <c r="B464" s="21">
        <v>46110</v>
      </c>
      <c r="C464" s="21">
        <v>46113</v>
      </c>
      <c r="D464" s="62" t="s">
        <v>2455</v>
      </c>
      <c r="E464" s="23">
        <v>46116</v>
      </c>
      <c r="F464" s="23" t="s">
        <v>7</v>
      </c>
      <c r="G464" s="24" t="s">
        <v>68</v>
      </c>
      <c r="H464" s="24" t="s">
        <v>69</v>
      </c>
      <c r="I464" s="24" t="s">
        <v>70</v>
      </c>
      <c r="J464" s="25" t="s">
        <v>336</v>
      </c>
      <c r="K464" s="45" t="str">
        <f t="shared" si="198"/>
        <v>WB39B0801</v>
      </c>
      <c r="L464" s="26">
        <v>46112</v>
      </c>
      <c r="M464" s="34" t="s">
        <v>2456</v>
      </c>
      <c r="N464" s="85">
        <v>8100965653</v>
      </c>
      <c r="O464" s="28">
        <v>0</v>
      </c>
      <c r="P464" s="27" t="s">
        <v>2457</v>
      </c>
      <c r="Q464" s="85">
        <v>2525384544</v>
      </c>
      <c r="R464" s="85">
        <v>2110835906</v>
      </c>
      <c r="S464" s="63" t="s">
        <v>73</v>
      </c>
      <c r="T464" s="24" t="s">
        <v>74</v>
      </c>
      <c r="U464" s="24" t="s">
        <v>75</v>
      </c>
      <c r="V464" s="32" t="s">
        <v>414</v>
      </c>
      <c r="W464" s="32" t="s">
        <v>208</v>
      </c>
      <c r="X464" s="32" t="s">
        <v>2458</v>
      </c>
      <c r="Y464" s="24">
        <v>654</v>
      </c>
      <c r="Z464" s="24">
        <v>19</v>
      </c>
      <c r="AA464" s="24">
        <f t="shared" si="199"/>
        <v>621.29999999999995</v>
      </c>
      <c r="AB464" s="24">
        <f t="shared" si="192"/>
        <v>12426</v>
      </c>
      <c r="AC464" s="24">
        <f t="shared" si="193"/>
        <v>11804.7</v>
      </c>
      <c r="AD464" s="24">
        <f t="shared" si="194"/>
        <v>11804.699999999999</v>
      </c>
      <c r="AE464" s="24">
        <f t="shared" si="195"/>
        <v>621.30000000000109</v>
      </c>
      <c r="AF464" s="24">
        <f t="shared" si="185"/>
        <v>118.047</v>
      </c>
      <c r="AG464" s="33">
        <v>3400</v>
      </c>
      <c r="AH464" s="24"/>
      <c r="AI464" s="24"/>
      <c r="AJ464" s="24"/>
      <c r="AK464" s="24"/>
      <c r="AL464" s="24"/>
      <c r="AM464" s="24" t="s">
        <v>79</v>
      </c>
      <c r="AN464" s="34" t="s">
        <v>2459</v>
      </c>
      <c r="AO464" s="35" t="s">
        <v>1673</v>
      </c>
      <c r="AP464" s="24">
        <f>124*2</f>
        <v>248</v>
      </c>
      <c r="AQ464" s="36">
        <f t="shared" si="200"/>
        <v>76.307692307692307</v>
      </c>
      <c r="AR464" s="80">
        <v>71</v>
      </c>
      <c r="AS464" s="47">
        <f t="shared" si="201"/>
        <v>-5.3076923076923066</v>
      </c>
      <c r="AT464" s="31"/>
      <c r="AU464" s="47">
        <f t="shared" si="202"/>
        <v>-5.3076923076923066</v>
      </c>
      <c r="AV464" s="81">
        <v>91.99</v>
      </c>
      <c r="AW464" s="24">
        <f t="shared" si="196"/>
        <v>6531.29</v>
      </c>
      <c r="AX464" s="24">
        <f t="shared" si="182"/>
        <v>84.129965183359189</v>
      </c>
      <c r="AY464" s="24">
        <v>120</v>
      </c>
      <c r="AZ464" s="24"/>
      <c r="BA464" s="24"/>
      <c r="BB464" s="24">
        <f t="shared" si="203"/>
        <v>0</v>
      </c>
      <c r="BC464" s="24">
        <f t="shared" si="204"/>
        <v>1635.3629999999985</v>
      </c>
      <c r="BD464" s="24">
        <v>110</v>
      </c>
      <c r="BE464" s="24">
        <v>110</v>
      </c>
      <c r="BF464" s="24"/>
      <c r="BG464" s="24">
        <f>+AD464*8.5%</f>
        <v>1003.3995</v>
      </c>
      <c r="BH464" s="24">
        <f>+AD464*8.5%</f>
        <v>1003.3995</v>
      </c>
      <c r="BI464" s="24"/>
      <c r="BJ464" s="24">
        <f t="shared" si="205"/>
        <v>20.067990000000002</v>
      </c>
      <c r="BK464" s="24">
        <f t="shared" si="206"/>
        <v>3842.0940099999984</v>
      </c>
      <c r="BL464" s="24" t="s">
        <v>82</v>
      </c>
      <c r="BM464" s="42">
        <f t="shared" si="197"/>
        <v>3</v>
      </c>
      <c r="BN464" s="24" t="s">
        <v>139</v>
      </c>
      <c r="BO464" s="2" t="s">
        <v>175</v>
      </c>
    </row>
    <row r="465" spans="1:67" s="1" customFormat="1" ht="15" customHeight="1" x14ac:dyDescent="0.3">
      <c r="A465" s="20">
        <v>461</v>
      </c>
      <c r="B465" s="21">
        <v>46111</v>
      </c>
      <c r="C465" s="21">
        <v>46119</v>
      </c>
      <c r="D465" s="50" t="s">
        <v>1926</v>
      </c>
      <c r="E465" s="23">
        <v>46120</v>
      </c>
      <c r="F465" s="23" t="s">
        <v>7</v>
      </c>
      <c r="G465" s="24" t="s">
        <v>68</v>
      </c>
      <c r="H465" s="24" t="s">
        <v>69</v>
      </c>
      <c r="I465" s="24" t="s">
        <v>236</v>
      </c>
      <c r="J465" s="25" t="s">
        <v>237</v>
      </c>
      <c r="K465" s="45" t="str">
        <f t="shared" si="198"/>
        <v>WB41J9798</v>
      </c>
      <c r="L465" s="26">
        <v>46112</v>
      </c>
      <c r="M465" s="34" t="s">
        <v>2460</v>
      </c>
      <c r="N465" s="85">
        <v>8100966115</v>
      </c>
      <c r="O465" s="28">
        <v>0</v>
      </c>
      <c r="P465" s="27" t="s">
        <v>2461</v>
      </c>
      <c r="Q465">
        <v>2525384716</v>
      </c>
      <c r="R465" s="85">
        <v>2110836319</v>
      </c>
      <c r="S465" s="31" t="s">
        <v>73</v>
      </c>
      <c r="T465" s="24" t="s">
        <v>241</v>
      </c>
      <c r="U465" s="24" t="s">
        <v>75</v>
      </c>
      <c r="V465" s="32" t="s">
        <v>491</v>
      </c>
      <c r="W465" s="32" t="s">
        <v>838</v>
      </c>
      <c r="X465" s="32" t="s">
        <v>2462</v>
      </c>
      <c r="Y465" s="24">
        <v>1047</v>
      </c>
      <c r="Z465" s="24">
        <v>30</v>
      </c>
      <c r="AA465" s="24">
        <f t="shared" si="199"/>
        <v>994.65000000000009</v>
      </c>
      <c r="AB465" s="24">
        <f t="shared" si="192"/>
        <v>31410</v>
      </c>
      <c r="AC465" s="24">
        <f t="shared" si="193"/>
        <v>29839.500000000004</v>
      </c>
      <c r="AD465" s="24">
        <f t="shared" si="194"/>
        <v>29839.500000000004</v>
      </c>
      <c r="AE465" s="24">
        <f t="shared" si="195"/>
        <v>1570.4999999999964</v>
      </c>
      <c r="AF465" s="24">
        <v>0</v>
      </c>
      <c r="AG465" s="33">
        <v>4000</v>
      </c>
      <c r="AH465" s="24"/>
      <c r="AI465" s="24"/>
      <c r="AJ465" s="24"/>
      <c r="AK465" s="24"/>
      <c r="AL465" s="24"/>
      <c r="AM465" s="24" t="s">
        <v>79</v>
      </c>
      <c r="AN465" s="34" t="s">
        <v>2463</v>
      </c>
      <c r="AO465" s="35" t="s">
        <v>1673</v>
      </c>
      <c r="AP465" s="24">
        <f>240*2</f>
        <v>480</v>
      </c>
      <c r="AQ465" s="36">
        <f t="shared" si="200"/>
        <v>147.69230769230768</v>
      </c>
      <c r="AR465" s="80">
        <v>170</v>
      </c>
      <c r="AS465" s="47">
        <f t="shared" si="201"/>
        <v>22.307692307692321</v>
      </c>
      <c r="AT465" s="31"/>
      <c r="AU465" s="47">
        <f t="shared" si="202"/>
        <v>22.307692307692321</v>
      </c>
      <c r="AV465" s="81">
        <v>91.99</v>
      </c>
      <c r="AW465" s="24">
        <f t="shared" si="196"/>
        <v>15638.3</v>
      </c>
      <c r="AX465" s="24">
        <f t="shared" si="182"/>
        <v>65.813100085457194</v>
      </c>
      <c r="AY465" s="24"/>
      <c r="AZ465" s="24"/>
      <c r="BA465" s="24"/>
      <c r="BB465" s="24">
        <f t="shared" si="203"/>
        <v>0</v>
      </c>
      <c r="BC465" s="24">
        <f t="shared" si="204"/>
        <v>10201.200000000004</v>
      </c>
      <c r="BD465" s="24"/>
      <c r="BE465" s="24"/>
      <c r="BF465" s="24"/>
      <c r="BG465" s="24">
        <f>+AB465*9.5%</f>
        <v>2983.95</v>
      </c>
      <c r="BH465" s="24"/>
      <c r="BI465" s="24"/>
      <c r="BJ465" s="24">
        <f t="shared" si="205"/>
        <v>29.839499999999997</v>
      </c>
      <c r="BK465" s="24">
        <f t="shared" si="206"/>
        <v>13155.310500000005</v>
      </c>
      <c r="BL465" s="24" t="s">
        <v>245</v>
      </c>
      <c r="BM465" s="42">
        <f t="shared" si="197"/>
        <v>2</v>
      </c>
      <c r="BN465" s="24" t="s">
        <v>83</v>
      </c>
      <c r="BO465" s="2" t="s">
        <v>424</v>
      </c>
    </row>
    <row r="466" spans="1:67" s="1" customFormat="1" ht="15" customHeight="1" x14ac:dyDescent="0.3">
      <c r="A466" s="20">
        <v>462</v>
      </c>
      <c r="B466" s="21">
        <v>46111</v>
      </c>
      <c r="C466" s="21">
        <v>46114</v>
      </c>
      <c r="D466" s="50" t="s">
        <v>813</v>
      </c>
      <c r="E466" s="23">
        <v>46151</v>
      </c>
      <c r="F466" s="23" t="s">
        <v>7</v>
      </c>
      <c r="G466" s="24" t="s">
        <v>68</v>
      </c>
      <c r="H466" s="24" t="s">
        <v>69</v>
      </c>
      <c r="I466" s="24" t="s">
        <v>70</v>
      </c>
      <c r="J466" s="25" t="s">
        <v>71</v>
      </c>
      <c r="K466" s="45" t="str">
        <f t="shared" si="198"/>
        <v>WB39B0034</v>
      </c>
      <c r="L466" s="26">
        <v>46112</v>
      </c>
      <c r="M466" s="34" t="s">
        <v>2464</v>
      </c>
      <c r="N466" s="85">
        <v>8100966239</v>
      </c>
      <c r="O466" s="28">
        <v>0</v>
      </c>
      <c r="P466" s="27" t="s">
        <v>2465</v>
      </c>
      <c r="Q466" s="85">
        <v>2525384798</v>
      </c>
      <c r="R466" s="85">
        <v>2110836473</v>
      </c>
      <c r="S466" s="31" t="s">
        <v>73</v>
      </c>
      <c r="T466" s="24" t="s">
        <v>74</v>
      </c>
      <c r="U466" s="24" t="s">
        <v>75</v>
      </c>
      <c r="V466" s="32" t="s">
        <v>510</v>
      </c>
      <c r="W466" s="32" t="s">
        <v>818</v>
      </c>
      <c r="X466" s="32" t="s">
        <v>2466</v>
      </c>
      <c r="Y466" s="24">
        <v>499</v>
      </c>
      <c r="Z466" s="24">
        <v>13</v>
      </c>
      <c r="AA466" s="24">
        <f t="shared" si="199"/>
        <v>474.05</v>
      </c>
      <c r="AB466" s="24">
        <f t="shared" si="192"/>
        <v>6487</v>
      </c>
      <c r="AC466" s="24">
        <f t="shared" si="193"/>
        <v>6162.6500000000005</v>
      </c>
      <c r="AD466" s="24">
        <f t="shared" si="194"/>
        <v>6162.6500000000005</v>
      </c>
      <c r="AE466" s="24">
        <f t="shared" si="195"/>
        <v>324.34999999999945</v>
      </c>
      <c r="AF466" s="24">
        <f t="shared" ref="AF466:AF476" si="207">+AD466*1%</f>
        <v>61.626500000000007</v>
      </c>
      <c r="AG466" s="33">
        <v>2800</v>
      </c>
      <c r="AH466" s="24"/>
      <c r="AI466" s="24"/>
      <c r="AJ466" s="24"/>
      <c r="AK466" s="24"/>
      <c r="AL466" s="24"/>
      <c r="AM466" s="24" t="s">
        <v>79</v>
      </c>
      <c r="AN466" s="34" t="s">
        <v>2467</v>
      </c>
      <c r="AO466" s="35" t="s">
        <v>1673</v>
      </c>
      <c r="AP466" s="24">
        <f>77*2</f>
        <v>154</v>
      </c>
      <c r="AQ466" s="36">
        <f t="shared" si="200"/>
        <v>47.384615384615387</v>
      </c>
      <c r="AR466" s="80">
        <v>45</v>
      </c>
      <c r="AS466" s="47">
        <f t="shared" si="201"/>
        <v>-2.3846153846153868</v>
      </c>
      <c r="AT466" s="31"/>
      <c r="AU466" s="47">
        <f t="shared" si="202"/>
        <v>-2.3846153846153868</v>
      </c>
      <c r="AV466" s="81">
        <v>91.99</v>
      </c>
      <c r="AW466" s="24">
        <f t="shared" si="196"/>
        <v>4139.55</v>
      </c>
      <c r="AX466" s="24">
        <f t="shared" si="182"/>
        <v>112.60658969761383</v>
      </c>
      <c r="AY466" s="24">
        <v>120</v>
      </c>
      <c r="AZ466" s="24"/>
      <c r="BA466" s="24"/>
      <c r="BB466" s="24">
        <f t="shared" si="203"/>
        <v>0</v>
      </c>
      <c r="BC466" s="24">
        <f t="shared" si="204"/>
        <v>-958.52649999999994</v>
      </c>
      <c r="BD466" s="24">
        <v>110</v>
      </c>
      <c r="BE466" s="24">
        <v>110</v>
      </c>
      <c r="BF466" s="24"/>
      <c r="BG466" s="24">
        <f t="shared" ref="BG466:BG467" si="208">+AD466*8.5%</f>
        <v>523.8252500000001</v>
      </c>
      <c r="BH466" s="24">
        <f t="shared" ref="BH466:BH467" si="209">+AD466*8.5%</f>
        <v>523.8252500000001</v>
      </c>
      <c r="BI466" s="24"/>
      <c r="BJ466" s="24">
        <f t="shared" si="205"/>
        <v>10.476505000000001</v>
      </c>
      <c r="BK466" s="24">
        <f t="shared" si="206"/>
        <v>298.64749500000028</v>
      </c>
      <c r="BL466" s="24" t="s">
        <v>82</v>
      </c>
      <c r="BM466" s="42">
        <f t="shared" si="197"/>
        <v>2</v>
      </c>
      <c r="BN466" s="24" t="s">
        <v>83</v>
      </c>
      <c r="BO466" s="2" t="s">
        <v>84</v>
      </c>
    </row>
    <row r="467" spans="1:67" s="1" customFormat="1" ht="15" customHeight="1" x14ac:dyDescent="0.3">
      <c r="A467" s="20">
        <v>463</v>
      </c>
      <c r="B467" s="21">
        <v>46111</v>
      </c>
      <c r="C467" s="21">
        <v>46114</v>
      </c>
      <c r="D467" s="50" t="s">
        <v>813</v>
      </c>
      <c r="E467" s="23">
        <v>46151</v>
      </c>
      <c r="F467" s="23" t="s">
        <v>7</v>
      </c>
      <c r="G467" s="24" t="s">
        <v>68</v>
      </c>
      <c r="H467" s="24" t="s">
        <v>69</v>
      </c>
      <c r="I467" s="24" t="s">
        <v>70</v>
      </c>
      <c r="J467" s="25" t="s">
        <v>71</v>
      </c>
      <c r="K467" s="45" t="str">
        <f t="shared" si="198"/>
        <v>WB39B0034</v>
      </c>
      <c r="L467" s="26">
        <v>46112</v>
      </c>
      <c r="M467" s="34" t="s">
        <v>2468</v>
      </c>
      <c r="N467" s="85">
        <v>8100966242</v>
      </c>
      <c r="O467" s="28">
        <v>0</v>
      </c>
      <c r="P467" s="27" t="s">
        <v>2469</v>
      </c>
      <c r="Q467" s="85">
        <v>2525384799</v>
      </c>
      <c r="R467" s="85">
        <v>2110836475</v>
      </c>
      <c r="S467" s="31" t="s">
        <v>73</v>
      </c>
      <c r="T467" s="24" t="s">
        <v>74</v>
      </c>
      <c r="U467" s="24" t="s">
        <v>75</v>
      </c>
      <c r="V467" s="32" t="s">
        <v>510</v>
      </c>
      <c r="W467" s="32" t="s">
        <v>818</v>
      </c>
      <c r="X467" s="32"/>
      <c r="Y467" s="24">
        <v>499</v>
      </c>
      <c r="Z467" s="24">
        <v>6</v>
      </c>
      <c r="AA467" s="24">
        <f t="shared" si="199"/>
        <v>474.05</v>
      </c>
      <c r="AB467" s="24">
        <f t="shared" si="192"/>
        <v>2994</v>
      </c>
      <c r="AC467" s="24">
        <f t="shared" si="193"/>
        <v>2844.3</v>
      </c>
      <c r="AD467" s="24">
        <f t="shared" si="194"/>
        <v>2844.3</v>
      </c>
      <c r="AE467" s="24">
        <f t="shared" si="195"/>
        <v>149.69999999999982</v>
      </c>
      <c r="AF467" s="24">
        <f t="shared" si="207"/>
        <v>28.443000000000001</v>
      </c>
      <c r="AG467" s="31">
        <v>0</v>
      </c>
      <c r="AH467" s="24"/>
      <c r="AI467" s="24"/>
      <c r="AJ467" s="24"/>
      <c r="AK467" s="24"/>
      <c r="AL467" s="24"/>
      <c r="AM467" s="24" t="s">
        <v>79</v>
      </c>
      <c r="AN467" s="34" t="s">
        <v>213</v>
      </c>
      <c r="AO467" s="35"/>
      <c r="AP467" s="24"/>
      <c r="AQ467" s="36">
        <f t="shared" si="200"/>
        <v>0</v>
      </c>
      <c r="AR467" s="16">
        <v>0</v>
      </c>
      <c r="AS467" s="47">
        <f t="shared" si="201"/>
        <v>0</v>
      </c>
      <c r="AT467" s="31"/>
      <c r="AU467" s="47">
        <f t="shared" si="202"/>
        <v>0</v>
      </c>
      <c r="AV467" s="48">
        <v>0</v>
      </c>
      <c r="AW467" s="24">
        <f t="shared" si="196"/>
        <v>0</v>
      </c>
      <c r="AX467" s="24">
        <f t="shared" si="182"/>
        <v>0</v>
      </c>
      <c r="AY467" s="24"/>
      <c r="AZ467" s="24"/>
      <c r="BA467" s="24"/>
      <c r="BB467" s="24">
        <f t="shared" si="203"/>
        <v>0</v>
      </c>
      <c r="BC467" s="24">
        <f t="shared" si="204"/>
        <v>2815.857</v>
      </c>
      <c r="BD467" s="24"/>
      <c r="BE467" s="24"/>
      <c r="BF467" s="24"/>
      <c r="BG467" s="24">
        <f t="shared" si="208"/>
        <v>241.76550000000003</v>
      </c>
      <c r="BH467" s="24">
        <f t="shared" si="209"/>
        <v>241.76550000000003</v>
      </c>
      <c r="BI467" s="24"/>
      <c r="BJ467" s="24">
        <f t="shared" si="205"/>
        <v>4.8353100000000007</v>
      </c>
      <c r="BK467" s="24">
        <f t="shared" si="206"/>
        <v>3294.55269</v>
      </c>
      <c r="BL467" s="24" t="s">
        <v>82</v>
      </c>
      <c r="BM467" s="42">
        <f t="shared" si="197"/>
        <v>2</v>
      </c>
      <c r="BN467" s="24" t="s">
        <v>83</v>
      </c>
      <c r="BO467" s="2" t="s">
        <v>84</v>
      </c>
    </row>
    <row r="468" spans="1:67" s="1" customFormat="1" ht="15" customHeight="1" x14ac:dyDescent="0.3">
      <c r="A468" s="20">
        <v>464</v>
      </c>
      <c r="B468" s="21">
        <v>46111</v>
      </c>
      <c r="C468" s="21">
        <v>46114</v>
      </c>
      <c r="D468" s="55" t="s">
        <v>1177</v>
      </c>
      <c r="E468" s="23">
        <v>46140</v>
      </c>
      <c r="F468" s="23" t="s">
        <v>7</v>
      </c>
      <c r="G468" s="24" t="s">
        <v>68</v>
      </c>
      <c r="H468" s="24" t="s">
        <v>69</v>
      </c>
      <c r="I468" s="24" t="s">
        <v>122</v>
      </c>
      <c r="J468" s="25" t="s">
        <v>123</v>
      </c>
      <c r="K468" s="45" t="str">
        <f t="shared" si="198"/>
        <v>WB23C9555</v>
      </c>
      <c r="L468" s="26">
        <v>46112</v>
      </c>
      <c r="M468" s="34" t="s">
        <v>2470</v>
      </c>
      <c r="N468" s="85">
        <v>8100966234</v>
      </c>
      <c r="O468" s="28">
        <v>0</v>
      </c>
      <c r="P468" s="27" t="s">
        <v>2471</v>
      </c>
      <c r="Q468" s="85">
        <v>2525384795</v>
      </c>
      <c r="R468" s="85">
        <v>2110836472</v>
      </c>
      <c r="S468" s="31" t="s">
        <v>73</v>
      </c>
      <c r="T468" s="24" t="s">
        <v>91</v>
      </c>
      <c r="U468" s="24" t="s">
        <v>75</v>
      </c>
      <c r="V468" s="32" t="s">
        <v>510</v>
      </c>
      <c r="W468" s="32" t="s">
        <v>220</v>
      </c>
      <c r="X468" s="32" t="s">
        <v>2472</v>
      </c>
      <c r="Y468" s="24">
        <v>499</v>
      </c>
      <c r="Z468" s="24">
        <v>25</v>
      </c>
      <c r="AA468" s="24">
        <f t="shared" si="199"/>
        <v>474.05</v>
      </c>
      <c r="AB468" s="24">
        <f t="shared" si="192"/>
        <v>12475</v>
      </c>
      <c r="AC468" s="24">
        <f t="shared" si="193"/>
        <v>11851.25</v>
      </c>
      <c r="AD468" s="24">
        <f t="shared" si="194"/>
        <v>11851.25</v>
      </c>
      <c r="AE468" s="24">
        <f t="shared" si="195"/>
        <v>623.75</v>
      </c>
      <c r="AF468" s="24">
        <v>0</v>
      </c>
      <c r="AG468" s="33">
        <v>3200</v>
      </c>
      <c r="AH468" s="24"/>
      <c r="AI468" s="24"/>
      <c r="AJ468" s="24"/>
      <c r="AK468" s="24"/>
      <c r="AL468" s="24"/>
      <c r="AM468" s="24" t="s">
        <v>79</v>
      </c>
      <c r="AN468" s="34" t="s">
        <v>2473</v>
      </c>
      <c r="AO468" s="35" t="s">
        <v>1673</v>
      </c>
      <c r="AP468" s="24">
        <f>77*2</f>
        <v>154</v>
      </c>
      <c r="AQ468" s="36">
        <f t="shared" si="200"/>
        <v>47.384615384615387</v>
      </c>
      <c r="AR468" s="80">
        <v>47</v>
      </c>
      <c r="AS468" s="47">
        <f t="shared" si="201"/>
        <v>-0.3846153846153868</v>
      </c>
      <c r="AT468" s="31"/>
      <c r="AU468" s="47">
        <f t="shared" si="202"/>
        <v>-0.3846153846153868</v>
      </c>
      <c r="AV468" s="81">
        <v>91.99</v>
      </c>
      <c r="AW468" s="24">
        <f t="shared" si="196"/>
        <v>4323.53</v>
      </c>
      <c r="AX468" s="24">
        <f t="shared" si="182"/>
        <v>63.483008121506167</v>
      </c>
      <c r="AY468" s="24"/>
      <c r="AZ468" s="24"/>
      <c r="BA468" s="24"/>
      <c r="BB468" s="24">
        <f t="shared" si="203"/>
        <v>0</v>
      </c>
      <c r="BC468" s="24">
        <f t="shared" si="204"/>
        <v>4327.72</v>
      </c>
      <c r="BD468" s="24">
        <v>40</v>
      </c>
      <c r="BE468" s="24">
        <v>40</v>
      </c>
      <c r="BF468" s="24"/>
      <c r="BG468" s="24">
        <f>+AB468*9.5%</f>
        <v>1185.125</v>
      </c>
      <c r="BH468" s="24"/>
      <c r="BI468" s="24"/>
      <c r="BJ468" s="24">
        <f t="shared" si="205"/>
        <v>11.85125</v>
      </c>
      <c r="BK468" s="24">
        <f t="shared" si="206"/>
        <v>5580.9937500000005</v>
      </c>
      <c r="BL468" s="24" t="s">
        <v>128</v>
      </c>
      <c r="BM468" s="42">
        <f t="shared" si="197"/>
        <v>2</v>
      </c>
      <c r="BN468" s="24" t="s">
        <v>83</v>
      </c>
      <c r="BO468" s="2" t="s">
        <v>129</v>
      </c>
    </row>
    <row r="469" spans="1:67" s="1" customFormat="1" ht="15" customHeight="1" x14ac:dyDescent="0.3">
      <c r="A469" s="20">
        <v>465</v>
      </c>
      <c r="B469" s="21">
        <v>46111</v>
      </c>
      <c r="C469" s="21">
        <v>46119</v>
      </c>
      <c r="D469" s="50" t="s">
        <v>2474</v>
      </c>
      <c r="E469" s="23">
        <v>46120</v>
      </c>
      <c r="F469" s="23" t="s">
        <v>7</v>
      </c>
      <c r="G469" s="24" t="s">
        <v>68</v>
      </c>
      <c r="H469" s="24" t="s">
        <v>69</v>
      </c>
      <c r="I469" s="24" t="s">
        <v>263</v>
      </c>
      <c r="J469" s="25" t="s">
        <v>264</v>
      </c>
      <c r="K469" s="45" t="str">
        <f t="shared" si="198"/>
        <v>WB41G1024</v>
      </c>
      <c r="L469" s="26">
        <v>46115</v>
      </c>
      <c r="M469" s="34" t="s">
        <v>2475</v>
      </c>
      <c r="N469" s="85">
        <v>8100967597</v>
      </c>
      <c r="O469" s="28">
        <v>0</v>
      </c>
      <c r="P469" s="27" t="s">
        <v>2476</v>
      </c>
      <c r="Q469" s="85">
        <v>2525385686</v>
      </c>
      <c r="R469" s="85">
        <v>2110837448</v>
      </c>
      <c r="S469" s="31" t="s">
        <v>73</v>
      </c>
      <c r="T469" s="24" t="s">
        <v>91</v>
      </c>
      <c r="U469" s="24" t="s">
        <v>75</v>
      </c>
      <c r="V469" s="32" t="s">
        <v>268</v>
      </c>
      <c r="W469" s="32" t="s">
        <v>1090</v>
      </c>
      <c r="X469" s="32" t="s">
        <v>1090</v>
      </c>
      <c r="Y469" s="24">
        <v>1319</v>
      </c>
      <c r="Z469" s="24">
        <v>25</v>
      </c>
      <c r="AA469" s="24">
        <f t="shared" si="199"/>
        <v>1253.05</v>
      </c>
      <c r="AB469" s="61">
        <f t="shared" si="192"/>
        <v>32975</v>
      </c>
      <c r="AC469" s="24">
        <f t="shared" si="193"/>
        <v>31326.25</v>
      </c>
      <c r="AD469" s="24">
        <f t="shared" si="194"/>
        <v>31326.25</v>
      </c>
      <c r="AE469" s="24">
        <f t="shared" si="195"/>
        <v>1648.75</v>
      </c>
      <c r="AF469" s="24">
        <v>0</v>
      </c>
      <c r="AG469" s="33">
        <v>4200</v>
      </c>
      <c r="AH469" s="24"/>
      <c r="AI469" s="24"/>
      <c r="AJ469" s="24"/>
      <c r="AK469" s="24"/>
      <c r="AL469" s="24"/>
      <c r="AM469" s="24" t="s">
        <v>79</v>
      </c>
      <c r="AN469" s="34" t="s">
        <v>2477</v>
      </c>
      <c r="AO469" s="35" t="s">
        <v>1673</v>
      </c>
      <c r="AP469" s="24">
        <f>332*2</f>
        <v>664</v>
      </c>
      <c r="AQ469" s="36">
        <f t="shared" si="200"/>
        <v>204.30769230769232</v>
      </c>
      <c r="AR469" s="80">
        <v>210</v>
      </c>
      <c r="AS469" s="47">
        <f t="shared" si="201"/>
        <v>5.6923076923076792</v>
      </c>
      <c r="AT469" s="31"/>
      <c r="AU469" s="47">
        <f t="shared" si="202"/>
        <v>5.6923076923076792</v>
      </c>
      <c r="AV469" s="81">
        <v>91.99</v>
      </c>
      <c r="AW469" s="24">
        <f t="shared" si="196"/>
        <v>19317.899999999998</v>
      </c>
      <c r="AX469" s="24">
        <f t="shared" si="182"/>
        <v>75.074099197956983</v>
      </c>
      <c r="AY469" s="24"/>
      <c r="AZ469" s="24"/>
      <c r="BA469" s="24"/>
      <c r="BB469" s="24">
        <f t="shared" si="203"/>
        <v>0</v>
      </c>
      <c r="BC469" s="24">
        <f t="shared" si="204"/>
        <v>7808.3500000000022</v>
      </c>
      <c r="BD469" s="24">
        <v>135</v>
      </c>
      <c r="BE469" s="24">
        <v>135</v>
      </c>
      <c r="BF469" s="24"/>
      <c r="BG469" s="24">
        <f>+AB469*9.5%</f>
        <v>3132.625</v>
      </c>
      <c r="BH469" s="24"/>
      <c r="BI469" s="24"/>
      <c r="BJ469" s="24">
        <f t="shared" si="205"/>
        <v>31.326250000000002</v>
      </c>
      <c r="BK469" s="24">
        <f t="shared" si="206"/>
        <v>11179.648750000002</v>
      </c>
      <c r="BL469" s="24" t="s">
        <v>96</v>
      </c>
      <c r="BM469" s="42">
        <f t="shared" si="197"/>
        <v>5</v>
      </c>
      <c r="BN469" s="24" t="s">
        <v>1542</v>
      </c>
      <c r="BO469" s="2" t="s">
        <v>84</v>
      </c>
    </row>
    <row r="470" spans="1:67" s="1" customFormat="1" ht="15" customHeight="1" x14ac:dyDescent="0.3">
      <c r="A470" s="20">
        <v>466</v>
      </c>
      <c r="B470" s="21">
        <v>46111</v>
      </c>
      <c r="C470" s="21">
        <v>46119</v>
      </c>
      <c r="D470" s="50" t="s">
        <v>2268</v>
      </c>
      <c r="E470" s="23">
        <v>46120</v>
      </c>
      <c r="F470" s="23" t="s">
        <v>7</v>
      </c>
      <c r="G470" s="24" t="s">
        <v>68</v>
      </c>
      <c r="H470" s="24" t="s">
        <v>69</v>
      </c>
      <c r="I470" s="24" t="s">
        <v>88</v>
      </c>
      <c r="J470" s="25" t="s">
        <v>89</v>
      </c>
      <c r="K470" s="45" t="str">
        <f t="shared" si="198"/>
        <v>WB67A9375</v>
      </c>
      <c r="L470" s="26">
        <v>46114</v>
      </c>
      <c r="M470" s="34" t="s">
        <v>2478</v>
      </c>
      <c r="N470" s="85">
        <v>8100967279</v>
      </c>
      <c r="O470" s="28">
        <v>0</v>
      </c>
      <c r="P470" s="27" t="s">
        <v>2479</v>
      </c>
      <c r="Q470" s="85">
        <v>2525385318</v>
      </c>
      <c r="R470" s="85">
        <v>2110837262</v>
      </c>
      <c r="S470" s="31" t="s">
        <v>73</v>
      </c>
      <c r="T470" s="24" t="s">
        <v>91</v>
      </c>
      <c r="U470" s="24" t="s">
        <v>75</v>
      </c>
      <c r="V470" s="32" t="s">
        <v>2480</v>
      </c>
      <c r="W470" s="32" t="s">
        <v>2364</v>
      </c>
      <c r="X470" s="32" t="s">
        <v>2364</v>
      </c>
      <c r="Y470" s="24">
        <v>1125</v>
      </c>
      <c r="Z470" s="24">
        <v>25</v>
      </c>
      <c r="AA470" s="24">
        <f t="shared" si="199"/>
        <v>1068.75</v>
      </c>
      <c r="AB470" s="61">
        <f t="shared" si="192"/>
        <v>28125</v>
      </c>
      <c r="AC470" s="24">
        <f t="shared" si="193"/>
        <v>26718.75</v>
      </c>
      <c r="AD470" s="24">
        <f t="shared" si="194"/>
        <v>26718.75</v>
      </c>
      <c r="AE470" s="24">
        <f t="shared" si="195"/>
        <v>1406.25</v>
      </c>
      <c r="AF470" s="24">
        <v>0</v>
      </c>
      <c r="AG470" s="33">
        <v>3500</v>
      </c>
      <c r="AH470" s="24"/>
      <c r="AI470" s="24"/>
      <c r="AJ470" s="24"/>
      <c r="AK470" s="24"/>
      <c r="AL470" s="24"/>
      <c r="AM470" s="24" t="s">
        <v>79</v>
      </c>
      <c r="AN470" s="34" t="s">
        <v>2481</v>
      </c>
      <c r="AO470" s="35" t="s">
        <v>2482</v>
      </c>
      <c r="AP470" s="24">
        <f>259*2</f>
        <v>518</v>
      </c>
      <c r="AQ470" s="36">
        <f t="shared" si="200"/>
        <v>159.38461538461539</v>
      </c>
      <c r="AR470" s="87">
        <v>155</v>
      </c>
      <c r="AS470" s="88">
        <f t="shared" si="201"/>
        <v>-4.3846153846153868</v>
      </c>
      <c r="AT470" s="89"/>
      <c r="AU470" s="88">
        <f t="shared" si="202"/>
        <v>-4.3846153846153868</v>
      </c>
      <c r="AV470" s="90">
        <v>91.99</v>
      </c>
      <c r="AW470" s="91">
        <f t="shared" si="196"/>
        <v>14258.449999999999</v>
      </c>
      <c r="AX470" s="24">
        <f t="shared" si="182"/>
        <v>66.46437426900583</v>
      </c>
      <c r="AY470" s="24"/>
      <c r="AZ470" s="24"/>
      <c r="BA470" s="24"/>
      <c r="BB470" s="24">
        <f t="shared" si="203"/>
        <v>0</v>
      </c>
      <c r="BC470" s="24">
        <f t="shared" si="204"/>
        <v>8960.3000000000011</v>
      </c>
      <c r="BD470" s="24"/>
      <c r="BE470" s="24"/>
      <c r="BF470" s="24"/>
      <c r="BG470" s="24">
        <f>+AB470*9.5%</f>
        <v>2671.875</v>
      </c>
      <c r="BH470" s="24"/>
      <c r="BI470" s="24"/>
      <c r="BJ470" s="24">
        <f t="shared" si="205"/>
        <v>26.71875</v>
      </c>
      <c r="BK470" s="24">
        <f t="shared" si="206"/>
        <v>11605.456250000001</v>
      </c>
      <c r="BL470" s="24" t="s">
        <v>96</v>
      </c>
      <c r="BM470" s="42">
        <f t="shared" si="197"/>
        <v>4</v>
      </c>
      <c r="BN470" s="24" t="s">
        <v>174</v>
      </c>
      <c r="BO470" s="2" t="s">
        <v>175</v>
      </c>
    </row>
    <row r="471" spans="1:67" s="1" customFormat="1" ht="15" customHeight="1" x14ac:dyDescent="0.3">
      <c r="A471" s="20">
        <v>467</v>
      </c>
      <c r="B471" s="21">
        <v>46111</v>
      </c>
      <c r="C471" s="21">
        <v>46114</v>
      </c>
      <c r="D471" s="50" t="s">
        <v>1461</v>
      </c>
      <c r="E471" s="23">
        <v>46151</v>
      </c>
      <c r="F471" s="23" t="s">
        <v>7</v>
      </c>
      <c r="G471" s="24" t="s">
        <v>68</v>
      </c>
      <c r="H471" s="24" t="s">
        <v>69</v>
      </c>
      <c r="I471" s="24" t="s">
        <v>800</v>
      </c>
      <c r="J471" s="25" t="s">
        <v>801</v>
      </c>
      <c r="K471" s="45" t="str">
        <f t="shared" si="198"/>
        <v>WB41P4782</v>
      </c>
      <c r="L471" s="26">
        <v>46112</v>
      </c>
      <c r="M471" s="34" t="s">
        <v>2483</v>
      </c>
      <c r="N471" s="85">
        <v>8100967642</v>
      </c>
      <c r="O471" s="28">
        <v>0</v>
      </c>
      <c r="P471" s="27" t="s">
        <v>2484</v>
      </c>
      <c r="Q471" s="85">
        <v>2525385778</v>
      </c>
      <c r="R471" s="85">
        <v>2110837504</v>
      </c>
      <c r="S471" s="31" t="s">
        <v>73</v>
      </c>
      <c r="T471" s="24" t="s">
        <v>188</v>
      </c>
      <c r="U471" s="24" t="s">
        <v>75</v>
      </c>
      <c r="V471" s="32" t="s">
        <v>2485</v>
      </c>
      <c r="W471" s="32" t="s">
        <v>990</v>
      </c>
      <c r="X471" s="32" t="s">
        <v>2486</v>
      </c>
      <c r="Y471" s="24">
        <v>604</v>
      </c>
      <c r="Z471" s="24">
        <v>13</v>
      </c>
      <c r="AA471" s="24">
        <f>+Y471/100*93</f>
        <v>561.72</v>
      </c>
      <c r="AB471" s="24">
        <f t="shared" si="192"/>
        <v>7852</v>
      </c>
      <c r="AC471" s="24">
        <f t="shared" si="193"/>
        <v>7459.4</v>
      </c>
      <c r="AD471" s="24">
        <f t="shared" si="194"/>
        <v>7302.3600000000006</v>
      </c>
      <c r="AE471" s="24">
        <f t="shared" si="195"/>
        <v>549.63999999999942</v>
      </c>
      <c r="AF471" s="24">
        <f t="shared" si="207"/>
        <v>73.023600000000002</v>
      </c>
      <c r="AG471" s="33">
        <v>1550</v>
      </c>
      <c r="AH471" s="24"/>
      <c r="AI471" s="24"/>
      <c r="AJ471" s="24"/>
      <c r="AK471" s="24"/>
      <c r="AL471" s="24"/>
      <c r="AM471" s="24" t="s">
        <v>79</v>
      </c>
      <c r="AN471" s="34" t="s">
        <v>2487</v>
      </c>
      <c r="AO471" s="35" t="s">
        <v>1673</v>
      </c>
      <c r="AP471" s="24">
        <f>95*2</f>
        <v>190</v>
      </c>
      <c r="AQ471" s="36">
        <f t="shared" si="200"/>
        <v>58.46153846153846</v>
      </c>
      <c r="AR471" s="80">
        <v>40</v>
      </c>
      <c r="AS471" s="47">
        <f t="shared" si="201"/>
        <v>-18.46153846153846</v>
      </c>
      <c r="AT471" s="31"/>
      <c r="AU471" s="47">
        <f t="shared" si="202"/>
        <v>-18.46153846153846</v>
      </c>
      <c r="AV471" s="81">
        <v>91.99</v>
      </c>
      <c r="AW471" s="24">
        <f t="shared" si="196"/>
        <v>3679.6</v>
      </c>
      <c r="AX471" s="24">
        <f t="shared" ref="AX471:AX498" si="210">((AG471+AW471)/AD471)*100</f>
        <v>71.615203851905406</v>
      </c>
      <c r="AY471" s="24">
        <v>120</v>
      </c>
      <c r="AZ471" s="24"/>
      <c r="BA471" s="24"/>
      <c r="BB471" s="24">
        <f t="shared" si="203"/>
        <v>0</v>
      </c>
      <c r="BC471" s="24">
        <f t="shared" si="204"/>
        <v>1879.7364000000002</v>
      </c>
      <c r="BD471" s="24">
        <v>40</v>
      </c>
      <c r="BE471" s="24">
        <v>40</v>
      </c>
      <c r="BF471" s="24"/>
      <c r="BG471" s="24">
        <f>+AB471*9.5%</f>
        <v>745.94</v>
      </c>
      <c r="BH471" s="24"/>
      <c r="BI471" s="24"/>
      <c r="BJ471" s="24">
        <f t="shared" si="205"/>
        <v>7.4594000000000005</v>
      </c>
      <c r="BK471" s="24">
        <f t="shared" si="206"/>
        <v>2698.2170000000001</v>
      </c>
      <c r="BL471" s="24" t="s">
        <v>807</v>
      </c>
      <c r="BM471" s="42">
        <f t="shared" si="197"/>
        <v>2</v>
      </c>
      <c r="BN471" s="24" t="s">
        <v>83</v>
      </c>
      <c r="BO471" s="2" t="s">
        <v>148</v>
      </c>
    </row>
    <row r="472" spans="1:67" s="1" customFormat="1" ht="15" customHeight="1" x14ac:dyDescent="0.3">
      <c r="A472" s="20">
        <v>468</v>
      </c>
      <c r="B472" s="21">
        <v>46111</v>
      </c>
      <c r="C472" s="21">
        <v>46119</v>
      </c>
      <c r="D472" s="50" t="s">
        <v>1674</v>
      </c>
      <c r="E472" s="23">
        <v>46139</v>
      </c>
      <c r="F472" s="23" t="s">
        <v>7</v>
      </c>
      <c r="G472" s="24" t="s">
        <v>68</v>
      </c>
      <c r="H472" s="24" t="s">
        <v>69</v>
      </c>
      <c r="I472" s="24" t="s">
        <v>141</v>
      </c>
      <c r="J472" s="25" t="s">
        <v>246</v>
      </c>
      <c r="K472" s="45" t="str">
        <f t="shared" si="198"/>
        <v>WB41F4393</v>
      </c>
      <c r="L472" s="26">
        <v>46113</v>
      </c>
      <c r="M472" s="34" t="s">
        <v>2488</v>
      </c>
      <c r="N472" s="85">
        <v>8100967510</v>
      </c>
      <c r="O472" s="28">
        <v>0</v>
      </c>
      <c r="P472" s="27" t="s">
        <v>2489</v>
      </c>
      <c r="Q472" s="85">
        <v>2525385581</v>
      </c>
      <c r="R472" s="85">
        <v>2110837406</v>
      </c>
      <c r="S472" s="31" t="s">
        <v>73</v>
      </c>
      <c r="T472" s="24" t="s">
        <v>91</v>
      </c>
      <c r="U472" s="24" t="s">
        <v>75</v>
      </c>
      <c r="V472" s="32" t="s">
        <v>2490</v>
      </c>
      <c r="W472" s="32" t="s">
        <v>2491</v>
      </c>
      <c r="X472" s="32" t="s">
        <v>2492</v>
      </c>
      <c r="Y472" s="24">
        <v>1113</v>
      </c>
      <c r="Z472" s="24">
        <v>25</v>
      </c>
      <c r="AA472" s="24">
        <f t="shared" si="199"/>
        <v>1057.3500000000001</v>
      </c>
      <c r="AB472" s="24">
        <f t="shared" si="192"/>
        <v>27825</v>
      </c>
      <c r="AC472" s="24">
        <f t="shared" si="193"/>
        <v>26433.75</v>
      </c>
      <c r="AD472" s="24">
        <f t="shared" si="194"/>
        <v>26433.750000000004</v>
      </c>
      <c r="AE472" s="24">
        <f t="shared" si="195"/>
        <v>1391.2499999999964</v>
      </c>
      <c r="AF472" s="24">
        <f t="shared" si="207"/>
        <v>264.33750000000003</v>
      </c>
      <c r="AG472" s="33">
        <v>3850</v>
      </c>
      <c r="AH472" s="24"/>
      <c r="AI472" s="24"/>
      <c r="AJ472" s="24"/>
      <c r="AK472" s="24"/>
      <c r="AL472" s="24"/>
      <c r="AM472" s="24" t="s">
        <v>79</v>
      </c>
      <c r="AN472" s="34" t="s">
        <v>2493</v>
      </c>
      <c r="AO472" s="35" t="s">
        <v>1673</v>
      </c>
      <c r="AP472" s="24">
        <f>253*2</f>
        <v>506</v>
      </c>
      <c r="AQ472" s="36">
        <f t="shared" si="200"/>
        <v>155.69230769230768</v>
      </c>
      <c r="AR472" s="80">
        <v>155</v>
      </c>
      <c r="AS472" s="47">
        <f t="shared" si="201"/>
        <v>-0.69230769230767919</v>
      </c>
      <c r="AT472" s="31"/>
      <c r="AU472" s="47">
        <f t="shared" si="202"/>
        <v>-0.69230769230767919</v>
      </c>
      <c r="AV472" s="81">
        <v>91.99</v>
      </c>
      <c r="AW472" s="24">
        <f t="shared" si="196"/>
        <v>14258.449999999999</v>
      </c>
      <c r="AX472" s="24">
        <f t="shared" si="210"/>
        <v>68.505036175344003</v>
      </c>
      <c r="AY472" s="24"/>
      <c r="AZ472" s="24"/>
      <c r="BA472" s="24"/>
      <c r="BB472" s="24">
        <f t="shared" si="203"/>
        <v>0</v>
      </c>
      <c r="BC472" s="24">
        <f t="shared" si="204"/>
        <v>8060.9625000000033</v>
      </c>
      <c r="BD472" s="24"/>
      <c r="BE472" s="24"/>
      <c r="BF472" s="24"/>
      <c r="BG472" s="24">
        <f>+AB472*9.5%</f>
        <v>2643.375</v>
      </c>
      <c r="BH472" s="24"/>
      <c r="BI472" s="24"/>
      <c r="BJ472" s="24">
        <f t="shared" si="205"/>
        <v>26.43375</v>
      </c>
      <c r="BK472" s="24">
        <f t="shared" si="206"/>
        <v>10677.903750000003</v>
      </c>
      <c r="BL472" s="24" t="s">
        <v>253</v>
      </c>
      <c r="BM472" s="42">
        <f t="shared" si="197"/>
        <v>3</v>
      </c>
      <c r="BN472" s="24" t="s">
        <v>139</v>
      </c>
      <c r="BO472" s="2" t="s">
        <v>175</v>
      </c>
    </row>
    <row r="473" spans="1:67" s="1" customFormat="1" ht="15" customHeight="1" x14ac:dyDescent="0.3">
      <c r="A473" s="20">
        <v>469</v>
      </c>
      <c r="B473" s="21">
        <v>46111</v>
      </c>
      <c r="C473" s="21">
        <v>46119</v>
      </c>
      <c r="D473" s="50" t="s">
        <v>1926</v>
      </c>
      <c r="E473" s="23">
        <v>46120</v>
      </c>
      <c r="F473" s="23" t="s">
        <v>7</v>
      </c>
      <c r="G473" s="24" t="s">
        <v>68</v>
      </c>
      <c r="H473" s="24" t="s">
        <v>69</v>
      </c>
      <c r="I473" s="24" t="s">
        <v>70</v>
      </c>
      <c r="J473" s="25" t="s">
        <v>674</v>
      </c>
      <c r="K473" s="45" t="str">
        <f t="shared" si="198"/>
        <v>WB39B3049</v>
      </c>
      <c r="L473" s="26">
        <v>46115</v>
      </c>
      <c r="M473" s="34" t="s">
        <v>2494</v>
      </c>
      <c r="N473" s="85">
        <v>8100967604</v>
      </c>
      <c r="O473" s="28">
        <v>0</v>
      </c>
      <c r="P473" s="27" t="s">
        <v>2495</v>
      </c>
      <c r="Q473" s="85">
        <v>2525385697</v>
      </c>
      <c r="R473" s="85">
        <v>2110837480</v>
      </c>
      <c r="S473" s="31" t="s">
        <v>73</v>
      </c>
      <c r="T473" s="24" t="s">
        <v>91</v>
      </c>
      <c r="U473" s="24" t="s">
        <v>75</v>
      </c>
      <c r="V473" s="32" t="s">
        <v>491</v>
      </c>
      <c r="W473" s="32" t="s">
        <v>838</v>
      </c>
      <c r="X473" s="32" t="s">
        <v>2496</v>
      </c>
      <c r="Y473" s="24">
        <v>1047</v>
      </c>
      <c r="Z473" s="24">
        <v>25</v>
      </c>
      <c r="AA473" s="24">
        <f t="shared" si="199"/>
        <v>994.65000000000009</v>
      </c>
      <c r="AB473" s="24">
        <f t="shared" si="192"/>
        <v>26175</v>
      </c>
      <c r="AC473" s="24">
        <f t="shared" si="193"/>
        <v>24866.25</v>
      </c>
      <c r="AD473" s="24">
        <f t="shared" si="194"/>
        <v>24866.250000000004</v>
      </c>
      <c r="AE473" s="24">
        <f t="shared" si="195"/>
        <v>1308.7499999999964</v>
      </c>
      <c r="AF473" s="24">
        <f t="shared" si="207"/>
        <v>248.66250000000005</v>
      </c>
      <c r="AG473" s="33">
        <v>4000</v>
      </c>
      <c r="AH473" s="24"/>
      <c r="AI473" s="24"/>
      <c r="AJ473" s="24"/>
      <c r="AK473" s="24"/>
      <c r="AL473" s="24"/>
      <c r="AM473" s="24" t="s">
        <v>79</v>
      </c>
      <c r="AN473" s="34" t="s">
        <v>2497</v>
      </c>
      <c r="AO473" s="35" t="s">
        <v>1673</v>
      </c>
      <c r="AP473" s="24">
        <f>240*2</f>
        <v>480</v>
      </c>
      <c r="AQ473" s="36">
        <f t="shared" si="200"/>
        <v>147.69230769230768</v>
      </c>
      <c r="AR473" s="80">
        <v>160</v>
      </c>
      <c r="AS473" s="47">
        <f t="shared" si="201"/>
        <v>12.307692307692321</v>
      </c>
      <c r="AT473" s="31"/>
      <c r="AU473" s="47">
        <f t="shared" si="202"/>
        <v>12.307692307692321</v>
      </c>
      <c r="AV473" s="83">
        <v>91.88</v>
      </c>
      <c r="AW473" s="24">
        <f t="shared" si="196"/>
        <v>14700.8</v>
      </c>
      <c r="AX473" s="24">
        <f t="shared" si="210"/>
        <v>75.205549690846013</v>
      </c>
      <c r="AY473" s="24"/>
      <c r="AZ473" s="24"/>
      <c r="BA473" s="24"/>
      <c r="BB473" s="24">
        <f t="shared" si="203"/>
        <v>0</v>
      </c>
      <c r="BC473" s="24">
        <f t="shared" si="204"/>
        <v>5916.7875000000058</v>
      </c>
      <c r="BD473" s="24"/>
      <c r="BE473" s="24"/>
      <c r="BF473" s="24"/>
      <c r="BG473" s="24">
        <f>+AD473*9.5%</f>
        <v>2362.2937500000003</v>
      </c>
      <c r="BH473" s="24"/>
      <c r="BI473" s="24"/>
      <c r="BJ473" s="24">
        <f t="shared" si="205"/>
        <v>23.622937500000003</v>
      </c>
      <c r="BK473" s="24">
        <f t="shared" si="206"/>
        <v>8255.4583125000063</v>
      </c>
      <c r="BL473" s="24" t="s">
        <v>680</v>
      </c>
      <c r="BM473" s="42">
        <f t="shared" si="197"/>
        <v>5</v>
      </c>
      <c r="BN473" s="24" t="s">
        <v>1542</v>
      </c>
      <c r="BO473" s="2" t="s">
        <v>424</v>
      </c>
    </row>
    <row r="474" spans="1:67" s="1" customFormat="1" ht="15" customHeight="1" x14ac:dyDescent="0.3">
      <c r="A474" s="20">
        <v>470</v>
      </c>
      <c r="B474" s="21">
        <v>46111</v>
      </c>
      <c r="C474" s="21">
        <v>46119</v>
      </c>
      <c r="D474" s="50" t="s">
        <v>2474</v>
      </c>
      <c r="E474" s="23">
        <v>46120</v>
      </c>
      <c r="F474" s="23" t="s">
        <v>7</v>
      </c>
      <c r="G474" s="24" t="s">
        <v>68</v>
      </c>
      <c r="H474" s="24" t="s">
        <v>69</v>
      </c>
      <c r="I474" s="24" t="s">
        <v>166</v>
      </c>
      <c r="J474" s="25" t="s">
        <v>167</v>
      </c>
      <c r="K474" s="45" t="str">
        <f t="shared" si="198"/>
        <v>WB41H0254</v>
      </c>
      <c r="L474" s="26">
        <v>46113</v>
      </c>
      <c r="M474" s="34" t="s">
        <v>2498</v>
      </c>
      <c r="N474" s="85">
        <v>8100967607</v>
      </c>
      <c r="O474" s="28">
        <v>0</v>
      </c>
      <c r="P474" s="27" t="s">
        <v>2499</v>
      </c>
      <c r="Q474" s="85">
        <v>2525385702</v>
      </c>
      <c r="R474" s="85">
        <v>2110837482</v>
      </c>
      <c r="S474" s="31" t="s">
        <v>73</v>
      </c>
      <c r="T474" s="24" t="s">
        <v>91</v>
      </c>
      <c r="U474" s="24" t="s">
        <v>75</v>
      </c>
      <c r="V474" s="32" t="s">
        <v>472</v>
      </c>
      <c r="W474" s="32" t="s">
        <v>473</v>
      </c>
      <c r="X474" s="32" t="s">
        <v>473</v>
      </c>
      <c r="Y474" s="24">
        <v>1151</v>
      </c>
      <c r="Z474" s="24">
        <v>25</v>
      </c>
      <c r="AA474" s="24">
        <f t="shared" si="199"/>
        <v>1093.45</v>
      </c>
      <c r="AB474" s="61">
        <f t="shared" si="192"/>
        <v>28775</v>
      </c>
      <c r="AC474" s="24">
        <f t="shared" si="193"/>
        <v>27336.25</v>
      </c>
      <c r="AD474" s="24">
        <f t="shared" si="194"/>
        <v>27336.25</v>
      </c>
      <c r="AE474" s="24">
        <f t="shared" si="195"/>
        <v>1438.75</v>
      </c>
      <c r="AF474" s="24">
        <v>0</v>
      </c>
      <c r="AG474" s="33">
        <v>3500</v>
      </c>
      <c r="AH474" s="24"/>
      <c r="AI474" s="24"/>
      <c r="AJ474" s="24"/>
      <c r="AK474" s="24"/>
      <c r="AL474" s="24"/>
      <c r="AM474" s="24" t="s">
        <v>79</v>
      </c>
      <c r="AN474" s="34" t="s">
        <v>2500</v>
      </c>
      <c r="AO474" s="35" t="s">
        <v>1673</v>
      </c>
      <c r="AP474" s="24">
        <f>297*2</f>
        <v>594</v>
      </c>
      <c r="AQ474" s="36">
        <f t="shared" si="200"/>
        <v>182.76923076923077</v>
      </c>
      <c r="AR474" s="80">
        <v>160</v>
      </c>
      <c r="AS474" s="47">
        <f t="shared" si="201"/>
        <v>-22.769230769230774</v>
      </c>
      <c r="AT474" s="31"/>
      <c r="AU474" s="47">
        <f t="shared" si="202"/>
        <v>-22.769230769230774</v>
      </c>
      <c r="AV474" s="81">
        <v>91.99</v>
      </c>
      <c r="AW474" s="24">
        <f t="shared" si="196"/>
        <v>14718.4</v>
      </c>
      <c r="AX474" s="24">
        <f t="shared" si="210"/>
        <v>66.645571356714996</v>
      </c>
      <c r="AY474" s="24"/>
      <c r="AZ474" s="24"/>
      <c r="BA474" s="24"/>
      <c r="BB474" s="24">
        <f t="shared" si="203"/>
        <v>0</v>
      </c>
      <c r="BC474" s="24">
        <f t="shared" si="204"/>
        <v>9117.85</v>
      </c>
      <c r="BD474" s="24">
        <v>135</v>
      </c>
      <c r="BE474" s="24">
        <v>135</v>
      </c>
      <c r="BF474" s="24"/>
      <c r="BG474" s="24">
        <f>+AB474*9.5%</f>
        <v>2733.625</v>
      </c>
      <c r="BH474" s="24"/>
      <c r="BI474" s="24"/>
      <c r="BJ474" s="24">
        <f t="shared" si="205"/>
        <v>27.33625</v>
      </c>
      <c r="BK474" s="24">
        <f t="shared" si="206"/>
        <v>12094.13875</v>
      </c>
      <c r="BL474" s="24" t="s">
        <v>173</v>
      </c>
      <c r="BM474" s="42">
        <f t="shared" si="197"/>
        <v>3</v>
      </c>
      <c r="BN474" s="24" t="s">
        <v>139</v>
      </c>
      <c r="BO474" s="2" t="s">
        <v>84</v>
      </c>
    </row>
    <row r="475" spans="1:67" s="1" customFormat="1" ht="15" customHeight="1" x14ac:dyDescent="0.3">
      <c r="A475" s="20">
        <v>471</v>
      </c>
      <c r="B475" s="21">
        <v>46112</v>
      </c>
      <c r="C475" s="21">
        <v>46119</v>
      </c>
      <c r="D475" s="50" t="s">
        <v>304</v>
      </c>
      <c r="E475" s="23">
        <v>46175</v>
      </c>
      <c r="F475" s="23" t="s">
        <v>7</v>
      </c>
      <c r="G475" s="24" t="s">
        <v>68</v>
      </c>
      <c r="H475" s="24" t="s">
        <v>69</v>
      </c>
      <c r="I475" s="24" t="s">
        <v>70</v>
      </c>
      <c r="J475" s="25" t="s">
        <v>287</v>
      </c>
      <c r="K475" s="45" t="str">
        <f t="shared" si="198"/>
        <v>WB39B1080</v>
      </c>
      <c r="L475" s="26">
        <v>46113</v>
      </c>
      <c r="M475" s="34" t="s">
        <v>2501</v>
      </c>
      <c r="N475" s="85">
        <v>8100968495</v>
      </c>
      <c r="O475" s="28">
        <v>0</v>
      </c>
      <c r="P475" s="27" t="s">
        <v>2502</v>
      </c>
      <c r="Q475" s="85">
        <v>2525386591</v>
      </c>
      <c r="R475">
        <v>2110838195</v>
      </c>
      <c r="S475" s="31" t="s">
        <v>308</v>
      </c>
      <c r="T475" s="24" t="s">
        <v>91</v>
      </c>
      <c r="U475" s="24" t="s">
        <v>75</v>
      </c>
      <c r="V475" s="32" t="s">
        <v>2503</v>
      </c>
      <c r="W475" s="32" t="s">
        <v>2504</v>
      </c>
      <c r="X475" s="32" t="s">
        <v>2505</v>
      </c>
      <c r="Y475" s="24">
        <v>1116</v>
      </c>
      <c r="Z475" s="24">
        <v>25</v>
      </c>
      <c r="AA475" s="24">
        <f t="shared" si="199"/>
        <v>1060.2</v>
      </c>
      <c r="AB475" s="24">
        <f t="shared" si="192"/>
        <v>27900</v>
      </c>
      <c r="AC475" s="24">
        <f t="shared" si="193"/>
        <v>26505</v>
      </c>
      <c r="AD475" s="24">
        <f t="shared" si="194"/>
        <v>26505</v>
      </c>
      <c r="AE475" s="24">
        <f t="shared" si="195"/>
        <v>1395</v>
      </c>
      <c r="AF475" s="24">
        <f t="shared" si="207"/>
        <v>265.05</v>
      </c>
      <c r="AG475" s="33">
        <v>3700</v>
      </c>
      <c r="AH475" s="24"/>
      <c r="AI475" s="24"/>
      <c r="AJ475" s="24"/>
      <c r="AK475" s="24"/>
      <c r="AL475" s="24"/>
      <c r="AM475" s="24" t="s">
        <v>79</v>
      </c>
      <c r="AN475" s="34" t="s">
        <v>2506</v>
      </c>
      <c r="AO475" s="35" t="s">
        <v>1673</v>
      </c>
      <c r="AP475" s="24">
        <f>258*2</f>
        <v>516</v>
      </c>
      <c r="AQ475" s="36">
        <f t="shared" si="200"/>
        <v>158.76923076923077</v>
      </c>
      <c r="AR475" s="80">
        <v>180</v>
      </c>
      <c r="AS475" s="47">
        <f t="shared" si="201"/>
        <v>21.230769230769226</v>
      </c>
      <c r="AT475" s="31"/>
      <c r="AU475" s="47">
        <f t="shared" si="202"/>
        <v>21.230769230769226</v>
      </c>
      <c r="AV475" s="83">
        <v>91.88</v>
      </c>
      <c r="AW475" s="24">
        <f t="shared" si="196"/>
        <v>16538.399999999998</v>
      </c>
      <c r="AX475" s="24">
        <f t="shared" si="210"/>
        <v>76.356913789850964</v>
      </c>
      <c r="AY475" s="24"/>
      <c r="AZ475" s="24"/>
      <c r="BA475" s="24"/>
      <c r="BB475" s="24">
        <f t="shared" si="203"/>
        <v>0</v>
      </c>
      <c r="BC475" s="24">
        <f t="shared" si="204"/>
        <v>6001.5500000000029</v>
      </c>
      <c r="BD475" s="24"/>
      <c r="BE475" s="24"/>
      <c r="BF475" s="24"/>
      <c r="BG475" s="24">
        <f>+AD475*9.5%</f>
        <v>2517.9749999999999</v>
      </c>
      <c r="BH475" s="24"/>
      <c r="BI475" s="24"/>
      <c r="BJ475" s="24">
        <f t="shared" si="205"/>
        <v>25.179749999999999</v>
      </c>
      <c r="BK475" s="24">
        <f t="shared" si="206"/>
        <v>8494.3452500000039</v>
      </c>
      <c r="BL475" s="24" t="s">
        <v>292</v>
      </c>
      <c r="BM475" s="42">
        <f t="shared" si="197"/>
        <v>2</v>
      </c>
      <c r="BN475" s="24" t="s">
        <v>83</v>
      </c>
      <c r="BO475" s="2" t="s">
        <v>424</v>
      </c>
    </row>
    <row r="476" spans="1:67" s="1" customFormat="1" ht="15" customHeight="1" x14ac:dyDescent="0.3">
      <c r="A476" s="20">
        <v>472</v>
      </c>
      <c r="B476" s="21">
        <v>46112</v>
      </c>
      <c r="C476" s="21">
        <v>46119</v>
      </c>
      <c r="D476" s="50" t="s">
        <v>1926</v>
      </c>
      <c r="E476" s="23">
        <v>46120</v>
      </c>
      <c r="F476" s="23" t="s">
        <v>7</v>
      </c>
      <c r="G476" s="24" t="s">
        <v>68</v>
      </c>
      <c r="H476" s="24" t="s">
        <v>69</v>
      </c>
      <c r="I476" s="24" t="s">
        <v>70</v>
      </c>
      <c r="J476" s="25" t="s">
        <v>842</v>
      </c>
      <c r="K476" s="45" t="str">
        <f t="shared" si="198"/>
        <v>WB39B8924</v>
      </c>
      <c r="L476" s="26">
        <v>46113</v>
      </c>
      <c r="M476" s="34" t="s">
        <v>2507</v>
      </c>
      <c r="N476" s="85">
        <v>8100968591</v>
      </c>
      <c r="O476" s="28">
        <v>0</v>
      </c>
      <c r="P476" s="27" t="s">
        <v>2508</v>
      </c>
      <c r="Q476" s="85">
        <v>2525386638</v>
      </c>
      <c r="R476" s="92">
        <v>2110838371</v>
      </c>
      <c r="S476" s="31" t="s">
        <v>73</v>
      </c>
      <c r="T476" s="24" t="s">
        <v>91</v>
      </c>
      <c r="U476" s="24" t="s">
        <v>75</v>
      </c>
      <c r="V476" s="32" t="s">
        <v>491</v>
      </c>
      <c r="W476" s="32" t="s">
        <v>838</v>
      </c>
      <c r="X476" s="32" t="s">
        <v>2509</v>
      </c>
      <c r="Y476" s="24">
        <v>1047</v>
      </c>
      <c r="Z476" s="24">
        <v>25</v>
      </c>
      <c r="AA476" s="24">
        <f t="shared" si="199"/>
        <v>994.65000000000009</v>
      </c>
      <c r="AB476" s="24">
        <f t="shared" si="192"/>
        <v>26175</v>
      </c>
      <c r="AC476" s="24">
        <f t="shared" si="193"/>
        <v>24866.25</v>
      </c>
      <c r="AD476" s="24">
        <f t="shared" si="194"/>
        <v>24866.250000000004</v>
      </c>
      <c r="AE476" s="24">
        <f t="shared" si="195"/>
        <v>1308.7499999999964</v>
      </c>
      <c r="AF476" s="24">
        <f t="shared" si="207"/>
        <v>248.66250000000005</v>
      </c>
      <c r="AG476" s="33">
        <v>3600</v>
      </c>
      <c r="AH476" s="24"/>
      <c r="AI476" s="24"/>
      <c r="AJ476" s="24"/>
      <c r="AK476" s="24"/>
      <c r="AL476" s="24"/>
      <c r="AM476" s="24" t="s">
        <v>79</v>
      </c>
      <c r="AN476" s="34" t="s">
        <v>2510</v>
      </c>
      <c r="AO476" s="35" t="s">
        <v>1673</v>
      </c>
      <c r="AP476" s="24">
        <f>240*2</f>
        <v>480</v>
      </c>
      <c r="AQ476" s="36">
        <f t="shared" si="200"/>
        <v>147.69230769230768</v>
      </c>
      <c r="AR476" s="80">
        <v>155</v>
      </c>
      <c r="AS476" s="47">
        <f t="shared" si="201"/>
        <v>7.3076923076923208</v>
      </c>
      <c r="AT476" s="31"/>
      <c r="AU476" s="47">
        <f t="shared" si="202"/>
        <v>7.3076923076923208</v>
      </c>
      <c r="AV476" s="81">
        <v>91.99</v>
      </c>
      <c r="AW476" s="24">
        <f t="shared" si="196"/>
        <v>14258.449999999999</v>
      </c>
      <c r="AX476" s="24">
        <f t="shared" si="210"/>
        <v>71.818026441461797</v>
      </c>
      <c r="AY476" s="24"/>
      <c r="AZ476" s="24"/>
      <c r="BA476" s="24"/>
      <c r="BB476" s="24">
        <f t="shared" si="203"/>
        <v>0</v>
      </c>
      <c r="BC476" s="24">
        <f t="shared" si="204"/>
        <v>6759.1375000000062</v>
      </c>
      <c r="BD476" s="24"/>
      <c r="BE476" s="24"/>
      <c r="BF476" s="24"/>
      <c r="BG476" s="24">
        <f>+AD476*9.5%</f>
        <v>2362.2937500000003</v>
      </c>
      <c r="BH476" s="24"/>
      <c r="BI476" s="24"/>
      <c r="BJ476" s="24">
        <f t="shared" si="205"/>
        <v>23.622937500000003</v>
      </c>
      <c r="BK476" s="24">
        <f t="shared" si="206"/>
        <v>9097.8083125000067</v>
      </c>
      <c r="BL476" s="24" t="s">
        <v>638</v>
      </c>
      <c r="BM476" s="42">
        <f t="shared" si="197"/>
        <v>2</v>
      </c>
      <c r="BN476" s="24" t="s">
        <v>83</v>
      </c>
      <c r="BO476" s="2" t="s">
        <v>84</v>
      </c>
    </row>
    <row r="477" spans="1:67" s="1" customFormat="1" ht="15" customHeight="1" x14ac:dyDescent="0.3">
      <c r="A477" s="20">
        <v>473</v>
      </c>
      <c r="B477" s="21">
        <v>46112</v>
      </c>
      <c r="C477" s="21">
        <v>46119</v>
      </c>
      <c r="D477" s="50" t="s">
        <v>1926</v>
      </c>
      <c r="E477" s="23">
        <v>46120</v>
      </c>
      <c r="F477" s="23" t="s">
        <v>7</v>
      </c>
      <c r="G477" s="24" t="s">
        <v>68</v>
      </c>
      <c r="H477" s="24" t="s">
        <v>69</v>
      </c>
      <c r="I477" s="24" t="s">
        <v>729</v>
      </c>
      <c r="J477" s="25" t="s">
        <v>730</v>
      </c>
      <c r="K477" s="45" t="str">
        <f t="shared" si="198"/>
        <v>WB53B7628</v>
      </c>
      <c r="L477" s="26">
        <v>46114</v>
      </c>
      <c r="M477" s="34" t="s">
        <v>2511</v>
      </c>
      <c r="N477" s="85">
        <v>8100968597</v>
      </c>
      <c r="O477" s="28">
        <v>0</v>
      </c>
      <c r="P477" s="27" t="s">
        <v>2512</v>
      </c>
      <c r="Q477" s="85">
        <v>2525386642</v>
      </c>
      <c r="R477" s="92">
        <v>2110838377</v>
      </c>
      <c r="S477" s="31" t="s">
        <v>73</v>
      </c>
      <c r="T477" s="24" t="s">
        <v>91</v>
      </c>
      <c r="U477" s="24" t="s">
        <v>75</v>
      </c>
      <c r="V477" s="32" t="s">
        <v>491</v>
      </c>
      <c r="W477" s="32" t="s">
        <v>838</v>
      </c>
      <c r="X477" s="32" t="s">
        <v>2513</v>
      </c>
      <c r="Y477" s="24">
        <v>1047</v>
      </c>
      <c r="Z477" s="24">
        <v>25</v>
      </c>
      <c r="AA477" s="24">
        <f t="shared" si="199"/>
        <v>994.65000000000009</v>
      </c>
      <c r="AB477" s="24">
        <f t="shared" si="192"/>
        <v>26175</v>
      </c>
      <c r="AC477" s="24">
        <f t="shared" si="193"/>
        <v>24866.25</v>
      </c>
      <c r="AD477" s="24">
        <f t="shared" si="194"/>
        <v>24866.250000000004</v>
      </c>
      <c r="AE477" s="24">
        <f t="shared" si="195"/>
        <v>1308.7499999999964</v>
      </c>
      <c r="AF477" s="24">
        <v>0</v>
      </c>
      <c r="AG477" s="33">
        <v>3500</v>
      </c>
      <c r="AH477" s="24"/>
      <c r="AI477" s="24"/>
      <c r="AJ477" s="24"/>
      <c r="AK477" s="24"/>
      <c r="AL477" s="24"/>
      <c r="AM477" s="24" t="s">
        <v>79</v>
      </c>
      <c r="AN477" s="34" t="s">
        <v>2514</v>
      </c>
      <c r="AO477" s="35" t="s">
        <v>1673</v>
      </c>
      <c r="AP477" s="24">
        <f>240*2</f>
        <v>480</v>
      </c>
      <c r="AQ477" s="36">
        <f t="shared" si="200"/>
        <v>147.69230769230768</v>
      </c>
      <c r="AR477" s="80">
        <v>150</v>
      </c>
      <c r="AS477" s="47">
        <f t="shared" si="201"/>
        <v>2.3076923076923208</v>
      </c>
      <c r="AT477" s="31"/>
      <c r="AU477" s="47">
        <f t="shared" si="202"/>
        <v>2.3076923076923208</v>
      </c>
      <c r="AV477" s="81">
        <v>91.99</v>
      </c>
      <c r="AW477" s="24">
        <f t="shared" si="196"/>
        <v>13798.5</v>
      </c>
      <c r="AX477" s="24">
        <f t="shared" si="210"/>
        <v>69.566179057960071</v>
      </c>
      <c r="AY477" s="24"/>
      <c r="AZ477" s="24"/>
      <c r="BA477" s="24"/>
      <c r="BB477" s="24">
        <f t="shared" si="203"/>
        <v>0</v>
      </c>
      <c r="BC477" s="24">
        <f t="shared" si="204"/>
        <v>7567.7500000000036</v>
      </c>
      <c r="BD477" s="24"/>
      <c r="BE477" s="24"/>
      <c r="BF477" s="24"/>
      <c r="BG477" s="24">
        <f>+AB477*9.5%</f>
        <v>2486.625</v>
      </c>
      <c r="BH477" s="24"/>
      <c r="BI477" s="24"/>
      <c r="BJ477" s="24">
        <f t="shared" si="205"/>
        <v>24.866250000000001</v>
      </c>
      <c r="BK477" s="24">
        <f t="shared" si="206"/>
        <v>10029.508750000005</v>
      </c>
      <c r="BL477" s="24" t="s">
        <v>735</v>
      </c>
      <c r="BM477" s="42">
        <f t="shared" si="197"/>
        <v>3</v>
      </c>
      <c r="BN477" s="24" t="s">
        <v>139</v>
      </c>
      <c r="BO477" s="2" t="s">
        <v>84</v>
      </c>
    </row>
    <row r="478" spans="1:67" s="1" customFormat="1" ht="15" customHeight="1" x14ac:dyDescent="0.3">
      <c r="A478" s="20">
        <v>474</v>
      </c>
      <c r="B478" s="21">
        <v>46112</v>
      </c>
      <c r="C478" s="21">
        <v>46119</v>
      </c>
      <c r="D478" s="50" t="s">
        <v>736</v>
      </c>
      <c r="E478" s="23">
        <v>46130</v>
      </c>
      <c r="F478" s="23" t="s">
        <v>7</v>
      </c>
      <c r="G478" s="24" t="s">
        <v>68</v>
      </c>
      <c r="H478" s="24" t="s">
        <v>69</v>
      </c>
      <c r="I478" s="24" t="s">
        <v>70</v>
      </c>
      <c r="J478" s="25" t="s">
        <v>630</v>
      </c>
      <c r="K478" s="45" t="str">
        <f t="shared" si="198"/>
        <v>WB39B8879</v>
      </c>
      <c r="L478" s="26">
        <v>46113</v>
      </c>
      <c r="M478" s="34" t="s">
        <v>2515</v>
      </c>
      <c r="N478" s="85">
        <v>8100968593</v>
      </c>
      <c r="O478" s="28">
        <v>0</v>
      </c>
      <c r="P478" s="27" t="s">
        <v>2516</v>
      </c>
      <c r="Q478" s="85">
        <v>2525386640</v>
      </c>
      <c r="R478" s="92">
        <v>2110838373</v>
      </c>
      <c r="S478" s="31" t="s">
        <v>73</v>
      </c>
      <c r="T478" s="24" t="s">
        <v>91</v>
      </c>
      <c r="U478" s="24" t="s">
        <v>75</v>
      </c>
      <c r="V478" s="32" t="s">
        <v>2392</v>
      </c>
      <c r="W478" s="32" t="s">
        <v>2129</v>
      </c>
      <c r="X478" s="32" t="s">
        <v>2517</v>
      </c>
      <c r="Y478" s="24">
        <v>766</v>
      </c>
      <c r="Z478" s="24">
        <v>25</v>
      </c>
      <c r="AA478" s="24">
        <f t="shared" si="199"/>
        <v>727.7</v>
      </c>
      <c r="AB478" s="24">
        <f t="shared" si="192"/>
        <v>19150</v>
      </c>
      <c r="AC478" s="24">
        <f t="shared" si="193"/>
        <v>18192.5</v>
      </c>
      <c r="AD478" s="24">
        <f t="shared" si="194"/>
        <v>18192.5</v>
      </c>
      <c r="AE478" s="24">
        <f t="shared" si="195"/>
        <v>957.5</v>
      </c>
      <c r="AF478" s="24">
        <f t="shared" ref="AF478:AF497" si="211">+AD478*1%</f>
        <v>181.92500000000001</v>
      </c>
      <c r="AG478" s="33">
        <v>3600</v>
      </c>
      <c r="AH478" s="24"/>
      <c r="AI478" s="24"/>
      <c r="AJ478" s="24"/>
      <c r="AK478" s="24"/>
      <c r="AL478" s="24"/>
      <c r="AM478" s="24" t="s">
        <v>79</v>
      </c>
      <c r="AN478" s="34" t="s">
        <v>2518</v>
      </c>
      <c r="AO478" s="35" t="s">
        <v>1673</v>
      </c>
      <c r="AP478" s="24">
        <f>168*2</f>
        <v>336</v>
      </c>
      <c r="AQ478" s="36">
        <f t="shared" si="200"/>
        <v>103.38461538461539</v>
      </c>
      <c r="AR478" s="80">
        <v>115</v>
      </c>
      <c r="AS478" s="47">
        <f t="shared" si="201"/>
        <v>11.615384615384613</v>
      </c>
      <c r="AT478" s="31"/>
      <c r="AU478" s="47">
        <f t="shared" si="202"/>
        <v>11.615384615384613</v>
      </c>
      <c r="AV478" s="81">
        <v>91.99</v>
      </c>
      <c r="AW478" s="24">
        <f t="shared" si="196"/>
        <v>10578.849999999999</v>
      </c>
      <c r="AX478" s="24">
        <f t="shared" si="210"/>
        <v>77.937886491686129</v>
      </c>
      <c r="AY478" s="24"/>
      <c r="AZ478" s="24"/>
      <c r="BA478" s="24"/>
      <c r="BB478" s="24">
        <f t="shared" si="203"/>
        <v>0</v>
      </c>
      <c r="BC478" s="24">
        <f t="shared" si="204"/>
        <v>3831.7250000000022</v>
      </c>
      <c r="BD478" s="24"/>
      <c r="BE478" s="24"/>
      <c r="BF478" s="24"/>
      <c r="BG478" s="24">
        <f>+AD478*9.5%</f>
        <v>1728.2874999999999</v>
      </c>
      <c r="BH478" s="24"/>
      <c r="BI478" s="24"/>
      <c r="BJ478" s="24">
        <f t="shared" si="205"/>
        <v>17.282875000000001</v>
      </c>
      <c r="BK478" s="24">
        <f t="shared" si="206"/>
        <v>5542.7296250000027</v>
      </c>
      <c r="BL478" s="24" t="s">
        <v>638</v>
      </c>
      <c r="BM478" s="42">
        <f t="shared" si="197"/>
        <v>2</v>
      </c>
      <c r="BN478" s="24" t="s">
        <v>83</v>
      </c>
      <c r="BO478" s="2" t="s">
        <v>148</v>
      </c>
    </row>
    <row r="479" spans="1:67" s="1" customFormat="1" ht="15" customHeight="1" x14ac:dyDescent="0.3">
      <c r="A479" s="20">
        <v>475</v>
      </c>
      <c r="B479" s="21">
        <v>46112</v>
      </c>
      <c r="C479" s="21">
        <v>46119</v>
      </c>
      <c r="D479" s="50" t="s">
        <v>2268</v>
      </c>
      <c r="E479" s="23">
        <v>46120</v>
      </c>
      <c r="F479" s="23" t="s">
        <v>7</v>
      </c>
      <c r="G479" s="24" t="s">
        <v>68</v>
      </c>
      <c r="H479" s="24" t="s">
        <v>69</v>
      </c>
      <c r="I479" s="24" t="s">
        <v>112</v>
      </c>
      <c r="J479" s="25" t="s">
        <v>558</v>
      </c>
      <c r="K479" s="45" t="str">
        <f t="shared" si="198"/>
        <v>WB39A5858</v>
      </c>
      <c r="L479" s="26">
        <v>46114</v>
      </c>
      <c r="M479" s="34" t="s">
        <v>2519</v>
      </c>
      <c r="N479" s="85">
        <v>8100968674</v>
      </c>
      <c r="O479" s="28">
        <v>0</v>
      </c>
      <c r="P479" s="27" t="s">
        <v>2520</v>
      </c>
      <c r="Q479" s="85">
        <v>2525386668</v>
      </c>
      <c r="R479" s="92">
        <v>2110838452</v>
      </c>
      <c r="S479" s="31" t="s">
        <v>73</v>
      </c>
      <c r="T479" s="24" t="s">
        <v>74</v>
      </c>
      <c r="U479" s="24" t="s">
        <v>75</v>
      </c>
      <c r="V479" s="32" t="s">
        <v>2521</v>
      </c>
      <c r="W479" s="32" t="s">
        <v>563</v>
      </c>
      <c r="X479" s="32" t="s">
        <v>563</v>
      </c>
      <c r="Y479" s="24">
        <v>644</v>
      </c>
      <c r="Z479" s="24">
        <v>19</v>
      </c>
      <c r="AA479" s="24">
        <f t="shared" si="199"/>
        <v>611.80000000000007</v>
      </c>
      <c r="AB479" s="61">
        <f t="shared" si="192"/>
        <v>12236</v>
      </c>
      <c r="AC479" s="24">
        <f t="shared" si="193"/>
        <v>11624.2</v>
      </c>
      <c r="AD479" s="24">
        <f t="shared" si="194"/>
        <v>11624.2</v>
      </c>
      <c r="AE479" s="24">
        <f t="shared" si="195"/>
        <v>611.79999999999927</v>
      </c>
      <c r="AF479" s="24">
        <v>0</v>
      </c>
      <c r="AG479" s="33">
        <v>2700</v>
      </c>
      <c r="AH479" s="24"/>
      <c r="AI479" s="24"/>
      <c r="AJ479" s="24"/>
      <c r="AK479" s="24"/>
      <c r="AL479" s="24"/>
      <c r="AM479" s="24" t="s">
        <v>79</v>
      </c>
      <c r="AN479" s="34" t="s">
        <v>2522</v>
      </c>
      <c r="AO479" s="35" t="s">
        <v>2482</v>
      </c>
      <c r="AP479" s="24">
        <f>118*2</f>
        <v>236</v>
      </c>
      <c r="AQ479" s="36">
        <f t="shared" si="200"/>
        <v>72.615384615384613</v>
      </c>
      <c r="AR479" s="87">
        <v>65</v>
      </c>
      <c r="AS479" s="88">
        <f t="shared" si="201"/>
        <v>-7.6153846153846132</v>
      </c>
      <c r="AT479" s="89"/>
      <c r="AU479" s="88">
        <f t="shared" si="202"/>
        <v>-7.6153846153846132</v>
      </c>
      <c r="AV479" s="90">
        <v>91.88</v>
      </c>
      <c r="AW479" s="91">
        <f t="shared" si="196"/>
        <v>5972.2</v>
      </c>
      <c r="AX479" s="24">
        <f t="shared" si="210"/>
        <v>74.604703979628709</v>
      </c>
      <c r="AY479" s="24"/>
      <c r="AZ479" s="24"/>
      <c r="BA479" s="24"/>
      <c r="BB479" s="24">
        <f t="shared" si="203"/>
        <v>0</v>
      </c>
      <c r="BC479" s="24">
        <f t="shared" si="204"/>
        <v>2952.0000000000009</v>
      </c>
      <c r="BD479" s="24"/>
      <c r="BE479" s="24"/>
      <c r="BF479" s="24"/>
      <c r="BG479" s="24">
        <f t="shared" ref="BG479:BG488" si="212">+AB479*9.5%</f>
        <v>1162.42</v>
      </c>
      <c r="BH479" s="24">
        <f>+AB479*8.5%</f>
        <v>1040.0600000000002</v>
      </c>
      <c r="BI479" s="24"/>
      <c r="BJ479" s="24">
        <f t="shared" si="205"/>
        <v>22.024800000000006</v>
      </c>
      <c r="BK479" s="24">
        <f t="shared" si="206"/>
        <v>5132.4552000000012</v>
      </c>
      <c r="BL479" s="24" t="s">
        <v>565</v>
      </c>
      <c r="BM479" s="42">
        <f t="shared" si="197"/>
        <v>3</v>
      </c>
      <c r="BN479" s="24" t="s">
        <v>139</v>
      </c>
      <c r="BO479" s="2" t="s">
        <v>175</v>
      </c>
    </row>
    <row r="480" spans="1:67" s="1" customFormat="1" ht="15" customHeight="1" x14ac:dyDescent="0.3">
      <c r="A480" s="20">
        <v>476</v>
      </c>
      <c r="B480" s="21">
        <v>46112</v>
      </c>
      <c r="C480" s="21">
        <v>46119</v>
      </c>
      <c r="D480" s="50" t="s">
        <v>2268</v>
      </c>
      <c r="E480" s="23">
        <v>46120</v>
      </c>
      <c r="F480" s="23" t="s">
        <v>7</v>
      </c>
      <c r="G480" s="24" t="s">
        <v>68</v>
      </c>
      <c r="H480" s="24" t="s">
        <v>69</v>
      </c>
      <c r="I480" s="24" t="s">
        <v>166</v>
      </c>
      <c r="J480" s="25" t="s">
        <v>255</v>
      </c>
      <c r="K480" s="45" t="str">
        <f t="shared" si="198"/>
        <v>WB41H0177</v>
      </c>
      <c r="L480" s="26">
        <v>46113</v>
      </c>
      <c r="M480" s="34" t="s">
        <v>2523</v>
      </c>
      <c r="N480" s="85">
        <v>8100968686</v>
      </c>
      <c r="O480" s="28">
        <v>0</v>
      </c>
      <c r="P480" s="27" t="s">
        <v>2524</v>
      </c>
      <c r="Q480" s="85">
        <v>2525386679</v>
      </c>
      <c r="R480" s="92">
        <v>2110838465</v>
      </c>
      <c r="S480" s="31" t="s">
        <v>73</v>
      </c>
      <c r="T480" s="24" t="s">
        <v>91</v>
      </c>
      <c r="U480" s="24" t="s">
        <v>75</v>
      </c>
      <c r="V480" s="32" t="s">
        <v>1738</v>
      </c>
      <c r="W480" s="32" t="s">
        <v>1739</v>
      </c>
      <c r="X480" s="32" t="s">
        <v>1739</v>
      </c>
      <c r="Y480" s="24">
        <v>1311</v>
      </c>
      <c r="Z480" s="24">
        <v>25</v>
      </c>
      <c r="AA480" s="24">
        <f t="shared" si="199"/>
        <v>1245.45</v>
      </c>
      <c r="AB480" s="61">
        <f t="shared" si="192"/>
        <v>32775</v>
      </c>
      <c r="AC480" s="24">
        <f t="shared" si="193"/>
        <v>31136.25</v>
      </c>
      <c r="AD480" s="24">
        <f t="shared" si="194"/>
        <v>31136.25</v>
      </c>
      <c r="AE480" s="24">
        <f t="shared" si="195"/>
        <v>1638.75</v>
      </c>
      <c r="AF480" s="24">
        <f t="shared" si="211"/>
        <v>311.36250000000001</v>
      </c>
      <c r="AG480" s="33">
        <v>4000</v>
      </c>
      <c r="AH480" s="24"/>
      <c r="AI480" s="24"/>
      <c r="AJ480" s="24"/>
      <c r="AK480" s="24"/>
      <c r="AL480" s="24"/>
      <c r="AM480" s="24" t="s">
        <v>79</v>
      </c>
      <c r="AN480" s="34" t="s">
        <v>2525</v>
      </c>
      <c r="AO480" s="35" t="s">
        <v>1673</v>
      </c>
      <c r="AP480" s="24">
        <f>332*2</f>
        <v>664</v>
      </c>
      <c r="AQ480" s="36">
        <f t="shared" si="200"/>
        <v>204.30769230769232</v>
      </c>
      <c r="AR480" s="80">
        <v>224</v>
      </c>
      <c r="AS480" s="47">
        <f t="shared" si="201"/>
        <v>19.692307692307679</v>
      </c>
      <c r="AT480" s="31"/>
      <c r="AU480" s="47">
        <f t="shared" si="202"/>
        <v>19.692307692307679</v>
      </c>
      <c r="AV480" s="83">
        <v>91.88</v>
      </c>
      <c r="AW480" s="24">
        <f t="shared" si="196"/>
        <v>20581.12</v>
      </c>
      <c r="AX480" s="24">
        <f t="shared" si="210"/>
        <v>78.946950901280658</v>
      </c>
      <c r="AY480" s="24"/>
      <c r="AZ480" s="24"/>
      <c r="BA480" s="24"/>
      <c r="BB480" s="24">
        <f t="shared" si="203"/>
        <v>0</v>
      </c>
      <c r="BC480" s="24">
        <f t="shared" si="204"/>
        <v>6243.7675000000017</v>
      </c>
      <c r="BD480" s="24">
        <v>135</v>
      </c>
      <c r="BE480" s="24">
        <v>135</v>
      </c>
      <c r="BF480" s="24"/>
      <c r="BG480" s="24">
        <f t="shared" si="212"/>
        <v>3113.625</v>
      </c>
      <c r="BH480" s="24"/>
      <c r="BI480" s="24"/>
      <c r="BJ480" s="24">
        <f t="shared" si="205"/>
        <v>31.13625</v>
      </c>
      <c r="BK480" s="24">
        <f t="shared" si="206"/>
        <v>9596.2562500000022</v>
      </c>
      <c r="BL480" s="24" t="s">
        <v>261</v>
      </c>
      <c r="BM480" s="42">
        <f t="shared" si="197"/>
        <v>2</v>
      </c>
      <c r="BN480" s="24" t="s">
        <v>83</v>
      </c>
      <c r="BO480" s="2" t="s">
        <v>129</v>
      </c>
    </row>
    <row r="481" spans="1:67" s="1" customFormat="1" ht="15" customHeight="1" x14ac:dyDescent="0.3">
      <c r="A481" s="20">
        <v>477</v>
      </c>
      <c r="B481" s="21">
        <v>46112</v>
      </c>
      <c r="C481" s="21">
        <v>46126</v>
      </c>
      <c r="D481" s="50" t="s">
        <v>2526</v>
      </c>
      <c r="E481" s="23">
        <v>46139</v>
      </c>
      <c r="F481" s="23" t="s">
        <v>7</v>
      </c>
      <c r="G481" s="24" t="s">
        <v>68</v>
      </c>
      <c r="H481" s="24" t="s">
        <v>69</v>
      </c>
      <c r="I481" s="24" t="s">
        <v>2110</v>
      </c>
      <c r="J481" s="25" t="s">
        <v>2158</v>
      </c>
      <c r="K481" s="45" t="str">
        <f t="shared" si="198"/>
        <v>WB81B7588</v>
      </c>
      <c r="L481" s="26">
        <v>46113</v>
      </c>
      <c r="M481" s="34" t="s">
        <v>2527</v>
      </c>
      <c r="N481" s="85">
        <v>8100968688</v>
      </c>
      <c r="O481" s="28">
        <v>0</v>
      </c>
      <c r="P481" s="27" t="s">
        <v>2528</v>
      </c>
      <c r="Q481" s="85">
        <v>2525386682</v>
      </c>
      <c r="R481" s="92">
        <v>2110838467</v>
      </c>
      <c r="S481" s="31" t="s">
        <v>73</v>
      </c>
      <c r="T481" s="24" t="s">
        <v>188</v>
      </c>
      <c r="U481" s="24" t="s">
        <v>75</v>
      </c>
      <c r="V481" s="32" t="s">
        <v>757</v>
      </c>
      <c r="W481" s="32" t="s">
        <v>77</v>
      </c>
      <c r="X481" s="32" t="s">
        <v>2529</v>
      </c>
      <c r="Y481" s="24">
        <v>832</v>
      </c>
      <c r="Z481" s="24">
        <v>13</v>
      </c>
      <c r="AA481" s="24">
        <f t="shared" si="199"/>
        <v>790.4</v>
      </c>
      <c r="AB481" s="24">
        <f t="shared" si="192"/>
        <v>10816</v>
      </c>
      <c r="AC481" s="24">
        <f t="shared" si="193"/>
        <v>10275.199999999999</v>
      </c>
      <c r="AD481" s="24">
        <f t="shared" si="194"/>
        <v>10275.199999999999</v>
      </c>
      <c r="AE481" s="24">
        <f t="shared" si="195"/>
        <v>540.80000000000109</v>
      </c>
      <c r="AF481" s="24">
        <f t="shared" si="211"/>
        <v>102.752</v>
      </c>
      <c r="AG481" s="33">
        <v>1450</v>
      </c>
      <c r="AH481" s="24"/>
      <c r="AI481" s="24"/>
      <c r="AJ481" s="24"/>
      <c r="AK481" s="24"/>
      <c r="AL481" s="24"/>
      <c r="AM481" s="24" t="s">
        <v>79</v>
      </c>
      <c r="AN481" s="34" t="s">
        <v>2530</v>
      </c>
      <c r="AO481" s="35" t="s">
        <v>1673</v>
      </c>
      <c r="AP481" s="24">
        <f>177*2</f>
        <v>354</v>
      </c>
      <c r="AQ481" s="36">
        <f t="shared" si="200"/>
        <v>108.92307692307692</v>
      </c>
      <c r="AR481" s="80">
        <v>45</v>
      </c>
      <c r="AS481" s="47">
        <f t="shared" si="201"/>
        <v>-63.92307692307692</v>
      </c>
      <c r="AT481" s="31"/>
      <c r="AU481" s="47">
        <f t="shared" si="202"/>
        <v>-63.92307692307692</v>
      </c>
      <c r="AV481" s="81">
        <v>91.991</v>
      </c>
      <c r="AW481" s="24">
        <f t="shared" si="196"/>
        <v>4139.5950000000003</v>
      </c>
      <c r="AX481" s="24">
        <f t="shared" si="210"/>
        <v>54.398892478978524</v>
      </c>
      <c r="AY481" s="24">
        <v>120</v>
      </c>
      <c r="AZ481" s="24"/>
      <c r="BA481" s="24"/>
      <c r="BB481" s="24">
        <f t="shared" si="203"/>
        <v>0</v>
      </c>
      <c r="BC481" s="24">
        <f t="shared" si="204"/>
        <v>4462.8529999999982</v>
      </c>
      <c r="BD481" s="24"/>
      <c r="BE481" s="24"/>
      <c r="BF481" s="24"/>
      <c r="BG481" s="24">
        <f t="shared" si="212"/>
        <v>1027.52</v>
      </c>
      <c r="BH481" s="24"/>
      <c r="BI481" s="24"/>
      <c r="BJ481" s="24">
        <f t="shared" si="205"/>
        <v>10.2752</v>
      </c>
      <c r="BK481" s="24">
        <f t="shared" si="206"/>
        <v>5480.0977999999977</v>
      </c>
      <c r="BL481" s="24" t="s">
        <v>2118</v>
      </c>
      <c r="BM481" s="42">
        <f t="shared" si="197"/>
        <v>2</v>
      </c>
      <c r="BN481" s="24" t="s">
        <v>83</v>
      </c>
      <c r="BO481" s="2" t="s">
        <v>175</v>
      </c>
    </row>
    <row r="482" spans="1:67" s="1" customFormat="1" ht="15" customHeight="1" x14ac:dyDescent="0.3">
      <c r="A482" s="20">
        <v>478</v>
      </c>
      <c r="B482" s="21">
        <v>46112</v>
      </c>
      <c r="C482" s="21">
        <v>46119</v>
      </c>
      <c r="D482" s="50" t="s">
        <v>1674</v>
      </c>
      <c r="E482" s="23">
        <v>46139</v>
      </c>
      <c r="F482" s="23" t="s">
        <v>7</v>
      </c>
      <c r="G482" s="24" t="s">
        <v>68</v>
      </c>
      <c r="H482" s="24" t="s">
        <v>69</v>
      </c>
      <c r="I482" s="24" t="s">
        <v>70</v>
      </c>
      <c r="J482" s="25" t="s">
        <v>650</v>
      </c>
      <c r="K482" s="45" t="str">
        <f t="shared" si="198"/>
        <v>WB39B0926</v>
      </c>
      <c r="L482" s="26">
        <v>46114</v>
      </c>
      <c r="M482" s="34" t="s">
        <v>2531</v>
      </c>
      <c r="N482" s="85">
        <v>8100968756</v>
      </c>
      <c r="O482" s="28">
        <v>0</v>
      </c>
      <c r="P482" s="27" t="s">
        <v>2532</v>
      </c>
      <c r="Q482" s="85">
        <v>2525386721</v>
      </c>
      <c r="R482" s="92">
        <v>2110838560</v>
      </c>
      <c r="S482" s="31" t="s">
        <v>73</v>
      </c>
      <c r="T482" s="24" t="s">
        <v>91</v>
      </c>
      <c r="U482" s="24" t="s">
        <v>75</v>
      </c>
      <c r="V482" s="32" t="s">
        <v>2428</v>
      </c>
      <c r="W482" s="32" t="s">
        <v>2364</v>
      </c>
      <c r="X482" s="32" t="s">
        <v>2533</v>
      </c>
      <c r="Y482" s="24">
        <v>1125</v>
      </c>
      <c r="Z482" s="24">
        <v>25</v>
      </c>
      <c r="AA482" s="24">
        <f t="shared" si="199"/>
        <v>1068.75</v>
      </c>
      <c r="AB482" s="24">
        <f t="shared" si="192"/>
        <v>28125</v>
      </c>
      <c r="AC482" s="24">
        <f t="shared" si="193"/>
        <v>26718.75</v>
      </c>
      <c r="AD482" s="24">
        <f t="shared" si="194"/>
        <v>26718.75</v>
      </c>
      <c r="AE482" s="24">
        <f t="shared" si="195"/>
        <v>1406.25</v>
      </c>
      <c r="AF482" s="24">
        <v>0</v>
      </c>
      <c r="AG482" s="33">
        <v>6700</v>
      </c>
      <c r="AH482" s="24"/>
      <c r="AI482" s="24"/>
      <c r="AJ482" s="24"/>
      <c r="AK482" s="24"/>
      <c r="AL482" s="24"/>
      <c r="AM482" s="24" t="s">
        <v>79</v>
      </c>
      <c r="AN482" s="34" t="s">
        <v>2534</v>
      </c>
      <c r="AO482" s="35" t="s">
        <v>1673</v>
      </c>
      <c r="AP482" s="24">
        <f>262*2</f>
        <v>524</v>
      </c>
      <c r="AQ482" s="36">
        <f t="shared" si="200"/>
        <v>161.23076923076923</v>
      </c>
      <c r="AR482" s="80">
        <v>150</v>
      </c>
      <c r="AS482" s="47">
        <f t="shared" si="201"/>
        <v>-11.230769230769226</v>
      </c>
      <c r="AT482" s="31"/>
      <c r="AU482" s="47">
        <f t="shared" si="202"/>
        <v>-11.230769230769226</v>
      </c>
      <c r="AV482" s="81">
        <v>91.99</v>
      </c>
      <c r="AW482" s="24">
        <f t="shared" si="196"/>
        <v>13798.5</v>
      </c>
      <c r="AX482" s="24">
        <f t="shared" si="210"/>
        <v>76.719532163742684</v>
      </c>
      <c r="AY482" s="24"/>
      <c r="AZ482" s="24"/>
      <c r="BA482" s="24"/>
      <c r="BB482" s="24">
        <f t="shared" si="203"/>
        <v>0</v>
      </c>
      <c r="BC482" s="24">
        <f t="shared" si="204"/>
        <v>6220.25</v>
      </c>
      <c r="BD482" s="24"/>
      <c r="BE482" s="24"/>
      <c r="BF482" s="24"/>
      <c r="BG482" s="24">
        <f t="shared" si="212"/>
        <v>2671.875</v>
      </c>
      <c r="BH482" s="24"/>
      <c r="BI482" s="24"/>
      <c r="BJ482" s="24">
        <f t="shared" si="205"/>
        <v>26.71875</v>
      </c>
      <c r="BK482" s="24">
        <f t="shared" si="206"/>
        <v>8865.40625</v>
      </c>
      <c r="BL482" s="24" t="s">
        <v>657</v>
      </c>
      <c r="BM482" s="42">
        <f t="shared" si="197"/>
        <v>3</v>
      </c>
      <c r="BN482" s="24" t="s">
        <v>139</v>
      </c>
      <c r="BO482" s="2" t="s">
        <v>424</v>
      </c>
    </row>
    <row r="483" spans="1:67" s="1" customFormat="1" ht="15" customHeight="1" x14ac:dyDescent="0.3">
      <c r="A483" s="20">
        <v>479</v>
      </c>
      <c r="B483" s="21">
        <v>46112</v>
      </c>
      <c r="C483" s="21">
        <v>46119</v>
      </c>
      <c r="D483" s="50" t="s">
        <v>1734</v>
      </c>
      <c r="E483" s="23">
        <v>46151</v>
      </c>
      <c r="F483" s="23" t="s">
        <v>7</v>
      </c>
      <c r="G483" s="24" t="s">
        <v>68</v>
      </c>
      <c r="H483" s="24" t="s">
        <v>69</v>
      </c>
      <c r="I483" s="24" t="s">
        <v>117</v>
      </c>
      <c r="J483" s="25" t="s">
        <v>118</v>
      </c>
      <c r="K483" s="45" t="str">
        <f t="shared" si="198"/>
        <v>WB37E6348</v>
      </c>
      <c r="L483" s="26">
        <v>46116</v>
      </c>
      <c r="M483" s="34" t="s">
        <v>2535</v>
      </c>
      <c r="N483" s="85">
        <v>8100968746</v>
      </c>
      <c r="O483" s="28">
        <v>0</v>
      </c>
      <c r="P483" s="27" t="s">
        <v>2536</v>
      </c>
      <c r="Q483" s="85">
        <v>2525386714</v>
      </c>
      <c r="R483" s="92">
        <v>2110838550</v>
      </c>
      <c r="S483" s="31" t="s">
        <v>73</v>
      </c>
      <c r="T483" s="24" t="s">
        <v>91</v>
      </c>
      <c r="U483" s="24" t="s">
        <v>75</v>
      </c>
      <c r="V483" s="32" t="s">
        <v>1738</v>
      </c>
      <c r="W483" s="32" t="s">
        <v>1739</v>
      </c>
      <c r="X483" s="32" t="s">
        <v>2537</v>
      </c>
      <c r="Y483" s="24">
        <v>1311</v>
      </c>
      <c r="Z483" s="24">
        <v>25</v>
      </c>
      <c r="AA483" s="24">
        <f t="shared" si="199"/>
        <v>1245.45</v>
      </c>
      <c r="AB483" s="24">
        <f t="shared" si="192"/>
        <v>32775</v>
      </c>
      <c r="AC483" s="24">
        <f t="shared" si="193"/>
        <v>31136.25</v>
      </c>
      <c r="AD483" s="24">
        <f t="shared" si="194"/>
        <v>31136.25</v>
      </c>
      <c r="AE483" s="24">
        <f t="shared" si="195"/>
        <v>1638.75</v>
      </c>
      <c r="AF483" s="24">
        <v>0</v>
      </c>
      <c r="AG483" s="33">
        <v>9200</v>
      </c>
      <c r="AH483" s="24"/>
      <c r="AI483" s="24"/>
      <c r="AJ483" s="24"/>
      <c r="AK483" s="24"/>
      <c r="AL483" s="24"/>
      <c r="AM483" s="24" t="s">
        <v>79</v>
      </c>
      <c r="AN483" s="34" t="s">
        <v>2538</v>
      </c>
      <c r="AO483" s="35" t="s">
        <v>2482</v>
      </c>
      <c r="AP483" s="24">
        <f>332*2</f>
        <v>664</v>
      </c>
      <c r="AQ483" s="36">
        <f t="shared" si="200"/>
        <v>204.30769230769232</v>
      </c>
      <c r="AR483" s="87">
        <v>200</v>
      </c>
      <c r="AS483" s="88">
        <f t="shared" si="201"/>
        <v>-4.3076923076923208</v>
      </c>
      <c r="AT483" s="89"/>
      <c r="AU483" s="88">
        <f t="shared" si="202"/>
        <v>-4.3076923076923208</v>
      </c>
      <c r="AV483" s="90">
        <v>91.99</v>
      </c>
      <c r="AW483" s="91">
        <f t="shared" si="196"/>
        <v>18398</v>
      </c>
      <c r="AX483" s="24">
        <f t="shared" si="210"/>
        <v>88.636235898671174</v>
      </c>
      <c r="AY483" s="24"/>
      <c r="AZ483" s="24"/>
      <c r="BA483" s="24"/>
      <c r="BB483" s="24">
        <f t="shared" si="203"/>
        <v>0</v>
      </c>
      <c r="BC483" s="24">
        <f t="shared" si="204"/>
        <v>3538.25</v>
      </c>
      <c r="BD483" s="24">
        <v>135</v>
      </c>
      <c r="BE483" s="24">
        <v>135</v>
      </c>
      <c r="BF483" s="24"/>
      <c r="BG483" s="24">
        <f t="shared" si="212"/>
        <v>3113.625</v>
      </c>
      <c r="BH483" s="24"/>
      <c r="BI483" s="24"/>
      <c r="BJ483" s="24">
        <f t="shared" si="205"/>
        <v>31.13625</v>
      </c>
      <c r="BK483" s="24">
        <f t="shared" si="206"/>
        <v>6890.7387500000004</v>
      </c>
      <c r="BL483" s="24" t="s">
        <v>121</v>
      </c>
      <c r="BM483" s="42">
        <f t="shared" si="197"/>
        <v>5</v>
      </c>
      <c r="BN483" s="24" t="s">
        <v>1542</v>
      </c>
      <c r="BO483" s="2" t="s">
        <v>129</v>
      </c>
    </row>
    <row r="484" spans="1:67" s="1" customFormat="1" ht="15" customHeight="1" x14ac:dyDescent="0.3">
      <c r="A484" s="20">
        <v>480</v>
      </c>
      <c r="B484" s="21">
        <v>46112</v>
      </c>
      <c r="C484" s="21">
        <v>46119</v>
      </c>
      <c r="D484" s="50" t="s">
        <v>736</v>
      </c>
      <c r="E484" s="23">
        <v>46130</v>
      </c>
      <c r="F484" s="23" t="s">
        <v>7</v>
      </c>
      <c r="G484" s="24" t="s">
        <v>68</v>
      </c>
      <c r="H484" s="24" t="s">
        <v>69</v>
      </c>
      <c r="I484" s="24" t="s">
        <v>389</v>
      </c>
      <c r="J484" s="25" t="s">
        <v>1423</v>
      </c>
      <c r="K484" s="45" t="str">
        <f t="shared" si="198"/>
        <v>WB39G8384</v>
      </c>
      <c r="L484" s="26">
        <v>46114</v>
      </c>
      <c r="M484" s="34" t="s">
        <v>2539</v>
      </c>
      <c r="N484" s="85">
        <v>8100968777</v>
      </c>
      <c r="O484" s="28">
        <v>0</v>
      </c>
      <c r="P484" s="27" t="s">
        <v>2540</v>
      </c>
      <c r="Q484" s="85">
        <v>2525386728</v>
      </c>
      <c r="R484" s="92">
        <v>2110838579</v>
      </c>
      <c r="S484" s="31" t="s">
        <v>73</v>
      </c>
      <c r="T484" s="24" t="s">
        <v>91</v>
      </c>
      <c r="U484" s="24" t="s">
        <v>75</v>
      </c>
      <c r="V484" s="32" t="s">
        <v>2541</v>
      </c>
      <c r="W484" s="32" t="s">
        <v>2542</v>
      </c>
      <c r="X484" s="32" t="s">
        <v>2543</v>
      </c>
      <c r="Y484" s="24">
        <v>944</v>
      </c>
      <c r="Z484" s="24">
        <v>25</v>
      </c>
      <c r="AA484" s="24">
        <f t="shared" si="199"/>
        <v>896.8</v>
      </c>
      <c r="AB484" s="24">
        <f t="shared" si="192"/>
        <v>23600</v>
      </c>
      <c r="AC484" s="24">
        <f t="shared" si="193"/>
        <v>22420</v>
      </c>
      <c r="AD484" s="24">
        <f t="shared" si="194"/>
        <v>22420</v>
      </c>
      <c r="AE484" s="24">
        <f t="shared" si="195"/>
        <v>1180</v>
      </c>
      <c r="AF484" s="24">
        <f t="shared" si="211"/>
        <v>224.20000000000002</v>
      </c>
      <c r="AG484" s="33">
        <v>3400</v>
      </c>
      <c r="AH484" s="24"/>
      <c r="AI484" s="24"/>
      <c r="AJ484" s="24"/>
      <c r="AK484" s="24"/>
      <c r="AL484" s="24"/>
      <c r="AM484" s="24" t="s">
        <v>79</v>
      </c>
      <c r="AN484" s="34" t="s">
        <v>2544</v>
      </c>
      <c r="AO484" s="35" t="s">
        <v>1673</v>
      </c>
      <c r="AP484" s="24">
        <f>220*2</f>
        <v>440</v>
      </c>
      <c r="AQ484" s="36">
        <f t="shared" si="200"/>
        <v>135.38461538461539</v>
      </c>
      <c r="AR484" s="86">
        <v>145.02000000000001</v>
      </c>
      <c r="AS484" s="47">
        <f t="shared" si="201"/>
        <v>9.6353846153846234</v>
      </c>
      <c r="AT484" s="31"/>
      <c r="AU484" s="47">
        <f t="shared" si="202"/>
        <v>9.6353846153846234</v>
      </c>
      <c r="AV484" s="81">
        <v>91.991</v>
      </c>
      <c r="AW484" s="24">
        <f t="shared" si="196"/>
        <v>13340.534820000001</v>
      </c>
      <c r="AX484" s="24">
        <f t="shared" si="210"/>
        <v>74.667862711864402</v>
      </c>
      <c r="AY484" s="24"/>
      <c r="AZ484" s="24"/>
      <c r="BA484" s="24"/>
      <c r="BB484" s="24">
        <f t="shared" si="203"/>
        <v>0</v>
      </c>
      <c r="BC484" s="24">
        <f t="shared" si="204"/>
        <v>5455.2651799999985</v>
      </c>
      <c r="BD484" s="24"/>
      <c r="BE484" s="24"/>
      <c r="BF484" s="24"/>
      <c r="BG484" s="24">
        <f t="shared" si="212"/>
        <v>2242</v>
      </c>
      <c r="BH484" s="24"/>
      <c r="BI484" s="24"/>
      <c r="BJ484" s="24">
        <f t="shared" si="205"/>
        <v>22.42</v>
      </c>
      <c r="BK484" s="24">
        <f t="shared" si="206"/>
        <v>7674.8451799999984</v>
      </c>
      <c r="BL484" s="24" t="s">
        <v>261</v>
      </c>
      <c r="BM484" s="42">
        <f t="shared" si="197"/>
        <v>3</v>
      </c>
      <c r="BN484" s="24" t="s">
        <v>139</v>
      </c>
      <c r="BO484" s="2" t="s">
        <v>129</v>
      </c>
    </row>
    <row r="485" spans="1:67" s="1" customFormat="1" ht="15" customHeight="1" x14ac:dyDescent="0.3">
      <c r="A485" s="20">
        <v>481</v>
      </c>
      <c r="B485" s="21">
        <v>46112</v>
      </c>
      <c r="C485" s="21">
        <v>46119</v>
      </c>
      <c r="D485" s="50" t="s">
        <v>2474</v>
      </c>
      <c r="E485" s="23">
        <v>46120</v>
      </c>
      <c r="F485" s="23" t="s">
        <v>7</v>
      </c>
      <c r="G485" s="24" t="s">
        <v>68</v>
      </c>
      <c r="H485" s="24" t="s">
        <v>69</v>
      </c>
      <c r="I485" s="24" t="s">
        <v>166</v>
      </c>
      <c r="J485" s="25" t="s">
        <v>924</v>
      </c>
      <c r="K485" s="45" t="str">
        <f t="shared" si="198"/>
        <v>WB41H1234</v>
      </c>
      <c r="L485" s="26">
        <v>46116</v>
      </c>
      <c r="M485" s="34" t="s">
        <v>2545</v>
      </c>
      <c r="N485" s="85">
        <v>8100970055</v>
      </c>
      <c r="O485" s="28">
        <v>0</v>
      </c>
      <c r="P485" s="27" t="s">
        <v>2546</v>
      </c>
      <c r="Q485" s="85">
        <v>2525388261</v>
      </c>
      <c r="R485" s="92">
        <v>2110839513</v>
      </c>
      <c r="S485" s="31" t="s">
        <v>73</v>
      </c>
      <c r="T485" s="24" t="s">
        <v>91</v>
      </c>
      <c r="U485" s="24" t="s">
        <v>75</v>
      </c>
      <c r="V485" s="32" t="s">
        <v>179</v>
      </c>
      <c r="W485" s="32" t="s">
        <v>180</v>
      </c>
      <c r="X485" s="32" t="s">
        <v>180</v>
      </c>
      <c r="Y485" s="24">
        <v>1047</v>
      </c>
      <c r="Z485" s="24">
        <v>25</v>
      </c>
      <c r="AA485" s="24">
        <f t="shared" si="199"/>
        <v>994.65000000000009</v>
      </c>
      <c r="AB485" s="61">
        <f t="shared" si="192"/>
        <v>26175</v>
      </c>
      <c r="AC485" s="24">
        <f t="shared" si="193"/>
        <v>24866.25</v>
      </c>
      <c r="AD485" s="24">
        <f t="shared" si="194"/>
        <v>24866.250000000004</v>
      </c>
      <c r="AE485" s="24">
        <f t="shared" si="195"/>
        <v>1308.7499999999964</v>
      </c>
      <c r="AF485" s="24">
        <v>0</v>
      </c>
      <c r="AG485" s="33">
        <v>5400</v>
      </c>
      <c r="AH485" s="24"/>
      <c r="AI485" s="24"/>
      <c r="AJ485" s="24"/>
      <c r="AK485" s="24"/>
      <c r="AL485" s="24"/>
      <c r="AM485" s="24" t="s">
        <v>79</v>
      </c>
      <c r="AN485" s="34" t="s">
        <v>2547</v>
      </c>
      <c r="AO485" s="35" t="s">
        <v>1673</v>
      </c>
      <c r="AP485" s="24">
        <f>250*2</f>
        <v>500</v>
      </c>
      <c r="AQ485" s="36">
        <f t="shared" si="200"/>
        <v>153.84615384615384</v>
      </c>
      <c r="AR485" s="80">
        <v>165</v>
      </c>
      <c r="AS485" s="47">
        <f t="shared" si="201"/>
        <v>11.15384615384616</v>
      </c>
      <c r="AT485" s="31"/>
      <c r="AU485" s="47">
        <f t="shared" si="202"/>
        <v>11.15384615384616</v>
      </c>
      <c r="AV485" s="83">
        <v>91.88</v>
      </c>
      <c r="AW485" s="24">
        <f t="shared" si="196"/>
        <v>15160.199999999999</v>
      </c>
      <c r="AX485" s="24">
        <f t="shared" si="210"/>
        <v>82.68315487860049</v>
      </c>
      <c r="AY485" s="24"/>
      <c r="AZ485" s="24"/>
      <c r="BA485" s="24"/>
      <c r="BB485" s="24">
        <f t="shared" si="203"/>
        <v>0</v>
      </c>
      <c r="BC485" s="24">
        <f t="shared" si="204"/>
        <v>4306.0500000000047</v>
      </c>
      <c r="BD485" s="24"/>
      <c r="BE485" s="24"/>
      <c r="BF485" s="24"/>
      <c r="BG485" s="24">
        <f t="shared" si="212"/>
        <v>2486.625</v>
      </c>
      <c r="BH485" s="24"/>
      <c r="BI485" s="24"/>
      <c r="BJ485" s="24">
        <f t="shared" si="205"/>
        <v>24.866250000000001</v>
      </c>
      <c r="BK485" s="24">
        <f t="shared" si="206"/>
        <v>6767.8087500000047</v>
      </c>
      <c r="BL485" s="24" t="s">
        <v>687</v>
      </c>
      <c r="BM485" s="42">
        <f t="shared" si="197"/>
        <v>5</v>
      </c>
      <c r="BN485" s="24" t="s">
        <v>1542</v>
      </c>
      <c r="BO485" s="2" t="s">
        <v>175</v>
      </c>
    </row>
    <row r="486" spans="1:67" s="1" customFormat="1" ht="15" customHeight="1" x14ac:dyDescent="0.3">
      <c r="A486" s="20">
        <v>482</v>
      </c>
      <c r="B486" s="21">
        <v>46112</v>
      </c>
      <c r="C486" s="21">
        <v>46119</v>
      </c>
      <c r="D486" s="50" t="s">
        <v>1734</v>
      </c>
      <c r="E486" s="23">
        <v>46151</v>
      </c>
      <c r="F486" s="23" t="s">
        <v>7</v>
      </c>
      <c r="G486" s="24" t="s">
        <v>68</v>
      </c>
      <c r="H486" s="24" t="s">
        <v>69</v>
      </c>
      <c r="I486" s="24" t="s">
        <v>70</v>
      </c>
      <c r="J486" s="25" t="s">
        <v>150</v>
      </c>
      <c r="K486" s="45" t="str">
        <f t="shared" si="198"/>
        <v>WB39B9201</v>
      </c>
      <c r="L486" s="26">
        <v>46115</v>
      </c>
      <c r="M486" s="34" t="s">
        <v>2548</v>
      </c>
      <c r="N486" s="85">
        <v>8100970092</v>
      </c>
      <c r="O486" s="28">
        <v>0</v>
      </c>
      <c r="P486" s="27" t="s">
        <v>2549</v>
      </c>
      <c r="Q486" s="85">
        <v>2525388374</v>
      </c>
      <c r="R486" s="92">
        <v>2110839550</v>
      </c>
      <c r="S486" s="31" t="s">
        <v>73</v>
      </c>
      <c r="T486" s="24" t="s">
        <v>91</v>
      </c>
      <c r="U486" s="24" t="s">
        <v>75</v>
      </c>
      <c r="V486" s="32" t="s">
        <v>1738</v>
      </c>
      <c r="W486" s="32" t="s">
        <v>1739</v>
      </c>
      <c r="X486" s="32" t="s">
        <v>2550</v>
      </c>
      <c r="Y486" s="24">
        <v>1311</v>
      </c>
      <c r="Z486" s="24">
        <v>25</v>
      </c>
      <c r="AA486" s="24">
        <f t="shared" si="199"/>
        <v>1245.45</v>
      </c>
      <c r="AB486" s="24">
        <f t="shared" si="192"/>
        <v>32775</v>
      </c>
      <c r="AC486" s="24">
        <f t="shared" si="193"/>
        <v>31136.25</v>
      </c>
      <c r="AD486" s="24">
        <f t="shared" si="194"/>
        <v>31136.25</v>
      </c>
      <c r="AE486" s="24">
        <f t="shared" si="195"/>
        <v>1638.75</v>
      </c>
      <c r="AF486" s="24">
        <v>0</v>
      </c>
      <c r="AG486" s="33">
        <v>4000</v>
      </c>
      <c r="AH486" s="24"/>
      <c r="AI486" s="24"/>
      <c r="AJ486" s="24"/>
      <c r="AK486" s="24"/>
      <c r="AL486" s="24"/>
      <c r="AM486" s="24" t="s">
        <v>79</v>
      </c>
      <c r="AN486" s="34" t="s">
        <v>2551</v>
      </c>
      <c r="AO486" s="35" t="s">
        <v>2482</v>
      </c>
      <c r="AP486" s="24">
        <f>332*2</f>
        <v>664</v>
      </c>
      <c r="AQ486" s="36">
        <f t="shared" si="200"/>
        <v>204.30769230769232</v>
      </c>
      <c r="AR486" s="93">
        <v>287.89</v>
      </c>
      <c r="AS486" s="88">
        <f t="shared" si="201"/>
        <v>83.582307692307666</v>
      </c>
      <c r="AT486" s="89"/>
      <c r="AU486" s="88">
        <f t="shared" si="202"/>
        <v>83.582307692307666</v>
      </c>
      <c r="AV486" s="90">
        <v>91.99</v>
      </c>
      <c r="AW486" s="91">
        <f t="shared" si="196"/>
        <v>26483.001099999998</v>
      </c>
      <c r="AX486" s="24">
        <f t="shared" si="210"/>
        <v>97.901966678710494</v>
      </c>
      <c r="AY486" s="24"/>
      <c r="AZ486" s="24"/>
      <c r="BA486" s="24"/>
      <c r="BB486" s="24">
        <f t="shared" si="203"/>
        <v>0</v>
      </c>
      <c r="BC486" s="24">
        <f t="shared" si="204"/>
        <v>653.24890000000232</v>
      </c>
      <c r="BD486" s="24">
        <v>135</v>
      </c>
      <c r="BE486" s="24">
        <v>135</v>
      </c>
      <c r="BF486" s="24"/>
      <c r="BG486" s="24">
        <f t="shared" si="212"/>
        <v>3113.625</v>
      </c>
      <c r="BH486" s="24"/>
      <c r="BI486" s="24"/>
      <c r="BJ486" s="24">
        <f t="shared" si="205"/>
        <v>31.13625</v>
      </c>
      <c r="BK486" s="24">
        <f t="shared" si="206"/>
        <v>4005.7376500000023</v>
      </c>
      <c r="BL486" s="24" t="s">
        <v>155</v>
      </c>
      <c r="BM486" s="42">
        <f t="shared" si="197"/>
        <v>4</v>
      </c>
      <c r="BN486" s="24" t="s">
        <v>174</v>
      </c>
      <c r="BO486" s="2" t="s">
        <v>129</v>
      </c>
    </row>
    <row r="487" spans="1:67" s="1" customFormat="1" ht="15" customHeight="1" x14ac:dyDescent="0.3">
      <c r="A487" s="20">
        <v>483</v>
      </c>
      <c r="B487" s="21">
        <v>46112</v>
      </c>
      <c r="C487" s="21">
        <v>46119</v>
      </c>
      <c r="D487" s="50" t="s">
        <v>2058</v>
      </c>
      <c r="E487" s="23">
        <v>46123</v>
      </c>
      <c r="F487" s="23" t="s">
        <v>7</v>
      </c>
      <c r="G487" s="24" t="s">
        <v>68</v>
      </c>
      <c r="H487" s="24" t="s">
        <v>69</v>
      </c>
      <c r="I487" s="24" t="s">
        <v>513</v>
      </c>
      <c r="J487" s="25" t="s">
        <v>514</v>
      </c>
      <c r="K487" s="45" t="str">
        <f t="shared" si="198"/>
        <v>WB67B3669</v>
      </c>
      <c r="L487" s="26">
        <v>46114</v>
      </c>
      <c r="M487" s="34" t="s">
        <v>2552</v>
      </c>
      <c r="N487" s="85">
        <v>8100970198</v>
      </c>
      <c r="O487" s="28">
        <v>0</v>
      </c>
      <c r="P487" s="27" t="s">
        <v>2553</v>
      </c>
      <c r="Q487" s="85">
        <v>2525388695</v>
      </c>
      <c r="R487" s="92">
        <v>2110839624</v>
      </c>
      <c r="S487" s="31" t="s">
        <v>73</v>
      </c>
      <c r="T487" s="24" t="s">
        <v>241</v>
      </c>
      <c r="U487" s="24" t="s">
        <v>75</v>
      </c>
      <c r="V487" s="32" t="s">
        <v>504</v>
      </c>
      <c r="W487" s="32" t="s">
        <v>505</v>
      </c>
      <c r="X487" s="32" t="s">
        <v>2554</v>
      </c>
      <c r="Y487" s="24">
        <v>1385</v>
      </c>
      <c r="Z487" s="24">
        <v>30</v>
      </c>
      <c r="AA487" s="24">
        <f t="shared" si="199"/>
        <v>1315.75</v>
      </c>
      <c r="AB487" s="24">
        <f t="shared" si="192"/>
        <v>41550</v>
      </c>
      <c r="AC487" s="24">
        <f t="shared" si="193"/>
        <v>39472.5</v>
      </c>
      <c r="AD487" s="24">
        <f t="shared" si="194"/>
        <v>39472.5</v>
      </c>
      <c r="AE487" s="24">
        <f t="shared" si="195"/>
        <v>2077.5</v>
      </c>
      <c r="AF487" s="24">
        <v>0</v>
      </c>
      <c r="AG487" s="33">
        <v>4500</v>
      </c>
      <c r="AH487" s="24"/>
      <c r="AI487" s="24"/>
      <c r="AJ487" s="24"/>
      <c r="AK487" s="24"/>
      <c r="AL487" s="24"/>
      <c r="AM487" s="24" t="s">
        <v>79</v>
      </c>
      <c r="AN487" s="34" t="s">
        <v>2555</v>
      </c>
      <c r="AO487" s="35" t="s">
        <v>2482</v>
      </c>
      <c r="AP487" s="24">
        <f>337*2</f>
        <v>674</v>
      </c>
      <c r="AQ487" s="36">
        <f t="shared" si="200"/>
        <v>207.38461538461539</v>
      </c>
      <c r="AR487" s="87">
        <v>207.01</v>
      </c>
      <c r="AS487" s="88">
        <f t="shared" si="201"/>
        <v>-0.3746153846153959</v>
      </c>
      <c r="AT487" s="89"/>
      <c r="AU487" s="88">
        <f t="shared" si="202"/>
        <v>-0.3746153846153959</v>
      </c>
      <c r="AV487" s="90">
        <v>91.99</v>
      </c>
      <c r="AW487" s="91">
        <f t="shared" si="196"/>
        <v>19042.849899999997</v>
      </c>
      <c r="AX487" s="24">
        <f t="shared" si="210"/>
        <v>59.643675723605035</v>
      </c>
      <c r="AY487" s="24"/>
      <c r="AZ487" s="24"/>
      <c r="BA487" s="24"/>
      <c r="BB487" s="24">
        <f t="shared" si="203"/>
        <v>0</v>
      </c>
      <c r="BC487" s="24">
        <f t="shared" si="204"/>
        <v>15929.650100000003</v>
      </c>
      <c r="BD487" s="24"/>
      <c r="BE487" s="24"/>
      <c r="BF487" s="24"/>
      <c r="BG487" s="24">
        <f t="shared" si="212"/>
        <v>3947.25</v>
      </c>
      <c r="BH487" s="24"/>
      <c r="BI487" s="24"/>
      <c r="BJ487" s="24">
        <f t="shared" si="205"/>
        <v>39.472500000000004</v>
      </c>
      <c r="BK487" s="24">
        <f t="shared" si="206"/>
        <v>19837.427600000003</v>
      </c>
      <c r="BL487" s="24" t="s">
        <v>173</v>
      </c>
      <c r="BM487" s="42">
        <f t="shared" si="197"/>
        <v>3</v>
      </c>
      <c r="BN487" s="24" t="s">
        <v>139</v>
      </c>
      <c r="BO487" s="2" t="s">
        <v>424</v>
      </c>
    </row>
    <row r="488" spans="1:67" s="1" customFormat="1" ht="15" customHeight="1" x14ac:dyDescent="0.3">
      <c r="A488" s="20">
        <v>484</v>
      </c>
      <c r="B488" s="21">
        <v>46112</v>
      </c>
      <c r="C488" s="21">
        <v>46119</v>
      </c>
      <c r="D488" s="50" t="s">
        <v>2474</v>
      </c>
      <c r="E488" s="23">
        <v>46120</v>
      </c>
      <c r="F488" s="23" t="s">
        <v>7</v>
      </c>
      <c r="G488" s="24" t="s">
        <v>68</v>
      </c>
      <c r="H488" s="24" t="s">
        <v>69</v>
      </c>
      <c r="I488" s="24" t="s">
        <v>166</v>
      </c>
      <c r="J488" s="25" t="s">
        <v>360</v>
      </c>
      <c r="K488" s="45" t="str">
        <f t="shared" si="198"/>
        <v>WB41H6585</v>
      </c>
      <c r="L488" s="26">
        <v>46116</v>
      </c>
      <c r="M488" s="34" t="s">
        <v>2556</v>
      </c>
      <c r="N488" s="85">
        <v>8100970142</v>
      </c>
      <c r="O488" s="28">
        <v>0</v>
      </c>
      <c r="P488" s="27" t="s">
        <v>2557</v>
      </c>
      <c r="Q488" s="85">
        <v>2525388531</v>
      </c>
      <c r="R488" s="92">
        <v>2110839574</v>
      </c>
      <c r="S488" s="31" t="s">
        <v>73</v>
      </c>
      <c r="T488" s="24" t="s">
        <v>91</v>
      </c>
      <c r="U488" s="24" t="s">
        <v>75</v>
      </c>
      <c r="V488" s="32" t="s">
        <v>472</v>
      </c>
      <c r="W488" s="32" t="s">
        <v>473</v>
      </c>
      <c r="X488" s="32" t="s">
        <v>473</v>
      </c>
      <c r="Y488" s="24">
        <v>1151</v>
      </c>
      <c r="Z488" s="24">
        <v>25</v>
      </c>
      <c r="AA488" s="24">
        <f t="shared" si="199"/>
        <v>1093.45</v>
      </c>
      <c r="AB488" s="61">
        <f t="shared" si="192"/>
        <v>28775</v>
      </c>
      <c r="AC488" s="24">
        <f t="shared" si="193"/>
        <v>27336.25</v>
      </c>
      <c r="AD488" s="24">
        <f t="shared" si="194"/>
        <v>27336.25</v>
      </c>
      <c r="AE488" s="24">
        <f t="shared" si="195"/>
        <v>1438.75</v>
      </c>
      <c r="AF488" s="24">
        <v>0</v>
      </c>
      <c r="AG488" s="33">
        <v>4500</v>
      </c>
      <c r="AH488" s="24"/>
      <c r="AI488" s="24"/>
      <c r="AJ488" s="24"/>
      <c r="AK488" s="24"/>
      <c r="AL488" s="24"/>
      <c r="AM488" s="24" t="s">
        <v>79</v>
      </c>
      <c r="AN488" s="34" t="s">
        <v>2558</v>
      </c>
      <c r="AO488" s="35" t="s">
        <v>1673</v>
      </c>
      <c r="AP488" s="24">
        <f>297*2</f>
        <v>594</v>
      </c>
      <c r="AQ488" s="36">
        <f t="shared" si="200"/>
        <v>182.76923076923077</v>
      </c>
      <c r="AR488" s="80">
        <v>160</v>
      </c>
      <c r="AS488" s="47">
        <f t="shared" si="201"/>
        <v>-22.769230769230774</v>
      </c>
      <c r="AT488" s="31"/>
      <c r="AU488" s="47">
        <f t="shared" si="202"/>
        <v>-22.769230769230774</v>
      </c>
      <c r="AV488" s="81">
        <v>91.991</v>
      </c>
      <c r="AW488" s="24">
        <f t="shared" si="196"/>
        <v>14718.56</v>
      </c>
      <c r="AX488" s="24">
        <f t="shared" si="210"/>
        <v>70.304302894508197</v>
      </c>
      <c r="AY488" s="24"/>
      <c r="AZ488" s="24"/>
      <c r="BA488" s="24"/>
      <c r="BB488" s="24">
        <f t="shared" si="203"/>
        <v>0</v>
      </c>
      <c r="BC488" s="24">
        <f t="shared" si="204"/>
        <v>8117.6900000000005</v>
      </c>
      <c r="BD488" s="24">
        <v>135</v>
      </c>
      <c r="BE488" s="24">
        <v>135</v>
      </c>
      <c r="BF488" s="24"/>
      <c r="BG488" s="24">
        <f t="shared" si="212"/>
        <v>2733.625</v>
      </c>
      <c r="BH488" s="24"/>
      <c r="BI488" s="24"/>
      <c r="BJ488" s="24">
        <f t="shared" si="205"/>
        <v>27.33625</v>
      </c>
      <c r="BK488" s="24">
        <f t="shared" si="206"/>
        <v>11093.97875</v>
      </c>
      <c r="BL488" s="24" t="s">
        <v>365</v>
      </c>
      <c r="BM488" s="42">
        <f t="shared" si="197"/>
        <v>5</v>
      </c>
      <c r="BN488" s="24" t="s">
        <v>1542</v>
      </c>
      <c r="BO488" s="2" t="s">
        <v>84</v>
      </c>
    </row>
    <row r="489" spans="1:67" s="1" customFormat="1" ht="15" customHeight="1" x14ac:dyDescent="0.3">
      <c r="A489" s="20">
        <v>485</v>
      </c>
      <c r="B489" s="21">
        <v>46112</v>
      </c>
      <c r="C489" s="21">
        <v>46119</v>
      </c>
      <c r="D489" s="50" t="s">
        <v>2474</v>
      </c>
      <c r="E489" s="23">
        <v>46120</v>
      </c>
      <c r="F489" s="23" t="s">
        <v>7</v>
      </c>
      <c r="G489" s="24" t="s">
        <v>68</v>
      </c>
      <c r="H489" s="24" t="s">
        <v>69</v>
      </c>
      <c r="I489" s="24" t="s">
        <v>70</v>
      </c>
      <c r="J489" s="25" t="s">
        <v>612</v>
      </c>
      <c r="K489" s="45" t="str">
        <f t="shared" si="198"/>
        <v>WB39B2382</v>
      </c>
      <c r="L489" s="26">
        <v>46115</v>
      </c>
      <c r="M489" s="34" t="s">
        <v>2559</v>
      </c>
      <c r="N489" s="85">
        <v>8100970218</v>
      </c>
      <c r="O489" s="28">
        <v>0</v>
      </c>
      <c r="P489" s="27" t="s">
        <v>2560</v>
      </c>
      <c r="Q489" s="85">
        <v>2525388755</v>
      </c>
      <c r="R489" s="92">
        <v>2110839654</v>
      </c>
      <c r="S489" s="31" t="s">
        <v>73</v>
      </c>
      <c r="T489" s="24" t="s">
        <v>91</v>
      </c>
      <c r="U489" s="24" t="s">
        <v>75</v>
      </c>
      <c r="V489" s="32" t="s">
        <v>491</v>
      </c>
      <c r="W489" s="32" t="s">
        <v>909</v>
      </c>
      <c r="X489" s="32" t="s">
        <v>909</v>
      </c>
      <c r="Y489" s="24">
        <v>1047</v>
      </c>
      <c r="Z489" s="24">
        <v>15</v>
      </c>
      <c r="AA489" s="24">
        <f t="shared" si="199"/>
        <v>994.65000000000009</v>
      </c>
      <c r="AB489" s="61">
        <f t="shared" si="192"/>
        <v>15705</v>
      </c>
      <c r="AC489" s="24">
        <f t="shared" si="193"/>
        <v>14919.750000000002</v>
      </c>
      <c r="AD489" s="24">
        <f t="shared" si="194"/>
        <v>14919.750000000002</v>
      </c>
      <c r="AE489" s="24">
        <f t="shared" si="195"/>
        <v>785.24999999999818</v>
      </c>
      <c r="AF489" s="24">
        <f t="shared" si="211"/>
        <v>149.19750000000002</v>
      </c>
      <c r="AG489" s="33">
        <v>7200</v>
      </c>
      <c r="AH489" s="24"/>
      <c r="AI489" s="24"/>
      <c r="AJ489" s="24"/>
      <c r="AK489" s="24"/>
      <c r="AL489" s="24"/>
      <c r="AM489" s="24" t="s">
        <v>79</v>
      </c>
      <c r="AN489" s="34" t="s">
        <v>2561</v>
      </c>
      <c r="AO489" s="35" t="s">
        <v>1673</v>
      </c>
      <c r="AP489" s="24">
        <f>249*2</f>
        <v>498</v>
      </c>
      <c r="AQ489" s="36">
        <f t="shared" si="200"/>
        <v>153.23076923076923</v>
      </c>
      <c r="AR489" s="80">
        <v>168</v>
      </c>
      <c r="AS489" s="47">
        <f t="shared" si="201"/>
        <v>14.769230769230774</v>
      </c>
      <c r="AT489" s="31"/>
      <c r="AU489" s="47">
        <f t="shared" si="202"/>
        <v>14.769230769230774</v>
      </c>
      <c r="AV489" s="81">
        <v>91.99</v>
      </c>
      <c r="AW489" s="24">
        <f t="shared" si="196"/>
        <v>15454.32</v>
      </c>
      <c r="AX489" s="24">
        <f t="shared" si="210"/>
        <v>151.84115015332026</v>
      </c>
      <c r="AY489" s="24"/>
      <c r="AZ489" s="24"/>
      <c r="BA489" s="24"/>
      <c r="BB489" s="24">
        <f t="shared" si="203"/>
        <v>0</v>
      </c>
      <c r="BC489" s="24">
        <f t="shared" si="204"/>
        <v>-7883.7674999999981</v>
      </c>
      <c r="BD489" s="24"/>
      <c r="BE489" s="24"/>
      <c r="BF489" s="24"/>
      <c r="BG489" s="24">
        <f t="shared" ref="BG489:BG490" si="213">+AD489*9.5%</f>
        <v>1417.3762500000003</v>
      </c>
      <c r="BH489" s="24"/>
      <c r="BI489" s="24"/>
      <c r="BJ489" s="24">
        <f t="shared" si="205"/>
        <v>14.173762500000002</v>
      </c>
      <c r="BK489" s="24">
        <f t="shared" si="206"/>
        <v>-6480.5650124999975</v>
      </c>
      <c r="BL489" s="24" t="s">
        <v>618</v>
      </c>
      <c r="BM489" s="42">
        <f t="shared" si="197"/>
        <v>4</v>
      </c>
      <c r="BN489" s="24" t="s">
        <v>174</v>
      </c>
      <c r="BO489" s="2" t="s">
        <v>175</v>
      </c>
    </row>
    <row r="490" spans="1:67" s="1" customFormat="1" ht="15" customHeight="1" x14ac:dyDescent="0.3">
      <c r="A490" s="20">
        <v>486</v>
      </c>
      <c r="B490" s="21">
        <v>46112</v>
      </c>
      <c r="C490" s="21">
        <v>46119</v>
      </c>
      <c r="D490" s="50" t="s">
        <v>2474</v>
      </c>
      <c r="E490" s="23">
        <v>46120</v>
      </c>
      <c r="F490" s="23" t="s">
        <v>7</v>
      </c>
      <c r="G490" s="24" t="s">
        <v>68</v>
      </c>
      <c r="H490" s="24" t="s">
        <v>69</v>
      </c>
      <c r="I490" s="24" t="s">
        <v>70</v>
      </c>
      <c r="J490" s="25" t="s">
        <v>612</v>
      </c>
      <c r="K490" s="45" t="str">
        <f t="shared" si="198"/>
        <v>WB39B2382</v>
      </c>
      <c r="L490" s="26">
        <v>46115</v>
      </c>
      <c r="M490" s="34" t="s">
        <v>2562</v>
      </c>
      <c r="N490" s="85">
        <v>8100970221</v>
      </c>
      <c r="O490" s="28">
        <v>0</v>
      </c>
      <c r="P490" s="27" t="s">
        <v>2563</v>
      </c>
      <c r="Q490" s="85">
        <v>2525388751</v>
      </c>
      <c r="R490" s="92">
        <v>2110839653</v>
      </c>
      <c r="S490" s="31" t="s">
        <v>73</v>
      </c>
      <c r="T490" s="24" t="s">
        <v>91</v>
      </c>
      <c r="U490" s="24" t="s">
        <v>75</v>
      </c>
      <c r="V490" s="32" t="s">
        <v>573</v>
      </c>
      <c r="W490" s="32" t="s">
        <v>909</v>
      </c>
      <c r="X490" s="32" t="s">
        <v>909</v>
      </c>
      <c r="Y490" s="24">
        <v>1150</v>
      </c>
      <c r="Z490" s="24">
        <v>10</v>
      </c>
      <c r="AA490" s="24">
        <f t="shared" si="199"/>
        <v>1092.5</v>
      </c>
      <c r="AB490" s="61">
        <f t="shared" si="192"/>
        <v>11500</v>
      </c>
      <c r="AC490" s="24">
        <f t="shared" si="193"/>
        <v>10925</v>
      </c>
      <c r="AD490" s="24">
        <f t="shared" si="194"/>
        <v>10925</v>
      </c>
      <c r="AE490" s="24">
        <f t="shared" si="195"/>
        <v>575</v>
      </c>
      <c r="AF490" s="24">
        <f t="shared" si="211"/>
        <v>109.25</v>
      </c>
      <c r="AG490" s="31">
        <v>0</v>
      </c>
      <c r="AH490" s="24"/>
      <c r="AI490" s="24"/>
      <c r="AJ490" s="24"/>
      <c r="AK490" s="24"/>
      <c r="AL490" s="24"/>
      <c r="AM490" s="24">
        <v>0</v>
      </c>
      <c r="AN490" s="34" t="s">
        <v>213</v>
      </c>
      <c r="AO490" s="35"/>
      <c r="AP490" s="24"/>
      <c r="AQ490" s="36">
        <f t="shared" si="200"/>
        <v>0</v>
      </c>
      <c r="AR490" s="16">
        <v>0</v>
      </c>
      <c r="AS490" s="47">
        <f t="shared" si="201"/>
        <v>0</v>
      </c>
      <c r="AT490" s="31"/>
      <c r="AU490" s="47">
        <f t="shared" si="202"/>
        <v>0</v>
      </c>
      <c r="AV490" s="48">
        <v>0</v>
      </c>
      <c r="AW490" s="24">
        <f t="shared" si="196"/>
        <v>0</v>
      </c>
      <c r="AX490" s="24">
        <f t="shared" si="210"/>
        <v>0</v>
      </c>
      <c r="AY490" s="24"/>
      <c r="AZ490" s="24"/>
      <c r="BA490" s="24"/>
      <c r="BB490" s="24">
        <f t="shared" si="203"/>
        <v>0</v>
      </c>
      <c r="BC490" s="24">
        <f t="shared" si="204"/>
        <v>10815.75</v>
      </c>
      <c r="BD490" s="24"/>
      <c r="BE490" s="24"/>
      <c r="BF490" s="24"/>
      <c r="BG490" s="24">
        <f t="shared" si="213"/>
        <v>1037.875</v>
      </c>
      <c r="BH490" s="24"/>
      <c r="BI490" s="24"/>
      <c r="BJ490" s="24">
        <f t="shared" si="205"/>
        <v>10.37875</v>
      </c>
      <c r="BK490" s="24">
        <f t="shared" si="206"/>
        <v>11843.24625</v>
      </c>
      <c r="BL490" s="24" t="s">
        <v>618</v>
      </c>
      <c r="BM490" s="42">
        <f t="shared" si="197"/>
        <v>4</v>
      </c>
      <c r="BN490" s="24" t="s">
        <v>174</v>
      </c>
      <c r="BO490" s="2" t="s">
        <v>175</v>
      </c>
    </row>
    <row r="491" spans="1:67" s="1" customFormat="1" ht="15" customHeight="1" x14ac:dyDescent="0.3">
      <c r="A491" s="20">
        <v>487</v>
      </c>
      <c r="B491" s="21">
        <v>46112</v>
      </c>
      <c r="C491" s="21">
        <v>46119</v>
      </c>
      <c r="D491" s="50" t="s">
        <v>2474</v>
      </c>
      <c r="E491" s="23">
        <v>46120</v>
      </c>
      <c r="F491" s="23" t="s">
        <v>7</v>
      </c>
      <c r="G491" s="24" t="s">
        <v>68</v>
      </c>
      <c r="H491" s="24" t="s">
        <v>69</v>
      </c>
      <c r="I491" s="24" t="s">
        <v>112</v>
      </c>
      <c r="J491" s="25" t="s">
        <v>487</v>
      </c>
      <c r="K491" s="45" t="str">
        <f t="shared" si="198"/>
        <v>WB39A9434</v>
      </c>
      <c r="L491" s="26">
        <v>46114</v>
      </c>
      <c r="M491" s="34" t="s">
        <v>2564</v>
      </c>
      <c r="N491" s="85">
        <v>8100970269</v>
      </c>
      <c r="O491" s="28">
        <v>0</v>
      </c>
      <c r="P491" s="27" t="s">
        <v>2565</v>
      </c>
      <c r="Q491" s="85">
        <v>2525388887</v>
      </c>
      <c r="R491" s="92">
        <v>2110839701</v>
      </c>
      <c r="S491" s="31" t="s">
        <v>73</v>
      </c>
      <c r="T491" s="24" t="s">
        <v>91</v>
      </c>
      <c r="U491" s="24" t="s">
        <v>75</v>
      </c>
      <c r="V491" s="32" t="s">
        <v>616</v>
      </c>
      <c r="W491" s="32" t="s">
        <v>574</v>
      </c>
      <c r="X491" s="32" t="s">
        <v>574</v>
      </c>
      <c r="Y491" s="24">
        <v>934</v>
      </c>
      <c r="Z491" s="24">
        <v>25</v>
      </c>
      <c r="AA491" s="24">
        <f t="shared" si="199"/>
        <v>887.3</v>
      </c>
      <c r="AB491" s="61">
        <f t="shared" si="192"/>
        <v>23350</v>
      </c>
      <c r="AC491" s="24">
        <f t="shared" si="193"/>
        <v>22182.5</v>
      </c>
      <c r="AD491" s="24">
        <f t="shared" si="194"/>
        <v>22182.5</v>
      </c>
      <c r="AE491" s="24">
        <f t="shared" si="195"/>
        <v>1167.5</v>
      </c>
      <c r="AF491" s="24">
        <f t="shared" si="211"/>
        <v>221.82500000000002</v>
      </c>
      <c r="AG491" s="33">
        <v>5800</v>
      </c>
      <c r="AH491" s="24"/>
      <c r="AI491" s="24"/>
      <c r="AJ491" s="24"/>
      <c r="AK491" s="24"/>
      <c r="AL491" s="24"/>
      <c r="AM491" s="24" t="s">
        <v>79</v>
      </c>
      <c r="AN491" s="34" t="s">
        <v>2566</v>
      </c>
      <c r="AO491" s="35" t="s">
        <v>1673</v>
      </c>
      <c r="AP491" s="24">
        <f>225*2</f>
        <v>450</v>
      </c>
      <c r="AQ491" s="36">
        <f t="shared" si="200"/>
        <v>138.46153846153845</v>
      </c>
      <c r="AR491" s="80">
        <v>160</v>
      </c>
      <c r="AS491" s="47">
        <f t="shared" si="201"/>
        <v>21.538461538461547</v>
      </c>
      <c r="AT491" s="31"/>
      <c r="AU491" s="47">
        <f t="shared" si="202"/>
        <v>21.538461538461547</v>
      </c>
      <c r="AV491" s="81">
        <v>91.991</v>
      </c>
      <c r="AW491" s="24">
        <f t="shared" si="196"/>
        <v>14718.56</v>
      </c>
      <c r="AX491" s="24">
        <f t="shared" si="210"/>
        <v>92.49886171531611</v>
      </c>
      <c r="AY491" s="24"/>
      <c r="AZ491" s="24"/>
      <c r="BA491" s="24"/>
      <c r="BB491" s="24">
        <f t="shared" si="203"/>
        <v>0</v>
      </c>
      <c r="BC491" s="24">
        <f t="shared" si="204"/>
        <v>1442.1149999999998</v>
      </c>
      <c r="BD491" s="24">
        <v>135</v>
      </c>
      <c r="BE491" s="24">
        <v>135</v>
      </c>
      <c r="BF491" s="24"/>
      <c r="BG491" s="24">
        <f>+AB491*9.5%</f>
        <v>2218.25</v>
      </c>
      <c r="BH491" s="24"/>
      <c r="BI491" s="24"/>
      <c r="BJ491" s="24">
        <f t="shared" si="205"/>
        <v>22.182500000000001</v>
      </c>
      <c r="BK491" s="24">
        <f t="shared" si="206"/>
        <v>3908.1824999999999</v>
      </c>
      <c r="BL491" s="24" t="s">
        <v>494</v>
      </c>
      <c r="BM491" s="42">
        <f t="shared" si="197"/>
        <v>3</v>
      </c>
      <c r="BN491" s="24" t="s">
        <v>139</v>
      </c>
      <c r="BO491" s="2" t="s">
        <v>175</v>
      </c>
    </row>
    <row r="492" spans="1:67" s="1" customFormat="1" ht="15" customHeight="1" x14ac:dyDescent="0.3">
      <c r="A492" s="20">
        <v>488</v>
      </c>
      <c r="B492" s="21">
        <v>46112</v>
      </c>
      <c r="C492" s="21">
        <v>46119</v>
      </c>
      <c r="D492" s="50" t="s">
        <v>1926</v>
      </c>
      <c r="E492" s="23">
        <v>46120</v>
      </c>
      <c r="F492" s="23" t="s">
        <v>7</v>
      </c>
      <c r="G492" s="24" t="s">
        <v>68</v>
      </c>
      <c r="H492" s="24" t="s">
        <v>69</v>
      </c>
      <c r="I492" s="24" t="s">
        <v>141</v>
      </c>
      <c r="J492" s="25" t="s">
        <v>142</v>
      </c>
      <c r="K492" s="45" t="str">
        <f t="shared" si="198"/>
        <v>WB41F2315</v>
      </c>
      <c r="L492" s="26">
        <v>46115</v>
      </c>
      <c r="M492" s="34" t="s">
        <v>2567</v>
      </c>
      <c r="N492" s="85">
        <v>8100970297</v>
      </c>
      <c r="O492" s="28">
        <v>0</v>
      </c>
      <c r="P492" s="27" t="s">
        <v>2568</v>
      </c>
      <c r="Q492" s="85">
        <v>2525388949</v>
      </c>
      <c r="R492" s="92">
        <v>2110839734</v>
      </c>
      <c r="S492" s="31" t="s">
        <v>73</v>
      </c>
      <c r="T492" s="24" t="s">
        <v>91</v>
      </c>
      <c r="U492" s="24" t="s">
        <v>75</v>
      </c>
      <c r="V492" s="32" t="s">
        <v>1522</v>
      </c>
      <c r="W492" s="32" t="s">
        <v>528</v>
      </c>
      <c r="X492" s="32" t="s">
        <v>2569</v>
      </c>
      <c r="Y492" s="24">
        <v>1023</v>
      </c>
      <c r="Z492" s="24">
        <v>25</v>
      </c>
      <c r="AA492" s="24">
        <f t="shared" si="199"/>
        <v>971.85</v>
      </c>
      <c r="AB492" s="24">
        <f t="shared" si="192"/>
        <v>25575</v>
      </c>
      <c r="AC492" s="24">
        <f t="shared" si="193"/>
        <v>24296.25</v>
      </c>
      <c r="AD492" s="24">
        <f t="shared" si="194"/>
        <v>24296.25</v>
      </c>
      <c r="AE492" s="24">
        <f t="shared" si="195"/>
        <v>1278.75</v>
      </c>
      <c r="AF492" s="24">
        <v>0</v>
      </c>
      <c r="AG492" s="33">
        <v>7100</v>
      </c>
      <c r="AH492" s="24"/>
      <c r="AI492" s="24"/>
      <c r="AJ492" s="24"/>
      <c r="AK492" s="24"/>
      <c r="AL492" s="24"/>
      <c r="AM492" s="24" t="s">
        <v>79</v>
      </c>
      <c r="AN492" s="34" t="s">
        <v>2570</v>
      </c>
      <c r="AO492" s="35" t="s">
        <v>2482</v>
      </c>
      <c r="AP492" s="24">
        <f>245*2</f>
        <v>490</v>
      </c>
      <c r="AQ492" s="36">
        <f t="shared" si="200"/>
        <v>150.76923076923077</v>
      </c>
      <c r="AR492" s="87">
        <v>150</v>
      </c>
      <c r="AS492" s="88">
        <f t="shared" si="201"/>
        <v>-0.7692307692307736</v>
      </c>
      <c r="AT492" s="89"/>
      <c r="AU492" s="88">
        <f t="shared" si="202"/>
        <v>-0.7692307692307736</v>
      </c>
      <c r="AV492" s="90">
        <v>91.99</v>
      </c>
      <c r="AW492" s="91">
        <f t="shared" si="196"/>
        <v>13798.5</v>
      </c>
      <c r="AX492" s="24">
        <f t="shared" si="210"/>
        <v>86.015331584092195</v>
      </c>
      <c r="AY492" s="24"/>
      <c r="AZ492" s="24"/>
      <c r="BA492" s="24"/>
      <c r="BB492" s="24">
        <f t="shared" si="203"/>
        <v>0</v>
      </c>
      <c r="BC492" s="24">
        <f t="shared" si="204"/>
        <v>3397.75</v>
      </c>
      <c r="BD492" s="24"/>
      <c r="BE492" s="24"/>
      <c r="BF492" s="24"/>
      <c r="BG492" s="24">
        <f t="shared" ref="BG492:BG498" si="214">+AB492*9.5%</f>
        <v>2429.625</v>
      </c>
      <c r="BH492" s="24"/>
      <c r="BI492" s="24"/>
      <c r="BJ492" s="24">
        <f t="shared" si="205"/>
        <v>24.296250000000001</v>
      </c>
      <c r="BK492" s="24">
        <f t="shared" si="206"/>
        <v>5803.0787499999997</v>
      </c>
      <c r="BL492" s="24" t="s">
        <v>147</v>
      </c>
      <c r="BM492" s="42">
        <f t="shared" si="197"/>
        <v>4</v>
      </c>
      <c r="BN492" s="24" t="s">
        <v>174</v>
      </c>
      <c r="BO492" s="2" t="s">
        <v>84</v>
      </c>
    </row>
    <row r="493" spans="1:67" s="1" customFormat="1" ht="15" customHeight="1" x14ac:dyDescent="0.3">
      <c r="A493" s="20">
        <v>489</v>
      </c>
      <c r="B493" s="21">
        <v>46112</v>
      </c>
      <c r="C493" s="21">
        <v>46119</v>
      </c>
      <c r="D493" s="50" t="s">
        <v>2286</v>
      </c>
      <c r="E493" s="23">
        <v>46161</v>
      </c>
      <c r="F493" s="23" t="s">
        <v>7</v>
      </c>
      <c r="G493" s="24" t="s">
        <v>68</v>
      </c>
      <c r="H493" s="24" t="s">
        <v>69</v>
      </c>
      <c r="I493" s="24">
        <v>35</v>
      </c>
      <c r="J493" s="25" t="s">
        <v>451</v>
      </c>
      <c r="K493" s="45" t="str">
        <f t="shared" si="198"/>
        <v>WB351813</v>
      </c>
      <c r="L493" s="26">
        <v>46117</v>
      </c>
      <c r="M493" s="34" t="s">
        <v>2571</v>
      </c>
      <c r="N493" s="85">
        <v>8100970304</v>
      </c>
      <c r="O493" s="28">
        <v>0</v>
      </c>
      <c r="P493" s="27" t="s">
        <v>2572</v>
      </c>
      <c r="Q493" s="85">
        <v>2525388960</v>
      </c>
      <c r="R493" s="92">
        <v>2110839738</v>
      </c>
      <c r="S493" s="31" t="s">
        <v>73</v>
      </c>
      <c r="T493" s="24" t="s">
        <v>91</v>
      </c>
      <c r="U493" s="24" t="s">
        <v>75</v>
      </c>
      <c r="V493" s="32" t="s">
        <v>2573</v>
      </c>
      <c r="W493" s="32" t="s">
        <v>2574</v>
      </c>
      <c r="X493" s="32" t="s">
        <v>2575</v>
      </c>
      <c r="Y493" s="24">
        <v>1116</v>
      </c>
      <c r="Z493" s="24">
        <v>25</v>
      </c>
      <c r="AA493" s="24">
        <f t="shared" si="199"/>
        <v>1060.2</v>
      </c>
      <c r="AB493" s="24">
        <f t="shared" si="192"/>
        <v>27900</v>
      </c>
      <c r="AC493" s="24">
        <f t="shared" si="193"/>
        <v>26505</v>
      </c>
      <c r="AD493" s="24">
        <f t="shared" si="194"/>
        <v>26505</v>
      </c>
      <c r="AE493" s="24">
        <f t="shared" si="195"/>
        <v>1395</v>
      </c>
      <c r="AF493" s="24">
        <v>0</v>
      </c>
      <c r="AG493" s="33">
        <v>3700</v>
      </c>
      <c r="AH493" s="24"/>
      <c r="AI493" s="24"/>
      <c r="AJ493" s="24"/>
      <c r="AK493" s="24"/>
      <c r="AL493" s="24"/>
      <c r="AM493" s="24" t="s">
        <v>79</v>
      </c>
      <c r="AN493" s="34" t="s">
        <v>2576</v>
      </c>
      <c r="AO493" s="35" t="s">
        <v>2482</v>
      </c>
      <c r="AP493" s="24">
        <f>226*2</f>
        <v>452</v>
      </c>
      <c r="AQ493" s="36">
        <f t="shared" si="200"/>
        <v>139.07692307692307</v>
      </c>
      <c r="AR493" s="87">
        <v>143</v>
      </c>
      <c r="AS493" s="88">
        <f t="shared" si="201"/>
        <v>3.923076923076934</v>
      </c>
      <c r="AT493" s="89"/>
      <c r="AU493" s="88">
        <f t="shared" si="202"/>
        <v>3.923076923076934</v>
      </c>
      <c r="AV493" s="90">
        <v>91.88</v>
      </c>
      <c r="AW493" s="91">
        <f t="shared" si="196"/>
        <v>13138.84</v>
      </c>
      <c r="AX493" s="24">
        <f t="shared" si="210"/>
        <v>63.530805508394636</v>
      </c>
      <c r="AY493" s="24"/>
      <c r="AZ493" s="24"/>
      <c r="BA493" s="24"/>
      <c r="BB493" s="24">
        <f t="shared" si="203"/>
        <v>0</v>
      </c>
      <c r="BC493" s="24">
        <f t="shared" si="204"/>
        <v>9666.16</v>
      </c>
      <c r="BD493" s="24"/>
      <c r="BE493" s="24"/>
      <c r="BF493" s="24"/>
      <c r="BG493" s="24">
        <f t="shared" si="214"/>
        <v>2650.5</v>
      </c>
      <c r="BH493" s="24"/>
      <c r="BI493" s="24"/>
      <c r="BJ493" s="24">
        <f t="shared" si="205"/>
        <v>26.504999999999999</v>
      </c>
      <c r="BK493" s="24">
        <f t="shared" si="206"/>
        <v>12290.155000000001</v>
      </c>
      <c r="BL493" s="24" t="s">
        <v>155</v>
      </c>
      <c r="BM493" s="42">
        <f t="shared" si="197"/>
        <v>6</v>
      </c>
      <c r="BN493" s="24" t="s">
        <v>183</v>
      </c>
      <c r="BO493" s="2" t="s">
        <v>129</v>
      </c>
    </row>
    <row r="494" spans="1:67" s="1" customFormat="1" ht="15" customHeight="1" x14ac:dyDescent="0.3">
      <c r="A494" s="20">
        <v>490</v>
      </c>
      <c r="B494" s="21">
        <v>46112</v>
      </c>
      <c r="C494" s="21">
        <v>46119</v>
      </c>
      <c r="D494" s="50" t="s">
        <v>2474</v>
      </c>
      <c r="E494" s="23">
        <v>46120</v>
      </c>
      <c r="F494" s="23" t="s">
        <v>7</v>
      </c>
      <c r="G494" s="24" t="s">
        <v>68</v>
      </c>
      <c r="H494" s="24" t="s">
        <v>69</v>
      </c>
      <c r="I494" s="24" t="s">
        <v>389</v>
      </c>
      <c r="J494" s="25" t="s">
        <v>372</v>
      </c>
      <c r="K494" s="45" t="str">
        <f t="shared" si="198"/>
        <v>WB39G7433</v>
      </c>
      <c r="L494" s="26">
        <v>46114</v>
      </c>
      <c r="M494" s="34" t="s">
        <v>2577</v>
      </c>
      <c r="N494" s="85">
        <v>8100970424</v>
      </c>
      <c r="O494" s="28">
        <v>0</v>
      </c>
      <c r="P494" s="27" t="s">
        <v>2578</v>
      </c>
      <c r="Q494" s="85">
        <v>2525389055</v>
      </c>
      <c r="R494" s="92">
        <v>2110839852</v>
      </c>
      <c r="S494" s="31" t="s">
        <v>73</v>
      </c>
      <c r="T494" s="24" t="s">
        <v>91</v>
      </c>
      <c r="U494" s="24" t="s">
        <v>75</v>
      </c>
      <c r="V494" s="32" t="s">
        <v>2579</v>
      </c>
      <c r="W494" s="32" t="s">
        <v>2580</v>
      </c>
      <c r="X494" s="32" t="s">
        <v>2580</v>
      </c>
      <c r="Y494" s="24">
        <v>1019</v>
      </c>
      <c r="Z494" s="24">
        <v>25</v>
      </c>
      <c r="AA494" s="24">
        <f t="shared" si="199"/>
        <v>968.05</v>
      </c>
      <c r="AB494" s="61">
        <f t="shared" si="192"/>
        <v>25475</v>
      </c>
      <c r="AC494" s="24">
        <f t="shared" si="193"/>
        <v>24201.25</v>
      </c>
      <c r="AD494" s="24">
        <f t="shared" si="194"/>
        <v>24201.25</v>
      </c>
      <c r="AE494" s="24">
        <f t="shared" si="195"/>
        <v>1273.75</v>
      </c>
      <c r="AF494" s="24">
        <f>+AD494*1%</f>
        <v>242.01250000000002</v>
      </c>
      <c r="AG494" s="33">
        <v>3900</v>
      </c>
      <c r="AH494" s="24"/>
      <c r="AI494" s="24"/>
      <c r="AJ494" s="24"/>
      <c r="AK494" s="24"/>
      <c r="AL494" s="24"/>
      <c r="AM494" s="24" t="s">
        <v>79</v>
      </c>
      <c r="AN494" s="34" t="s">
        <v>2581</v>
      </c>
      <c r="AO494" s="35" t="s">
        <v>1673</v>
      </c>
      <c r="AP494" s="24">
        <f>230*2</f>
        <v>460</v>
      </c>
      <c r="AQ494" s="36">
        <f t="shared" si="200"/>
        <v>141.53846153846155</v>
      </c>
      <c r="AR494" s="80">
        <v>140</v>
      </c>
      <c r="AS494" s="47">
        <f t="shared" si="201"/>
        <v>-1.5384615384615472</v>
      </c>
      <c r="AT494" s="31"/>
      <c r="AU494" s="47">
        <f t="shared" si="202"/>
        <v>-1.5384615384615472</v>
      </c>
      <c r="AV494" s="81">
        <v>91.99</v>
      </c>
      <c r="AW494" s="24">
        <f t="shared" si="196"/>
        <v>12878.599999999999</v>
      </c>
      <c r="AX494" s="24">
        <f t="shared" si="210"/>
        <v>69.329476783223996</v>
      </c>
      <c r="AY494" s="24"/>
      <c r="AZ494" s="24"/>
      <c r="BA494" s="24"/>
      <c r="BB494" s="24">
        <f t="shared" si="203"/>
        <v>0</v>
      </c>
      <c r="BC494" s="24">
        <f t="shared" si="204"/>
        <v>7180.6375000000007</v>
      </c>
      <c r="BD494" s="24">
        <v>135</v>
      </c>
      <c r="BE494" s="24">
        <v>135</v>
      </c>
      <c r="BF494" s="24"/>
      <c r="BG494" s="24">
        <f t="shared" si="214"/>
        <v>2420.125</v>
      </c>
      <c r="BH494" s="24"/>
      <c r="BI494" s="24"/>
      <c r="BJ494" s="24">
        <f t="shared" si="205"/>
        <v>24.201250000000002</v>
      </c>
      <c r="BK494" s="24">
        <f t="shared" si="206"/>
        <v>9846.5612500000007</v>
      </c>
      <c r="BL494" s="24" t="s">
        <v>379</v>
      </c>
      <c r="BM494" s="42">
        <f t="shared" si="197"/>
        <v>3</v>
      </c>
      <c r="BN494" s="24" t="s">
        <v>139</v>
      </c>
      <c r="BO494" s="2" t="s">
        <v>84</v>
      </c>
    </row>
    <row r="495" spans="1:67" s="1" customFormat="1" ht="15" customHeight="1" x14ac:dyDescent="0.3">
      <c r="A495" s="20"/>
      <c r="B495" s="21"/>
      <c r="C495" s="21"/>
      <c r="D495" s="50"/>
      <c r="E495" s="23"/>
      <c r="F495" s="23"/>
      <c r="G495" s="24"/>
      <c r="H495" s="24"/>
      <c r="I495" s="24"/>
      <c r="J495" s="25"/>
      <c r="K495" s="45" t="str">
        <f t="shared" si="198"/>
        <v/>
      </c>
      <c r="L495" s="26"/>
      <c r="M495" s="34"/>
      <c r="N495" s="27"/>
      <c r="O495" s="28">
        <v>0</v>
      </c>
      <c r="P495" s="27"/>
      <c r="Q495" s="29"/>
      <c r="R495" s="30"/>
      <c r="S495" s="31"/>
      <c r="T495" s="24"/>
      <c r="U495" s="24"/>
      <c r="V495" s="32"/>
      <c r="W495" s="32"/>
      <c r="X495" s="32"/>
      <c r="Y495" s="24"/>
      <c r="Z495" s="24"/>
      <c r="AA495" s="24">
        <f t="shared" si="199"/>
        <v>0</v>
      </c>
      <c r="AB495" s="24">
        <f t="shared" si="192"/>
        <v>0</v>
      </c>
      <c r="AC495" s="24">
        <f t="shared" si="193"/>
        <v>0</v>
      </c>
      <c r="AD495" s="24">
        <f t="shared" si="194"/>
        <v>0</v>
      </c>
      <c r="AE495" s="24">
        <f t="shared" si="195"/>
        <v>0</v>
      </c>
      <c r="AF495" s="24">
        <f t="shared" si="211"/>
        <v>0</v>
      </c>
      <c r="AG495" s="31"/>
      <c r="AH495" s="24"/>
      <c r="AI495" s="24"/>
      <c r="AJ495" s="24"/>
      <c r="AK495" s="24"/>
      <c r="AL495" s="24"/>
      <c r="AM495" s="24"/>
      <c r="AN495" s="34"/>
      <c r="AO495" s="35"/>
      <c r="AP495" s="24"/>
      <c r="AQ495" s="36">
        <f t="shared" si="200"/>
        <v>0</v>
      </c>
      <c r="AR495" s="16"/>
      <c r="AS495" s="47">
        <f t="shared" si="201"/>
        <v>0</v>
      </c>
      <c r="AT495" s="31"/>
      <c r="AU495" s="47">
        <f t="shared" si="202"/>
        <v>0</v>
      </c>
      <c r="AV495" s="48">
        <v>91.99</v>
      </c>
      <c r="AW495" s="24">
        <f t="shared" si="196"/>
        <v>0</v>
      </c>
      <c r="AX495" s="24" t="e">
        <f t="shared" si="210"/>
        <v>#DIV/0!</v>
      </c>
      <c r="AY495" s="24"/>
      <c r="AZ495" s="24"/>
      <c r="BA495" s="24"/>
      <c r="BB495" s="24">
        <f t="shared" si="203"/>
        <v>0</v>
      </c>
      <c r="BC495" s="24">
        <f t="shared" si="204"/>
        <v>0</v>
      </c>
      <c r="BD495" s="24"/>
      <c r="BE495" s="24"/>
      <c r="BF495" s="24"/>
      <c r="BG495" s="24">
        <f t="shared" si="214"/>
        <v>0</v>
      </c>
      <c r="BH495" s="24"/>
      <c r="BI495" s="24"/>
      <c r="BJ495" s="24">
        <f t="shared" si="205"/>
        <v>0</v>
      </c>
      <c r="BK495" s="24">
        <f t="shared" si="206"/>
        <v>0</v>
      </c>
      <c r="BL495" s="24"/>
      <c r="BM495" s="42">
        <f t="shared" si="197"/>
        <v>1</v>
      </c>
      <c r="BN495" s="24"/>
      <c r="BO495" s="2"/>
    </row>
    <row r="496" spans="1:67" s="1" customFormat="1" ht="15" customHeight="1" x14ac:dyDescent="0.3">
      <c r="A496" s="20"/>
      <c r="B496" s="21"/>
      <c r="C496" s="21"/>
      <c r="D496" s="50"/>
      <c r="E496" s="23"/>
      <c r="F496" s="23"/>
      <c r="G496" s="24"/>
      <c r="H496" s="24"/>
      <c r="I496" s="24"/>
      <c r="J496" s="25"/>
      <c r="K496" s="45" t="str">
        <f t="shared" si="198"/>
        <v/>
      </c>
      <c r="L496" s="26"/>
      <c r="M496" s="34"/>
      <c r="N496" s="27"/>
      <c r="O496" s="28">
        <v>0</v>
      </c>
      <c r="P496" s="27"/>
      <c r="Q496" s="29"/>
      <c r="R496" s="30"/>
      <c r="S496" s="31"/>
      <c r="T496" s="24"/>
      <c r="U496" s="24"/>
      <c r="V496" s="32"/>
      <c r="W496" s="32"/>
      <c r="X496" s="32"/>
      <c r="Y496" s="24"/>
      <c r="Z496" s="24"/>
      <c r="AA496" s="24">
        <f t="shared" si="199"/>
        <v>0</v>
      </c>
      <c r="AB496" s="24">
        <f t="shared" si="192"/>
        <v>0</v>
      </c>
      <c r="AC496" s="24">
        <f t="shared" si="193"/>
        <v>0</v>
      </c>
      <c r="AD496" s="24">
        <f t="shared" si="194"/>
        <v>0</v>
      </c>
      <c r="AE496" s="24">
        <f t="shared" si="195"/>
        <v>0</v>
      </c>
      <c r="AF496" s="24">
        <f t="shared" si="211"/>
        <v>0</v>
      </c>
      <c r="AG496" s="31"/>
      <c r="AH496" s="24"/>
      <c r="AI496" s="24"/>
      <c r="AJ496" s="24"/>
      <c r="AK496" s="24"/>
      <c r="AL496" s="24"/>
      <c r="AM496" s="24"/>
      <c r="AN496" s="34"/>
      <c r="AO496" s="35"/>
      <c r="AP496" s="24"/>
      <c r="AQ496" s="36">
        <f t="shared" si="200"/>
        <v>0</v>
      </c>
      <c r="AR496" s="16"/>
      <c r="AS496" s="47">
        <f t="shared" si="201"/>
        <v>0</v>
      </c>
      <c r="AT496" s="31"/>
      <c r="AU496" s="47">
        <f t="shared" si="202"/>
        <v>0</v>
      </c>
      <c r="AV496" s="48">
        <v>91.99</v>
      </c>
      <c r="AW496" s="24">
        <f t="shared" si="196"/>
        <v>0</v>
      </c>
      <c r="AX496" s="24" t="e">
        <f t="shared" si="210"/>
        <v>#DIV/0!</v>
      </c>
      <c r="AY496" s="24"/>
      <c r="AZ496" s="24"/>
      <c r="BA496" s="24"/>
      <c r="BB496" s="24">
        <f t="shared" si="203"/>
        <v>0</v>
      </c>
      <c r="BC496" s="24">
        <f t="shared" si="204"/>
        <v>0</v>
      </c>
      <c r="BD496" s="24"/>
      <c r="BE496" s="24"/>
      <c r="BF496" s="24"/>
      <c r="BG496" s="24">
        <f t="shared" si="214"/>
        <v>0</v>
      </c>
      <c r="BH496" s="24"/>
      <c r="BI496" s="24"/>
      <c r="BJ496" s="24">
        <f t="shared" si="205"/>
        <v>0</v>
      </c>
      <c r="BK496" s="24">
        <f t="shared" si="206"/>
        <v>0</v>
      </c>
      <c r="BL496" s="24"/>
      <c r="BM496" s="42">
        <f t="shared" si="197"/>
        <v>1</v>
      </c>
      <c r="BN496" s="24"/>
      <c r="BO496" s="2"/>
    </row>
    <row r="497" spans="1:67" s="1" customFormat="1" ht="15" customHeight="1" x14ac:dyDescent="0.3">
      <c r="A497" s="20"/>
      <c r="B497" s="21"/>
      <c r="C497" s="21"/>
      <c r="D497" s="50"/>
      <c r="E497" s="23"/>
      <c r="F497" s="23"/>
      <c r="G497" s="24"/>
      <c r="H497" s="24"/>
      <c r="I497" s="24"/>
      <c r="J497" s="25"/>
      <c r="K497" s="45" t="str">
        <f t="shared" si="198"/>
        <v/>
      </c>
      <c r="L497" s="26"/>
      <c r="M497" s="34"/>
      <c r="N497" s="27"/>
      <c r="O497" s="28">
        <v>0</v>
      </c>
      <c r="P497" s="27"/>
      <c r="Q497" s="29"/>
      <c r="R497" s="30"/>
      <c r="S497" s="31"/>
      <c r="T497" s="24"/>
      <c r="U497" s="24"/>
      <c r="V497" s="32"/>
      <c r="W497" s="32"/>
      <c r="X497" s="32"/>
      <c r="Y497" s="24"/>
      <c r="Z497" s="24"/>
      <c r="AA497" s="24">
        <f t="shared" si="199"/>
        <v>0</v>
      </c>
      <c r="AB497" s="24">
        <f t="shared" si="192"/>
        <v>0</v>
      </c>
      <c r="AC497" s="24">
        <f t="shared" si="193"/>
        <v>0</v>
      </c>
      <c r="AD497" s="24">
        <f t="shared" si="194"/>
        <v>0</v>
      </c>
      <c r="AE497" s="24">
        <f t="shared" si="195"/>
        <v>0</v>
      </c>
      <c r="AF497" s="24">
        <f t="shared" si="211"/>
        <v>0</v>
      </c>
      <c r="AG497" s="31"/>
      <c r="AH497" s="24"/>
      <c r="AI497" s="24"/>
      <c r="AJ497" s="24"/>
      <c r="AK497" s="24"/>
      <c r="AL497" s="24"/>
      <c r="AM497" s="24"/>
      <c r="AN497" s="34"/>
      <c r="AO497" s="35"/>
      <c r="AP497" s="24"/>
      <c r="AQ497" s="36">
        <f t="shared" si="200"/>
        <v>0</v>
      </c>
      <c r="AR497" s="16"/>
      <c r="AS497" s="47">
        <f t="shared" si="201"/>
        <v>0</v>
      </c>
      <c r="AT497" s="31"/>
      <c r="AU497" s="47">
        <f t="shared" si="202"/>
        <v>0</v>
      </c>
      <c r="AV497" s="48">
        <v>91.99</v>
      </c>
      <c r="AW497" s="24">
        <f t="shared" si="196"/>
        <v>0</v>
      </c>
      <c r="AX497" s="24" t="e">
        <f t="shared" si="210"/>
        <v>#DIV/0!</v>
      </c>
      <c r="AY497" s="24"/>
      <c r="AZ497" s="24"/>
      <c r="BA497" s="24"/>
      <c r="BB497" s="24">
        <f t="shared" si="203"/>
        <v>0</v>
      </c>
      <c r="BC497" s="24">
        <f t="shared" si="204"/>
        <v>0</v>
      </c>
      <c r="BD497" s="24"/>
      <c r="BE497" s="24"/>
      <c r="BF497" s="24"/>
      <c r="BG497" s="24">
        <f t="shared" si="214"/>
        <v>0</v>
      </c>
      <c r="BH497" s="24"/>
      <c r="BI497" s="24"/>
      <c r="BJ497" s="24">
        <f t="shared" si="205"/>
        <v>0</v>
      </c>
      <c r="BK497" s="24">
        <f t="shared" si="206"/>
        <v>0</v>
      </c>
      <c r="BL497" s="24"/>
      <c r="BM497" s="42">
        <f t="shared" si="197"/>
        <v>1</v>
      </c>
      <c r="BN497" s="24"/>
      <c r="BO497" s="2"/>
    </row>
    <row r="498" spans="1:67" s="1" customFormat="1" ht="15" customHeight="1" x14ac:dyDescent="0.3">
      <c r="A498" s="43"/>
      <c r="B498" s="21"/>
      <c r="C498" s="21"/>
      <c r="D498" s="50"/>
      <c r="E498" s="23"/>
      <c r="F498" s="23"/>
      <c r="G498" s="24"/>
      <c r="H498" s="24" t="s">
        <v>69</v>
      </c>
      <c r="I498" s="24" t="s">
        <v>112</v>
      </c>
      <c r="J498" s="25" t="s">
        <v>157</v>
      </c>
      <c r="K498" s="45" t="str">
        <f t="shared" si="198"/>
        <v>WB39A6898</v>
      </c>
      <c r="L498" s="26"/>
      <c r="M498" s="34"/>
      <c r="N498" s="27"/>
      <c r="O498" s="28">
        <v>0</v>
      </c>
      <c r="P498" s="27"/>
      <c r="Q498" s="29"/>
      <c r="R498" s="30"/>
      <c r="S498" s="31"/>
      <c r="T498" s="24"/>
      <c r="U498" s="24"/>
      <c r="V498" s="32"/>
      <c r="W498" s="32"/>
      <c r="X498" s="32"/>
      <c r="Y498" s="24"/>
      <c r="Z498" s="24"/>
      <c r="AA498" s="24">
        <f t="shared" si="199"/>
        <v>0</v>
      </c>
      <c r="AB498" s="24">
        <f t="shared" si="192"/>
        <v>0</v>
      </c>
      <c r="AC498" s="24">
        <f t="shared" si="193"/>
        <v>0</v>
      </c>
      <c r="AD498" s="24">
        <f t="shared" si="194"/>
        <v>0</v>
      </c>
      <c r="AE498" s="24">
        <f t="shared" si="195"/>
        <v>0</v>
      </c>
      <c r="AF498" s="24">
        <f t="shared" si="80"/>
        <v>0</v>
      </c>
      <c r="AG498" s="31"/>
      <c r="AH498" s="24"/>
      <c r="AI498" s="24"/>
      <c r="AJ498" s="24"/>
      <c r="AK498" s="24"/>
      <c r="AL498" s="24"/>
      <c r="AM498" s="24"/>
      <c r="AN498" s="34"/>
      <c r="AO498" s="35" t="s">
        <v>81</v>
      </c>
      <c r="AP498" s="24"/>
      <c r="AQ498" s="36">
        <f t="shared" si="200"/>
        <v>0</v>
      </c>
      <c r="AR498" s="37">
        <v>10</v>
      </c>
      <c r="AS498" s="38">
        <f t="shared" si="201"/>
        <v>10</v>
      </c>
      <c r="AT498" s="39"/>
      <c r="AU498" s="38">
        <f t="shared" si="202"/>
        <v>10</v>
      </c>
      <c r="AV498" s="40">
        <v>91.99</v>
      </c>
      <c r="AW498" s="41">
        <f t="shared" si="196"/>
        <v>919.9</v>
      </c>
      <c r="AX498" s="24" t="e">
        <f t="shared" si="210"/>
        <v>#DIV/0!</v>
      </c>
      <c r="AY498" s="24"/>
      <c r="AZ498" s="24"/>
      <c r="BA498" s="24"/>
      <c r="BB498" s="24">
        <f t="shared" si="203"/>
        <v>0</v>
      </c>
      <c r="BC498" s="24">
        <f t="shared" si="204"/>
        <v>-919.9</v>
      </c>
      <c r="BD498" s="24"/>
      <c r="BE498" s="24"/>
      <c r="BF498" s="24"/>
      <c r="BG498" s="24">
        <f t="shared" si="214"/>
        <v>0</v>
      </c>
      <c r="BH498" s="24"/>
      <c r="BI498" s="24"/>
      <c r="BJ498" s="24">
        <f t="shared" si="205"/>
        <v>0</v>
      </c>
      <c r="BK498" s="24">
        <f t="shared" si="206"/>
        <v>-919.9</v>
      </c>
      <c r="BL498" s="24"/>
      <c r="BM498" s="42">
        <f t="shared" si="197"/>
        <v>1</v>
      </c>
      <c r="BN498" s="24"/>
      <c r="BO498" s="2"/>
    </row>
    <row r="499" spans="1:67" ht="18.75" customHeight="1" x14ac:dyDescent="0.35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95">
        <f>SUM(Z5:Z498)</f>
        <v>10108</v>
      </c>
      <c r="AA499" s="95">
        <f t="shared" ref="AA499:BK499" si="215">SUM(AA5:AA498)</f>
        <v>411464.21999999974</v>
      </c>
      <c r="AB499" s="95">
        <f t="shared" si="215"/>
        <v>9130258</v>
      </c>
      <c r="AC499" s="95">
        <f t="shared" si="215"/>
        <v>8673745.1000000052</v>
      </c>
      <c r="AD499" s="95">
        <f t="shared" si="215"/>
        <v>8671722.5600000042</v>
      </c>
      <c r="AE499" s="95">
        <f t="shared" si="215"/>
        <v>458535.43999999977</v>
      </c>
      <c r="AF499" s="95">
        <f t="shared" si="215"/>
        <v>36758.901099999988</v>
      </c>
      <c r="AG499" s="95">
        <f>SUM(AG5:AG498)</f>
        <v>1742700</v>
      </c>
      <c r="AH499" s="95">
        <f t="shared" si="215"/>
        <v>15100</v>
      </c>
      <c r="AI499" s="95">
        <f t="shared" si="215"/>
        <v>223103</v>
      </c>
      <c r="AJ499" s="95">
        <f t="shared" si="215"/>
        <v>1200</v>
      </c>
      <c r="AK499" s="95">
        <f t="shared" si="215"/>
        <v>5750</v>
      </c>
      <c r="AL499" s="95">
        <f t="shared" si="215"/>
        <v>3000</v>
      </c>
      <c r="AM499" s="95">
        <f t="shared" si="215"/>
        <v>0</v>
      </c>
      <c r="AN499" s="95">
        <f t="shared" si="215"/>
        <v>0</v>
      </c>
      <c r="AO499" s="95">
        <f t="shared" si="215"/>
        <v>0</v>
      </c>
      <c r="AP499" s="95">
        <f t="shared" si="215"/>
        <v>167338</v>
      </c>
      <c r="AQ499" s="95">
        <f t="shared" si="215"/>
        <v>51452.430769230872</v>
      </c>
      <c r="AR499" s="95">
        <f t="shared" si="215"/>
        <v>52190.020000000004</v>
      </c>
      <c r="AS499" s="95">
        <f t="shared" si="215"/>
        <v>737.58923076923213</v>
      </c>
      <c r="AT499" s="95">
        <f t="shared" si="215"/>
        <v>0</v>
      </c>
      <c r="AU499" s="95">
        <f t="shared" si="215"/>
        <v>737.58923076923213</v>
      </c>
      <c r="AV499" s="95">
        <f t="shared" si="215"/>
        <v>44701.315999999984</v>
      </c>
      <c r="AW499" s="95">
        <f t="shared" si="215"/>
        <v>4800097.1198200015</v>
      </c>
      <c r="AX499" s="95" t="e">
        <f t="shared" si="215"/>
        <v>#DIV/0!</v>
      </c>
      <c r="AY499" s="95">
        <f t="shared" si="215"/>
        <v>8080</v>
      </c>
      <c r="AZ499" s="95">
        <f t="shared" si="215"/>
        <v>2</v>
      </c>
      <c r="BA499" s="95">
        <f t="shared" si="215"/>
        <v>476</v>
      </c>
      <c r="BB499" s="95">
        <f t="shared" si="215"/>
        <v>952</v>
      </c>
      <c r="BC499" s="95">
        <f t="shared" si="215"/>
        <v>1834981.5390800009</v>
      </c>
      <c r="BD499" s="95">
        <f t="shared" si="215"/>
        <v>23180</v>
      </c>
      <c r="BE499" s="95">
        <f t="shared" si="215"/>
        <v>21736</v>
      </c>
      <c r="BF499" s="95">
        <f t="shared" si="215"/>
        <v>10500</v>
      </c>
      <c r="BG499" s="95">
        <f t="shared" si="215"/>
        <v>836729.01099999982</v>
      </c>
      <c r="BH499" s="95">
        <f t="shared" si="215"/>
        <v>81391.397249999951</v>
      </c>
      <c r="BI499" s="95">
        <f t="shared" si="215"/>
        <v>0</v>
      </c>
      <c r="BJ499" s="95">
        <f t="shared" si="215"/>
        <v>9280.5451225000033</v>
      </c>
      <c r="BK499" s="95">
        <f t="shared" si="215"/>
        <v>2799237.4022074984</v>
      </c>
      <c r="BL499" s="42"/>
      <c r="BM499" s="42">
        <f t="shared" si="197"/>
        <v>1</v>
      </c>
      <c r="BN499" s="42"/>
    </row>
    <row r="500" spans="1:67" ht="15" customHeight="1" x14ac:dyDescent="0.3">
      <c r="E500" s="32"/>
      <c r="Y500" s="97" t="s">
        <v>2582</v>
      </c>
    </row>
    <row r="501" spans="1:67" ht="15.6" x14ac:dyDescent="0.3">
      <c r="AB501" s="99"/>
      <c r="AH501" s="100"/>
      <c r="BN501" s="24"/>
    </row>
    <row r="502" spans="1:67" ht="15.6" x14ac:dyDescent="0.3">
      <c r="AH502" s="100"/>
    </row>
    <row r="504" spans="1:67" x14ac:dyDescent="0.3">
      <c r="X504" s="97" t="s">
        <v>2582</v>
      </c>
    </row>
    <row r="505" spans="1:67" s="101" customFormat="1" x14ac:dyDescent="0.3">
      <c r="D505" s="102"/>
      <c r="E505" s="102"/>
      <c r="F505" s="102"/>
      <c r="J505" s="103"/>
      <c r="M505" s="103"/>
      <c r="N505" s="103"/>
      <c r="P505" s="104"/>
      <c r="Q505" s="103"/>
      <c r="R505" s="105"/>
      <c r="W505" s="106"/>
      <c r="X505" s="106"/>
      <c r="AN505" s="103"/>
      <c r="AR505" s="107"/>
      <c r="AS505" s="107"/>
      <c r="BO505" s="108"/>
    </row>
    <row r="506" spans="1:67" s="101" customFormat="1" x14ac:dyDescent="0.3">
      <c r="D506" s="102"/>
      <c r="E506" s="102"/>
      <c r="F506" s="102"/>
      <c r="J506" s="103"/>
      <c r="M506" s="103"/>
      <c r="N506" s="103"/>
      <c r="P506" s="104"/>
      <c r="Q506" s="103"/>
      <c r="R506" s="105"/>
      <c r="W506" s="106"/>
      <c r="X506" s="106"/>
      <c r="Z506" s="101" t="s">
        <v>2583</v>
      </c>
      <c r="AN506" s="103"/>
      <c r="AR506" s="107"/>
      <c r="AS506" s="107"/>
      <c r="BO506" s="108"/>
    </row>
    <row r="507" spans="1:67" s="101" customFormat="1" x14ac:dyDescent="0.3">
      <c r="D507" s="102"/>
      <c r="E507" s="102"/>
      <c r="F507" s="102"/>
      <c r="J507" s="103"/>
      <c r="M507" s="103"/>
      <c r="N507" s="103"/>
      <c r="P507" s="104"/>
      <c r="Q507" s="103"/>
      <c r="R507" s="105"/>
      <c r="W507" s="109"/>
      <c r="X507" s="109"/>
      <c r="Y507" s="109"/>
      <c r="Z507" s="109"/>
      <c r="AA507" s="109"/>
      <c r="AB507" s="106"/>
      <c r="AC507" s="106"/>
      <c r="AD507" s="109"/>
      <c r="AE507" s="109"/>
      <c r="AF507" s="109"/>
      <c r="AN507" s="105"/>
      <c r="AO507" s="110"/>
      <c r="AP507" s="110"/>
      <c r="AQ507" s="110"/>
      <c r="AR507" s="107"/>
      <c r="AS507" s="107"/>
      <c r="BO507" s="108"/>
    </row>
    <row r="508" spans="1:67" s="101" customFormat="1" x14ac:dyDescent="0.3">
      <c r="D508" s="102"/>
      <c r="E508" s="102"/>
      <c r="F508" s="102"/>
      <c r="G508" s="111"/>
      <c r="J508" s="112"/>
      <c r="M508" s="103"/>
      <c r="N508" s="103"/>
      <c r="P508" s="236" t="s">
        <v>2584</v>
      </c>
      <c r="Q508" s="236"/>
      <c r="R508" s="236"/>
      <c r="S508" s="113">
        <f>+Z499</f>
        <v>10108</v>
      </c>
      <c r="X508" s="114"/>
      <c r="Y508" s="115"/>
      <c r="Z508" s="115"/>
      <c r="AA508" s="115"/>
      <c r="AB508" s="115"/>
      <c r="AC508" s="115"/>
      <c r="AE508" s="116"/>
      <c r="AF508" s="105"/>
      <c r="AG508" s="248"/>
      <c r="AH508" s="248"/>
      <c r="AN508" s="103"/>
      <c r="AR508" s="107"/>
      <c r="AS508" s="107"/>
      <c r="BO508" s="108"/>
    </row>
    <row r="509" spans="1:67" s="101" customFormat="1" x14ac:dyDescent="0.3">
      <c r="D509" s="117"/>
      <c r="E509" s="117"/>
      <c r="F509" s="117"/>
      <c r="J509" s="103"/>
      <c r="M509" s="103"/>
      <c r="N509" s="103"/>
      <c r="P509" s="236" t="s">
        <v>2585</v>
      </c>
      <c r="Q509" s="236"/>
      <c r="R509" s="236"/>
      <c r="S509" s="113">
        <f>+AD499</f>
        <v>8671722.5600000042</v>
      </c>
      <c r="X509" s="118"/>
      <c r="Y509" s="115"/>
      <c r="Z509" s="115"/>
      <c r="AA509" s="105"/>
      <c r="AB509" s="115"/>
      <c r="AC509" s="115"/>
      <c r="AE509" s="116"/>
      <c r="AF509" s="105"/>
      <c r="AN509" s="103"/>
      <c r="AR509" s="107"/>
      <c r="AS509" s="107"/>
      <c r="BO509" s="108"/>
    </row>
    <row r="510" spans="1:67" s="101" customFormat="1" x14ac:dyDescent="0.3">
      <c r="D510" s="119"/>
      <c r="E510" s="102"/>
      <c r="F510" s="102"/>
      <c r="G510" s="120"/>
      <c r="J510" s="103"/>
      <c r="M510" s="103"/>
      <c r="N510" s="103"/>
      <c r="P510" s="236" t="s">
        <v>2586</v>
      </c>
      <c r="Q510" s="236"/>
      <c r="R510" s="236"/>
      <c r="S510" s="121">
        <f>+AF499</f>
        <v>36758.901099999988</v>
      </c>
      <c r="W510" s="107"/>
      <c r="X510" s="114"/>
      <c r="Y510" s="122"/>
      <c r="Z510" s="122"/>
      <c r="AA510" s="122"/>
      <c r="AB510" s="115"/>
      <c r="AC510" s="115"/>
      <c r="AD510" s="122"/>
      <c r="AE510" s="122"/>
      <c r="AF510" s="105"/>
      <c r="AN510" s="103"/>
      <c r="AR510" s="107"/>
      <c r="AS510" s="107"/>
      <c r="BO510" s="108"/>
    </row>
    <row r="511" spans="1:67" s="101" customFormat="1" x14ac:dyDescent="0.3">
      <c r="D511" s="119"/>
      <c r="E511" s="102"/>
      <c r="F511" s="102"/>
      <c r="J511" s="103"/>
      <c r="M511" s="103"/>
      <c r="N511" s="103"/>
      <c r="P511" s="236" t="s">
        <v>2587</v>
      </c>
      <c r="Q511" s="236"/>
      <c r="R511" s="236"/>
      <c r="S511" s="113">
        <f>+AG499</f>
        <v>1742700</v>
      </c>
      <c r="AA511" s="103"/>
      <c r="AR511" s="107"/>
      <c r="AS511" s="107"/>
      <c r="BO511" s="108"/>
    </row>
    <row r="512" spans="1:67" s="101" customFormat="1" x14ac:dyDescent="0.3">
      <c r="D512" s="102"/>
      <c r="E512" s="102"/>
      <c r="F512" s="102"/>
      <c r="J512" s="103"/>
      <c r="M512" s="103"/>
      <c r="N512" s="103"/>
      <c r="P512" s="236" t="s">
        <v>2588</v>
      </c>
      <c r="Q512" s="236"/>
      <c r="R512" s="236"/>
      <c r="S512" s="113">
        <f>+AW499</f>
        <v>4800097.1198200015</v>
      </c>
      <c r="AA512" s="103"/>
      <c r="AI512" s="105"/>
      <c r="AR512" s="107"/>
      <c r="AS512" s="107"/>
      <c r="BO512" s="108"/>
    </row>
    <row r="513" spans="4:67" s="101" customFormat="1" ht="43.2" x14ac:dyDescent="0.3">
      <c r="D513" s="102"/>
      <c r="E513" s="102"/>
      <c r="F513" s="102"/>
      <c r="J513" s="103"/>
      <c r="M513" s="103"/>
      <c r="N513" s="103"/>
      <c r="P513" s="233" t="s">
        <v>2589</v>
      </c>
      <c r="Q513" s="234"/>
      <c r="R513" s="235"/>
      <c r="S513" s="121">
        <f>+AY499</f>
        <v>8080</v>
      </c>
      <c r="W513" s="125" t="s">
        <v>2590</v>
      </c>
      <c r="X513" s="126" t="s">
        <v>2591</v>
      </c>
      <c r="Y513" s="127" t="s">
        <v>2592</v>
      </c>
      <c r="Z513" s="128" t="s">
        <v>2593</v>
      </c>
      <c r="AA513" s="129" t="s">
        <v>2594</v>
      </c>
      <c r="AB513" s="129" t="s">
        <v>2595</v>
      </c>
      <c r="AC513" s="128" t="s">
        <v>2596</v>
      </c>
      <c r="AD513" s="128" t="s">
        <v>2597</v>
      </c>
      <c r="AE513" s="128" t="s">
        <v>2598</v>
      </c>
      <c r="BO513" s="108"/>
    </row>
    <row r="514" spans="4:67" s="101" customFormat="1" x14ac:dyDescent="0.3">
      <c r="D514" s="102"/>
      <c r="E514" s="102"/>
      <c r="F514" s="102"/>
      <c r="J514" s="103"/>
      <c r="M514" s="103"/>
      <c r="N514" s="103"/>
      <c r="P514" s="233" t="s">
        <v>2599</v>
      </c>
      <c r="Q514" s="234"/>
      <c r="R514" s="235"/>
      <c r="S514" s="113">
        <f>+AZ499</f>
        <v>2</v>
      </c>
      <c r="W514" s="130" t="s">
        <v>2600</v>
      </c>
      <c r="X514" s="131">
        <v>1340287</v>
      </c>
      <c r="Y514" s="132">
        <v>1332733</v>
      </c>
      <c r="Z514" s="133">
        <f t="shared" ref="Z514:Z523" si="216">+(X514+AA514)-Y514</f>
        <v>11694</v>
      </c>
      <c r="AA514" s="133">
        <f>+'[1]FEB-26'!$AB$539</f>
        <v>4140</v>
      </c>
      <c r="AB514" s="134">
        <v>0</v>
      </c>
      <c r="AC514" s="134">
        <v>1332733</v>
      </c>
      <c r="AD514" s="133">
        <f t="shared" ref="AD514:AD523" si="217">+(X514+AA514)-Z514-AC514</f>
        <v>0</v>
      </c>
      <c r="AE514" s="135" t="s">
        <v>2601</v>
      </c>
      <c r="AF514" s="136"/>
      <c r="AG514" s="137"/>
      <c r="BO514" s="108"/>
    </row>
    <row r="515" spans="4:67" s="101" customFormat="1" x14ac:dyDescent="0.3">
      <c r="D515" s="102"/>
      <c r="E515" s="102"/>
      <c r="F515" s="102"/>
      <c r="J515" s="103"/>
      <c r="M515" s="103"/>
      <c r="N515" s="103"/>
      <c r="P515" s="233" t="s">
        <v>2602</v>
      </c>
      <c r="Q515" s="234"/>
      <c r="R515" s="235"/>
      <c r="S515" s="113">
        <f>S509-SUM(S510:S514)</f>
        <v>2084084.5390800033</v>
      </c>
      <c r="W515" s="130" t="s">
        <v>2603</v>
      </c>
      <c r="X515" s="131">
        <v>1588860</v>
      </c>
      <c r="Y515" s="131">
        <v>1575038</v>
      </c>
      <c r="Z515" s="133">
        <f t="shared" si="216"/>
        <v>13822</v>
      </c>
      <c r="AA515" s="133">
        <v>0</v>
      </c>
      <c r="AB515" s="134">
        <v>0</v>
      </c>
      <c r="AC515" s="134">
        <v>1575038</v>
      </c>
      <c r="AD515" s="133">
        <f t="shared" si="217"/>
        <v>0</v>
      </c>
      <c r="AE515" s="138" t="s">
        <v>2604</v>
      </c>
      <c r="AF515" s="139"/>
      <c r="AG515" s="139"/>
      <c r="BO515" s="108"/>
    </row>
    <row r="516" spans="4:67" s="101" customFormat="1" x14ac:dyDescent="0.3">
      <c r="D516" s="102"/>
      <c r="E516" s="102"/>
      <c r="F516" s="102"/>
      <c r="J516" s="103"/>
      <c r="L516" s="120"/>
      <c r="M516" s="103"/>
      <c r="N516" s="103"/>
      <c r="P516" s="233" t="s">
        <v>2605</v>
      </c>
      <c r="Q516" s="234"/>
      <c r="R516" s="235"/>
      <c r="S516" s="121">
        <f>+AH499</f>
        <v>15100</v>
      </c>
      <c r="W516" s="130" t="s">
        <v>2606</v>
      </c>
      <c r="X516" s="131">
        <v>1759858</v>
      </c>
      <c r="Y516" s="131">
        <v>1744551</v>
      </c>
      <c r="Z516" s="133">
        <f t="shared" si="216"/>
        <v>15307</v>
      </c>
      <c r="AA516" s="133">
        <v>0</v>
      </c>
      <c r="AB516" s="134">
        <v>0</v>
      </c>
      <c r="AC516" s="134">
        <v>1744552</v>
      </c>
      <c r="AD516" s="133">
        <f t="shared" si="217"/>
        <v>-1</v>
      </c>
      <c r="AE516" s="140" t="s">
        <v>2607</v>
      </c>
      <c r="AF516" s="120"/>
      <c r="AG516" s="120"/>
      <c r="AI516" s="103"/>
      <c r="BO516" s="108"/>
    </row>
    <row r="517" spans="4:67" s="101" customFormat="1" x14ac:dyDescent="0.3">
      <c r="D517" s="102"/>
      <c r="E517" s="102"/>
      <c r="F517" s="102"/>
      <c r="J517" s="103"/>
      <c r="L517" s="141"/>
      <c r="M517" s="103"/>
      <c r="N517" s="103"/>
      <c r="P517" s="233" t="s">
        <v>2608</v>
      </c>
      <c r="Q517" s="234"/>
      <c r="R517" s="235"/>
      <c r="S517" s="121">
        <v>0</v>
      </c>
      <c r="W517" s="130" t="s">
        <v>2609</v>
      </c>
      <c r="X517" s="131">
        <v>111092</v>
      </c>
      <c r="Y517" s="131"/>
      <c r="Z517" s="133">
        <v>0</v>
      </c>
      <c r="AA517" s="133">
        <v>0</v>
      </c>
      <c r="AB517" s="134">
        <f>+X517</f>
        <v>111092</v>
      </c>
      <c r="AC517" s="134">
        <v>0</v>
      </c>
      <c r="AD517" s="133">
        <v>0</v>
      </c>
      <c r="AE517" s="142"/>
      <c r="AF517" s="120"/>
      <c r="AG517" s="139"/>
      <c r="AI517" s="103"/>
      <c r="BO517" s="108"/>
    </row>
    <row r="518" spans="4:67" s="101" customFormat="1" x14ac:dyDescent="0.3">
      <c r="D518" s="102"/>
      <c r="E518" s="102"/>
      <c r="F518" s="102"/>
      <c r="J518" s="103"/>
      <c r="L518" s="141"/>
      <c r="M518" s="103"/>
      <c r="N518" s="103"/>
      <c r="P518" s="143"/>
      <c r="Q518" s="123"/>
      <c r="R518" s="124"/>
      <c r="S518" s="121"/>
      <c r="W518" s="130"/>
      <c r="X518" s="131"/>
      <c r="Y518" s="131"/>
      <c r="Z518" s="133">
        <f t="shared" si="216"/>
        <v>0</v>
      </c>
      <c r="AA518" s="133">
        <v>0</v>
      </c>
      <c r="AB518" s="134">
        <v>0</v>
      </c>
      <c r="AC518" s="134">
        <v>0</v>
      </c>
      <c r="AD518" s="133">
        <f t="shared" si="217"/>
        <v>0</v>
      </c>
      <c r="AE518" s="144"/>
      <c r="AI518" s="105"/>
      <c r="BO518" s="108"/>
    </row>
    <row r="519" spans="4:67" s="101" customFormat="1" x14ac:dyDescent="0.3">
      <c r="D519" s="102"/>
      <c r="E519" s="119"/>
      <c r="F519" s="102"/>
      <c r="G519" s="120"/>
      <c r="J519" s="103"/>
      <c r="M519" s="103"/>
      <c r="N519" s="103"/>
      <c r="P519" s="233" t="s">
        <v>2610</v>
      </c>
      <c r="Q519" s="234"/>
      <c r="R519" s="235"/>
      <c r="S519" s="121">
        <v>0</v>
      </c>
      <c r="W519" s="130"/>
      <c r="X519" s="131"/>
      <c r="Y519" s="131"/>
      <c r="Z519" s="133">
        <f t="shared" si="216"/>
        <v>0</v>
      </c>
      <c r="AA519" s="133">
        <v>0</v>
      </c>
      <c r="AB519" s="134">
        <v>0</v>
      </c>
      <c r="AC519" s="134">
        <v>0</v>
      </c>
      <c r="AD519" s="133">
        <f t="shared" si="217"/>
        <v>0</v>
      </c>
      <c r="AE519" s="144"/>
      <c r="AI519" s="103"/>
      <c r="BO519" s="108"/>
    </row>
    <row r="520" spans="4:67" s="101" customFormat="1" x14ac:dyDescent="0.3">
      <c r="D520" s="102"/>
      <c r="E520" s="102"/>
      <c r="F520" s="102"/>
      <c r="J520" s="103"/>
      <c r="M520" s="103"/>
      <c r="N520" s="103"/>
      <c r="P520" s="233" t="s">
        <v>2611</v>
      </c>
      <c r="Q520" s="234"/>
      <c r="R520" s="235"/>
      <c r="S520" s="113">
        <f>S515-SUM(S516:S519)</f>
        <v>2068984.5390800033</v>
      </c>
      <c r="W520" s="130"/>
      <c r="X520" s="131"/>
      <c r="Y520" s="131"/>
      <c r="Z520" s="133">
        <f t="shared" si="216"/>
        <v>0</v>
      </c>
      <c r="AA520" s="133">
        <v>0</v>
      </c>
      <c r="AB520" s="134">
        <v>0</v>
      </c>
      <c r="AC520" s="134">
        <v>0</v>
      </c>
      <c r="AD520" s="133">
        <f t="shared" si="217"/>
        <v>0</v>
      </c>
      <c r="AE520" s="144"/>
      <c r="AI520" s="103"/>
      <c r="AQ520" s="110"/>
      <c r="AR520" s="110"/>
      <c r="BO520" s="108"/>
    </row>
    <row r="521" spans="4:67" s="101" customFormat="1" x14ac:dyDescent="0.3">
      <c r="D521" s="102"/>
      <c r="E521" s="102"/>
      <c r="F521" s="102"/>
      <c r="J521" s="103"/>
      <c r="M521" s="103"/>
      <c r="N521" s="103"/>
      <c r="P521" s="117"/>
      <c r="Q521" s="103"/>
      <c r="R521" s="105"/>
      <c r="W521" s="94"/>
      <c r="X521" s="131"/>
      <c r="Y521" s="131"/>
      <c r="Z521" s="133">
        <f t="shared" si="216"/>
        <v>0</v>
      </c>
      <c r="AA521" s="133">
        <v>0</v>
      </c>
      <c r="AB521" s="134">
        <v>0</v>
      </c>
      <c r="AC521" s="134">
        <v>0</v>
      </c>
      <c r="AD521" s="133">
        <f t="shared" si="217"/>
        <v>0</v>
      </c>
      <c r="AE521" s="144"/>
      <c r="AI521" s="103"/>
      <c r="BA521" s="105"/>
      <c r="BO521" s="108"/>
    </row>
    <row r="522" spans="4:67" s="101" customFormat="1" x14ac:dyDescent="0.3">
      <c r="D522" s="102"/>
      <c r="E522" s="145"/>
      <c r="F522" s="145"/>
      <c r="J522" s="103"/>
      <c r="M522" s="103"/>
      <c r="N522" s="103"/>
      <c r="P522" s="104"/>
      <c r="Q522" s="103"/>
      <c r="R522" s="105"/>
      <c r="W522" s="94"/>
      <c r="X522" s="131"/>
      <c r="Y522" s="131"/>
      <c r="Z522" s="133">
        <f t="shared" si="216"/>
        <v>0</v>
      </c>
      <c r="AA522" s="133">
        <v>0</v>
      </c>
      <c r="AB522" s="134">
        <v>0</v>
      </c>
      <c r="AC522" s="134">
        <v>0</v>
      </c>
      <c r="AD522" s="133">
        <f t="shared" si="217"/>
        <v>0</v>
      </c>
      <c r="AE522" s="144"/>
      <c r="AF522" s="146"/>
      <c r="AJ522" s="111"/>
      <c r="AK522" s="111"/>
      <c r="AL522" s="103"/>
      <c r="AM522" s="111"/>
      <c r="AN522" s="111"/>
      <c r="AO522" s="111"/>
      <c r="BO522" s="108"/>
    </row>
    <row r="523" spans="4:67" s="101" customFormat="1" x14ac:dyDescent="0.3">
      <c r="D523" s="102"/>
      <c r="E523" s="102"/>
      <c r="F523" s="102"/>
      <c r="J523" s="103"/>
      <c r="M523" s="103"/>
      <c r="N523" s="103"/>
      <c r="P523" s="104"/>
      <c r="Q523" s="103"/>
      <c r="R523" s="105"/>
      <c r="W523" s="94"/>
      <c r="X523" s="131"/>
      <c r="Y523" s="131"/>
      <c r="Z523" s="133">
        <f t="shared" si="216"/>
        <v>0</v>
      </c>
      <c r="AA523" s="133">
        <v>0</v>
      </c>
      <c r="AB523" s="134">
        <v>0</v>
      </c>
      <c r="AC523" s="134">
        <v>0</v>
      </c>
      <c r="AD523" s="133">
        <f t="shared" si="217"/>
        <v>0</v>
      </c>
      <c r="AE523" s="144"/>
      <c r="AF523" s="146"/>
      <c r="AL523" s="103"/>
      <c r="BO523" s="108"/>
    </row>
    <row r="524" spans="4:67" s="101" customFormat="1" x14ac:dyDescent="0.3">
      <c r="D524" s="102"/>
      <c r="E524" s="102"/>
      <c r="F524" s="102"/>
      <c r="J524" s="103"/>
      <c r="M524" s="103"/>
      <c r="N524" s="103"/>
      <c r="P524" s="104"/>
      <c r="Q524" s="103"/>
      <c r="R524" s="105"/>
      <c r="W524" s="147"/>
      <c r="X524" s="148">
        <f>SUM(X514:X523)</f>
        <v>4800097</v>
      </c>
      <c r="Y524" s="148">
        <f t="shared" ref="Y524:AE524" si="218">SUM(Y514:Y523)</f>
        <v>4652322</v>
      </c>
      <c r="Z524" s="148">
        <f t="shared" si="218"/>
        <v>40823</v>
      </c>
      <c r="AA524" s="148">
        <f t="shared" si="218"/>
        <v>4140</v>
      </c>
      <c r="AB524" s="148">
        <f t="shared" si="218"/>
        <v>111092</v>
      </c>
      <c r="AC524" s="148">
        <f t="shared" si="218"/>
        <v>4652323</v>
      </c>
      <c r="AD524" s="148">
        <f t="shared" si="218"/>
        <v>-1</v>
      </c>
      <c r="AE524" s="148">
        <f t="shared" si="218"/>
        <v>0</v>
      </c>
      <c r="AF524" s="146"/>
      <c r="AL524" s="103"/>
      <c r="BO524" s="108"/>
    </row>
    <row r="525" spans="4:67" s="101" customFormat="1" x14ac:dyDescent="0.3">
      <c r="D525" s="102"/>
      <c r="E525" s="102"/>
      <c r="F525" s="102"/>
      <c r="J525" s="103"/>
      <c r="M525" s="103"/>
      <c r="N525" s="103"/>
      <c r="P525" s="104"/>
      <c r="Q525" s="103"/>
      <c r="R525" s="105"/>
      <c r="W525" s="149"/>
      <c r="X525" s="150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N525" s="103"/>
      <c r="AR525" s="107"/>
      <c r="AS525" s="107"/>
      <c r="BO525" s="108"/>
    </row>
    <row r="526" spans="4:67" s="101" customFormat="1" x14ac:dyDescent="0.3">
      <c r="D526" s="102"/>
      <c r="E526" s="102"/>
      <c r="F526" s="102"/>
      <c r="J526" s="103"/>
      <c r="M526" s="103"/>
      <c r="N526" s="103"/>
      <c r="P526" s="104"/>
      <c r="Q526" s="103"/>
      <c r="R526" s="105"/>
      <c r="W526" s="106"/>
      <c r="X526" s="106"/>
      <c r="AN526" s="103"/>
      <c r="AR526" s="107"/>
      <c r="AS526" s="107"/>
      <c r="BC526" s="101">
        <f>120*92</f>
        <v>11040</v>
      </c>
      <c r="BO526" s="108"/>
    </row>
    <row r="527" spans="4:67" s="101" customFormat="1" x14ac:dyDescent="0.3">
      <c r="D527" s="102"/>
      <c r="E527" s="102"/>
      <c r="F527" s="102"/>
      <c r="J527" s="103"/>
      <c r="M527" s="103"/>
      <c r="N527" s="103"/>
      <c r="P527" s="104"/>
      <c r="Q527" s="103"/>
      <c r="R527" s="105"/>
      <c r="W527" s="106"/>
      <c r="X527" s="106"/>
      <c r="AN527" s="103"/>
      <c r="AR527" s="107"/>
      <c r="AS527" s="107"/>
      <c r="BO527" s="108"/>
    </row>
    <row r="528" spans="4:67" s="101" customFormat="1" x14ac:dyDescent="0.3">
      <c r="D528" s="102"/>
      <c r="E528" s="102"/>
      <c r="F528" s="102"/>
      <c r="J528" s="103"/>
      <c r="M528" s="103"/>
      <c r="N528" s="103"/>
      <c r="P528" s="104"/>
      <c r="Q528" s="103"/>
      <c r="R528" s="105"/>
      <c r="W528" s="106"/>
      <c r="X528" s="106"/>
      <c r="Y528" s="110"/>
      <c r="AN528" s="103"/>
      <c r="AR528" s="107"/>
      <c r="AS528" s="107"/>
      <c r="BB528" s="111"/>
      <c r="BO528" s="108"/>
    </row>
    <row r="529" spans="4:67" s="101" customFormat="1" x14ac:dyDescent="0.3">
      <c r="D529" s="102"/>
      <c r="E529" s="102"/>
      <c r="F529" s="102"/>
      <c r="J529" s="103"/>
      <c r="M529" s="151"/>
      <c r="N529" s="103"/>
      <c r="P529" s="104"/>
      <c r="Q529" s="103"/>
      <c r="R529" s="105"/>
      <c r="W529" s="106"/>
      <c r="X529" s="106"/>
      <c r="AN529" s="103"/>
      <c r="AR529" s="107"/>
      <c r="AS529" s="107"/>
      <c r="BO529" s="108"/>
    </row>
    <row r="530" spans="4:67" x14ac:dyDescent="0.3">
      <c r="M530" s="151"/>
    </row>
  </sheetData>
  <mergeCells count="16">
    <mergeCell ref="P509:R509"/>
    <mergeCell ref="A1:BL1"/>
    <mergeCell ref="A2:BL2"/>
    <mergeCell ref="A499:Y499"/>
    <mergeCell ref="P508:R508"/>
    <mergeCell ref="AG508:AH508"/>
    <mergeCell ref="P516:R516"/>
    <mergeCell ref="P517:R517"/>
    <mergeCell ref="P519:R519"/>
    <mergeCell ref="P520:R520"/>
    <mergeCell ref="P510:R510"/>
    <mergeCell ref="P511:R511"/>
    <mergeCell ref="P512:R512"/>
    <mergeCell ref="P513:R513"/>
    <mergeCell ref="P514:R514"/>
    <mergeCell ref="P515:R515"/>
  </mergeCells>
  <conditionalFormatting sqref="G1:G1048576">
    <cfRule type="containsText" dxfId="1" priority="1" operator="containsText" text="NVL">
      <formula>NOT(ISERROR(SEARCH("NVL",G1)))</formula>
    </cfRule>
    <cfRule type="containsText" dxfId="0" priority="2" operator="containsText" text="NVL">
      <formula>NOT(ISERROR(SEARCH("NVL",G1)))</formula>
    </cfRule>
  </conditionalFormatting>
  <dataValidations count="3">
    <dataValidation type="list" allowBlank="1" showInputMessage="1" showErrorMessage="1" sqref="S5:S498" xr:uid="{4224D2C3-8866-4FE9-AE8C-1673658DC0A4}">
      <formula1>"STAMP, NON STAMP"</formula1>
    </dataValidation>
    <dataValidation type="list" allowBlank="1" showInputMessage="1" showErrorMessage="1" sqref="F5:F498" xr:uid="{84AB0039-3958-47E7-8347-2C9544AE2CC7}">
      <formula1>$F$3</formula1>
    </dataValidation>
    <dataValidation type="list" allowBlank="1" showInputMessage="1" showErrorMessage="1" sqref="T3 T5:T498" xr:uid="{108288E4-B0D9-4506-ABC1-D07660C4DC4F}">
      <formula1>"10W,12W,14W,6W"</formula1>
    </dataValidation>
  </dataValidations>
  <hyperlinks>
    <hyperlink ref="AF3" r:id="rId1" xr:uid="{95E7D0B5-DFAB-4349-B7E1-95ED2A21D6AF}"/>
  </hyperlinks>
  <pageMargins left="0.7" right="0.7" top="0.75" bottom="0.75" header="0.3" footer="0.3"/>
  <pageSetup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DETAILS MAR'26</vt:lpstr>
      <vt:lpstr>CEMENT REGISTER MAR'26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PARAMBRATA KUNDU</cp:lastModifiedBy>
  <cp:lastPrinted>2026-06-20T13:06:33Z</cp:lastPrinted>
  <dcterms:created xsi:type="dcterms:W3CDTF">2015-06-05T18:17:20Z</dcterms:created>
  <dcterms:modified xsi:type="dcterms:W3CDTF">2026-06-20T13:11:04Z</dcterms:modified>
</cp:coreProperties>
</file>